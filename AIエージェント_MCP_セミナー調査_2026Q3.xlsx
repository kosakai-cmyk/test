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セミナー一覧" sheetId="2" state="visible" r:id="rId2"/>
    <sheet name="参考（AIエージェント明記なし）" sheetId="3" state="visible" r:id="rId3"/>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6">
    <font>
      <name val="Calibri"/>
      <family val="2"/>
      <color theme="1"/>
      <sz val="11"/>
      <scheme val="minor"/>
    </font>
    <font>
      <name val="Arial"/>
      <b val="1"/>
      <color rgb="00FFFFFF"/>
      <sz val="10"/>
    </font>
    <font>
      <name val="Arial"/>
      <sz val="10"/>
    </font>
    <font>
      <name val="Arial"/>
      <color rgb="000563C1"/>
      <sz val="10"/>
      <u val="single"/>
    </font>
    <font>
      <name val="Arial"/>
      <b val="1"/>
      <sz val="14"/>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4"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0" borderId="1" pivotButton="0" quotePrefix="0" xfId="0"/>
    <xf numFmtId="3" fontId="2" fillId="0" borderId="1" pivotButton="0" quotePrefix="0" xfId="0"/>
    <xf numFmtId="0" fontId="5" fillId="0" borderId="1" pivotButton="0" quotePrefix="0" xfId="0"/>
    <xf numFmtId="3" fontId="5" fillId="0" borderId="1" pivotButton="0" quotePrefix="0" xfId="0"/>
    <xf numFmtId="0" fontId="5" fillId="0" borderId="0" pivotButton="0" quotePrefix="0" xfId="0"/>
    <xf numFmtId="0" fontId="2" fillId="0" borderId="0" applyAlignment="1" pivotButton="0" quotePrefix="0" xfId="0">
      <alignment vertical="top" wrapText="1"/>
    </xf>
    <xf numFmtId="0" fontId="2" fillId="0" borderId="1" applyAlignment="1" pivotButton="0" quotePrefix="0" xfId="0">
      <alignment vertical="top" wrapText="1"/>
    </xf>
    <xf numFmtId="165" fontId="2" fillId="0" borderId="1" applyAlignment="1" pivotButton="0" quotePrefix="0" xfId="0">
      <alignment vertical="top" wrapText="1"/>
    </xf>
    <xf numFmtId="0" fontId="2" fillId="0" borderId="1" applyAlignment="1" pivotButton="0" quotePrefix="0" xfId="0">
      <alignment horizontal="center" vertical="top" wrapText="1"/>
    </xf>
    <xf numFmtId="3" fontId="2" fillId="0" borderId="1" applyAlignment="1" pivotButton="0" quotePrefix="0" xfId="0">
      <alignment vertical="top" wrapText="1"/>
    </xf>
    <xf numFmtId="3" fontId="2" fillId="0" borderId="1" applyAlignment="1" pivotButton="0" quotePrefix="0" xfId="0">
      <alignment horizontal="center"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Seminars" displayName="Seminars" ref="A1:X580" headerRowCount="1">
  <autoFilter ref="A1:X580"/>
  <tableColumns count="24">
    <tableColumn id="1" name="No"/>
    <tableColumn id="2" name="開催日（初回）"/>
    <tableColumn id="3" name="開催日（最終）"/>
    <tableColumn id="4" name="開催月"/>
    <tableColumn id="5" name="開催回数"/>
    <tableColumn id="6" name="開催日一覧（複数回）"/>
    <tableColumn id="7" name="セミナー名"/>
    <tableColumn id="8" name="主催者"/>
    <tableColumn id="9" name="共催・登壇"/>
    <tableColumn id="10" name="掲載プラットフォーム"/>
    <tableColumn id="11" name="形式"/>
    <tableColumn id="12" name="会場・場所"/>
    <tableColumn id="13" name="テーマ分類"/>
    <tableColumn id="14" name="AIエージェント/MCP"/>
    <tableColumn id="15" name="関連度"/>
    <tableColumn id="16" name="集客数"/>
    <tableColumn id="17" name="集客数の種別"/>
    <tableColumn id="18" name="定員"/>
    <tableColumn id="19" name="集客数の補足"/>
    <tableColumn id="20" name="概要・抜粋"/>
    <tableColumn id="21" name="ソースURL"/>
    <tableColumn id="22" name="補足URL"/>
    <tableColumn id="23" name="抽出方法"/>
    <tableColumn id="24" name="備考"/>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hannari-python.connpass.com/event/397219/" TargetMode="External" Id="rId1" /><Relationship Type="http://schemas.openxmlformats.org/officeDocument/2006/relationships/hyperlink" Target="https://cssnite.doorkeeper.jp/events/197993" TargetMode="External" Id="rId2" /><Relationship Type="http://schemas.openxmlformats.org/officeDocument/2006/relationships/hyperlink" Target="https://www.manufacturing-world.jp/tokyo/ja-jp/previous/visitorcount.html" TargetMode="External" Id="rId3" /><Relationship Type="http://schemas.openxmlformats.org/officeDocument/2006/relationships/hyperlink" Target="https://jawsug.connpass.com/event/398118/" TargetMode="External" Id="rId4" /><Relationship Type="http://schemas.openxmlformats.org/officeDocument/2006/relationships/hyperlink" Target="https://prtimes.jp/main/html/rd/p/000000032.000115057.html" TargetMode="External" Id="rId5" /><Relationship Type="http://schemas.openxmlformats.org/officeDocument/2006/relationships/hyperlink" Target="https://hardening.doorkeeper.jp/events/196978" TargetMode="External" Id="rId6" /><Relationship Type="http://schemas.openxmlformats.org/officeDocument/2006/relationships/hyperlink" Target="https://www.kokuchpro.com/event/a91b6275bcbfff0a1e04532f6c25ecf3/3817804/" TargetMode="External" Id="rId7" /><Relationship Type="http://schemas.openxmlformats.org/officeDocument/2006/relationships/hyperlink" Target="https://aiau.connpass.com/event/396073/" TargetMode="External" Id="rId8" /><Relationship Type="http://schemas.openxmlformats.org/officeDocument/2006/relationships/hyperlink" Target="https://generative-agents.connpass.com/event/397776/" TargetMode="External" Id="rId9" /><Relationship Type="http://schemas.openxmlformats.org/officeDocument/2006/relationships/hyperlink" Target="https://cssnite.doorkeeper.jp/events/197947" TargetMode="External" Id="rId10" /><Relationship Type="http://schemas.openxmlformats.org/officeDocument/2006/relationships/hyperlink" Target="https://www.kokuchpro.com/event/a5d256165da52d3d1c762f606d771a51/" TargetMode="External" Id="rId11" /><Relationship Type="http://schemas.openxmlformats.org/officeDocument/2006/relationships/hyperlink" Target="https://womenwhogo-tokyo.connpass.com/event/398081/" TargetMode="External" Id="rId12" /><Relationship Type="http://schemas.openxmlformats.org/officeDocument/2006/relationships/hyperlink" Target="https://glass-sun.connpass.com/event/397320/" TargetMode="External" Id="rId13" /><Relationship Type="http://schemas.openxmlformats.org/officeDocument/2006/relationships/hyperlink" Target="https://www.kokuchpro.com/event/bb34ad45cb8a954b11e51e243e031fe6/" TargetMode="External" Id="rId14" /><Relationship Type="http://schemas.openxmlformats.org/officeDocument/2006/relationships/hyperlink" Target="https://www.kokuchpro.com/event/8d639521d6dab7ff6a25a9a1fff3340e/3819131/" TargetMode="External" Id="rId15" /><Relationship Type="http://schemas.openxmlformats.org/officeDocument/2006/relationships/hyperlink" Target="https://techgym.doorkeeper.jp/events/197723" TargetMode="External" Id="rId16" /><Relationship Type="http://schemas.openxmlformats.org/officeDocument/2006/relationships/hyperlink" Target="https://agent365jp.connpass.com/event/396638/" TargetMode="External" Id="rId17" /><Relationship Type="http://schemas.openxmlformats.org/officeDocument/2006/relationships/hyperlink" Target="https://weeyble.doorkeeper.jp/events/198110" TargetMode="External" Id="rId18" /><Relationship Type="http://schemas.openxmlformats.org/officeDocument/2006/relationships/hyperlink" Target="https://weeyble-data.connpass.com/event/398804/" TargetMode="External" Id="rId19" /><Relationship Type="http://schemas.openxmlformats.org/officeDocument/2006/relationships/hyperlink" Target="https://study-group.connpass.com/event/398087/" TargetMode="External" Id="rId20" /><Relationship Type="http://schemas.openxmlformats.org/officeDocument/2006/relationships/hyperlink" Target="https://ai-developer-monetization-lab.connpass.com/event/397293/" TargetMode="External" Id="rId21" /><Relationship Type="http://schemas.openxmlformats.org/officeDocument/2006/relationships/hyperlink" Target="https://digital-labors.connpass.com/event/397379/" TargetMode="External" Id="rId22" /><Relationship Type="http://schemas.openxmlformats.org/officeDocument/2006/relationships/hyperlink" Target="https://gameschool.doorkeeper.jp/events/197905" TargetMode="External" Id="rId23" /><Relationship Type="http://schemas.openxmlformats.org/officeDocument/2006/relationships/hyperlink" Target="https://devsumi.connpass.com/event/396236/" TargetMode="External" Id="rId24" /><Relationship Type="http://schemas.openxmlformats.org/officeDocument/2006/relationships/hyperlink" Target="https://www.kokuchpro.com/event/50d9c59588f29fcd31a0c4bba740d584/" TargetMode="External" Id="rId25" /><Relationship Type="http://schemas.openxmlformats.org/officeDocument/2006/relationships/hyperlink" Target="https://www.kokuchpro.com/event/462c32654e8582dc98f1d8324a64443d/" TargetMode="External" Id="rId26" /><Relationship Type="http://schemas.openxmlformats.org/officeDocument/2006/relationships/hyperlink" Target="https://cloudace.doorkeeper.jp/events/197917" TargetMode="External" Id="rId27" /><Relationship Type="http://schemas.openxmlformats.org/officeDocument/2006/relationships/hyperlink" Target="https://findy.connpass.com/event/396823/" TargetMode="External" Id="rId28" /><Relationship Type="http://schemas.openxmlformats.org/officeDocument/2006/relationships/hyperlink" Target="https://generative-agents.connpass.com/event/399060/" TargetMode="External" Id="rId29" /><Relationship Type="http://schemas.openxmlformats.org/officeDocument/2006/relationships/hyperlink" Target="https://japan.zdnet.com/event_info/30014942/" TargetMode="External" Id="rId30" /><Relationship Type="http://schemas.openxmlformats.org/officeDocument/2006/relationships/hyperlink" Target="https://connpass.com/event/396661/" TargetMode="External" Id="rId31" /><Relationship Type="http://schemas.openxmlformats.org/officeDocument/2006/relationships/hyperlink" Target="https://www.kokuchpro.com/event/06a414b82ca253edd78099fa5ac8a980/" TargetMode="External" Id="rId32" /><Relationship Type="http://schemas.openxmlformats.org/officeDocument/2006/relationships/hyperlink" Target="https://www.kokuchpro.com/event/a79b4469b0d0538468ca8b3f0a02fe13/" TargetMode="External" Id="rId33" /><Relationship Type="http://schemas.openxmlformats.org/officeDocument/2006/relationships/hyperlink" Target="https://data-analysis-basics.connpass.com/event/399367/" TargetMode="External" Id="rId34" /><Relationship Type="http://schemas.openxmlformats.org/officeDocument/2006/relationships/hyperlink" Target="https://www.sbbit.jp/eventinfo/89048" TargetMode="External" Id="rId35" /><Relationship Type="http://schemas.openxmlformats.org/officeDocument/2006/relationships/hyperlink" Target="https://osaka-driven-dev.connpass.com/event/396961/" TargetMode="External" Id="rId36" /><Relationship Type="http://schemas.openxmlformats.org/officeDocument/2006/relationships/hyperlink" Target="https://majisemi-security.doorkeeper.jp/events/197735" TargetMode="External" Id="rId37" /><Relationship Type="http://schemas.openxmlformats.org/officeDocument/2006/relationships/hyperlink" Target="https://connpass.com/event/399507/" TargetMode="External" Id="rId38" /><Relationship Type="http://schemas.openxmlformats.org/officeDocument/2006/relationships/hyperlink" Target="https://www.sbbit.jp/eventinfo/89273" TargetMode="External" Id="rId39" /><Relationship Type="http://schemas.openxmlformats.org/officeDocument/2006/relationships/hyperlink" Target="https://web-mining.doorkeeper.jp/events/197628" TargetMode="External" Id="rId40" /><Relationship Type="http://schemas.openxmlformats.org/officeDocument/2006/relationships/hyperlink" Target="https://kddi-agile.connpass.com/event/395678/" TargetMode="External" Id="rId41" /><Relationship Type="http://schemas.openxmlformats.org/officeDocument/2006/relationships/hyperlink" Target="https://www.jfe-systems.com/press/2026/20260616_news.html" TargetMode="External" Id="rId42" /><Relationship Type="http://schemas.openxmlformats.org/officeDocument/2006/relationships/hyperlink" Target="https://www.kokuchpro.com/event/cde4ce2c4b7294f0c83ee873f871ae9c/" TargetMode="External" Id="rId43" /><Relationship Type="http://schemas.openxmlformats.org/officeDocument/2006/relationships/hyperlink" Target="https://www.seminar-info.jp/entry/seminars/view/3/6845" TargetMode="External" Id="rId44" /><Relationship Type="http://schemas.openxmlformats.org/officeDocument/2006/relationships/hyperlink" Target="https://www.kokuchpro.com/event/260709_claudecode/" TargetMode="External" Id="rId45" /><Relationship Type="http://schemas.openxmlformats.org/officeDocument/2006/relationships/hyperlink" Target="https://wakaran-reading.connpass.com/event/398586/" TargetMode="External" Id="rId46" /><Relationship Type="http://schemas.openxmlformats.org/officeDocument/2006/relationships/hyperlink" Target="https://offers-jp.connpass.com/event/396197/" TargetMode="External" Id="rId47" /><Relationship Type="http://schemas.openxmlformats.org/officeDocument/2006/relationships/hyperlink" Target="https://events.nikkeibp.co.jp/event/2026/nxt0709/" TargetMode="External" Id="rId48" /><Relationship Type="http://schemas.openxmlformats.org/officeDocument/2006/relationships/hyperlink" Target="https://namespace.connpass.com/event/395095/" TargetMode="External" Id="rId49" /><Relationship Type="http://schemas.openxmlformats.org/officeDocument/2006/relationships/hyperlink" Target="https://generative-agents.connpass.com/event/398435/" TargetMode="External" Id="rId50" /><Relationship Type="http://schemas.openxmlformats.org/officeDocument/2006/relationships/hyperlink" Target="https://classmethod.connpass.com/event/395374/" TargetMode="External" Id="rId51" /><Relationship Type="http://schemas.openxmlformats.org/officeDocument/2006/relationships/hyperlink" Target="https://aiau.connpass.com/event/394831/" TargetMode="External" Id="rId52" /><Relationship Type="http://schemas.openxmlformats.org/officeDocument/2006/relationships/hyperlink" Target="https://www.kokuchpro.com/event/74c3aed9a16d9d1838ba976b1b7a5170/3830827/" TargetMode="External" Id="rId53" /><Relationship Type="http://schemas.openxmlformats.org/officeDocument/2006/relationships/hyperlink" Target="https://web-mining.doorkeeper.jp/events/197927" TargetMode="External" Id="rId54" /><Relationship Type="http://schemas.openxmlformats.org/officeDocument/2006/relationships/hyperlink" Target="https://www.kokuchpro.com/event/union710/" TargetMode="External" Id="rId55" /><Relationship Type="http://schemas.openxmlformats.org/officeDocument/2006/relationships/hyperlink" Target="https://scalar.connpass.com/event/399339/" TargetMode="External" Id="rId56" /><Relationship Type="http://schemas.openxmlformats.org/officeDocument/2006/relationships/hyperlink" Target="https://majisemi-security.doorkeeper.jp/events/197789" TargetMode="External" Id="rId57" /><Relationship Type="http://schemas.openxmlformats.org/officeDocument/2006/relationships/hyperlink" Target="https://www.kokuchpro.com/event/30e777371171a23e6946ba9b829e6469/3830837/" TargetMode="External" Id="rId58" /><Relationship Type="http://schemas.openxmlformats.org/officeDocument/2006/relationships/hyperlink" Target="https://biosbootcamp.connpass.com/event/396378/" TargetMode="External" Id="rId59" /><Relationship Type="http://schemas.openxmlformats.org/officeDocument/2006/relationships/hyperlink" Target="https://www.seminar-info.jp/entry/seminars/view/3/6868" TargetMode="External" Id="rId60" /><Relationship Type="http://schemas.openxmlformats.org/officeDocument/2006/relationships/hyperlink" Target="https://www.kokuchpro.com/event/09fe58cc413dfc3c4119f2cac5aa35bc/" TargetMode="External" Id="rId61" /><Relationship Type="http://schemas.openxmlformats.org/officeDocument/2006/relationships/hyperlink" Target="https://digital-labors.connpass.com/event/398250/" TargetMode="External" Id="rId62" /><Relationship Type="http://schemas.openxmlformats.org/officeDocument/2006/relationships/hyperlink" Target="https://www.kokuchpro.com/event/7fa5a272404e3a707e160fa8264c6f28/" TargetMode="External" Id="rId63" /><Relationship Type="http://schemas.openxmlformats.org/officeDocument/2006/relationships/hyperlink" Target="https://aid.connpass.com/event/397707/" TargetMode="External" Id="rId64" /><Relationship Type="http://schemas.openxmlformats.org/officeDocument/2006/relationships/hyperlink" Target="https://connpass.com/event/399282/" TargetMode="External" Id="rId65" /><Relationship Type="http://schemas.openxmlformats.org/officeDocument/2006/relationships/hyperlink" Target="https://www.kokuchpro.com/event/5af304de6430448c361a5042372b1c6d/3830201/" TargetMode="External" Id="rId66" /><Relationship Type="http://schemas.openxmlformats.org/officeDocument/2006/relationships/hyperlink" Target="https://www.kokuchpro.com/event/53069532975ddcdbf3d1a3e8d44d7350/" TargetMode="External" Id="rId67" /><Relationship Type="http://schemas.openxmlformats.org/officeDocument/2006/relationships/hyperlink" Target="https://web-mining.doorkeeper.jp/events/198040" TargetMode="External" Id="rId68" /><Relationship Type="http://schemas.openxmlformats.org/officeDocument/2006/relationships/hyperlink" Target="https://prtimes.jp/main/html/rd/p/000005369.000054842.html" TargetMode="External" Id="rId69" /><Relationship Type="http://schemas.openxmlformats.org/officeDocument/2006/relationships/hyperlink" Target="https://majisemi.com/e/c/baseconnect-20260713" TargetMode="External" Id="rId70" /><Relationship Type="http://schemas.openxmlformats.org/officeDocument/2006/relationships/hyperlink" Target="https://www.sbbit.jp/eventinfo/88821" TargetMode="External" Id="rId71" /><Relationship Type="http://schemas.openxmlformats.org/officeDocument/2006/relationships/hyperlink" Target="https://www.softbank.jp/corp/news/press/sbkk/2026/20260518_01/" TargetMode="External" Id="rId72" /><Relationship Type="http://schemas.openxmlformats.org/officeDocument/2006/relationships/hyperlink" Target="https://k-tai.watch.impress.co.jp/docs/news/2109522.html" TargetMode="External" Id="rId73" /><Relationship Type="http://schemas.openxmlformats.org/officeDocument/2006/relationships/hyperlink" Target="https://findy.connpass.com/event/396881/" TargetMode="External" Id="rId74" /><Relationship Type="http://schemas.openxmlformats.org/officeDocument/2006/relationships/hyperlink" Target="https://www.kokuchpro.com/event/1699adb0baf47e1ec210c620530b609e/3820023/" TargetMode="External" Id="rId75" /><Relationship Type="http://schemas.openxmlformats.org/officeDocument/2006/relationships/hyperlink" Target="https://www.kokuchpro.com/event/tunagiai_260714/" TargetMode="External" Id="rId76" /><Relationship Type="http://schemas.openxmlformats.org/officeDocument/2006/relationships/hyperlink" Target="https://web-mining.doorkeeper.jp/events/197998" TargetMode="External" Id="rId77" /><Relationship Type="http://schemas.openxmlformats.org/officeDocument/2006/relationships/hyperlink" Target="https://japan.zdnet.com/event_info/30014951/" TargetMode="External" Id="rId78" /><Relationship Type="http://schemas.openxmlformats.org/officeDocument/2006/relationships/hyperlink" Target="https://skillupai.doorkeeper.jp/events/197871" TargetMode="External" Id="rId79" /><Relationship Type="http://schemas.openxmlformats.org/officeDocument/2006/relationships/hyperlink" Target="https://majisemi-security.doorkeeper.jp/events/197893" TargetMode="External" Id="rId80" /><Relationship Type="http://schemas.openxmlformats.org/officeDocument/2006/relationships/hyperlink" Target="https://prtimes.jp/main/html/rd/p/000000006.000163625.html" TargetMode="External" Id="rId81" /><Relationship Type="http://schemas.openxmlformats.org/officeDocument/2006/relationships/hyperlink" Target="https://cloud.watch.impress.co.jp/docs/event/2125529.html" TargetMode="External" Id="rId82" /><Relationship Type="http://schemas.openxmlformats.org/officeDocument/2006/relationships/hyperlink" Target="https://jma-news.com/archives/7037" TargetMode="External" Id="rId83" /><Relationship Type="http://schemas.openxmlformats.org/officeDocument/2006/relationships/hyperlink" Target="https://www.kokuchpro.com/event/ffd85486629ca5f8cedca3e74e382492/" TargetMode="External" Id="rId84" /><Relationship Type="http://schemas.openxmlformats.org/officeDocument/2006/relationships/hyperlink" Target="https://prtimes.jp/main/html/rd/p/000000124.000066765.html" TargetMode="External" Id="rId85" /><Relationship Type="http://schemas.openxmlformats.org/officeDocument/2006/relationships/hyperlink" Target="https://offers-jp.connpass.com/event/395255/" TargetMode="External" Id="rId86" /><Relationship Type="http://schemas.openxmlformats.org/officeDocument/2006/relationships/hyperlink" Target="https://web-mining.doorkeeper.jp/events/197930" TargetMode="External" Id="rId87" /><Relationship Type="http://schemas.openxmlformats.org/officeDocument/2006/relationships/hyperlink" Target="https://majisemi-operation.doorkeeper.jp/events/197891" TargetMode="External" Id="rId88" /><Relationship Type="http://schemas.openxmlformats.org/officeDocument/2006/relationships/hyperlink" Target="https://dxdojo.connpass.com/event/400043/" TargetMode="External" Id="rId89" /><Relationship Type="http://schemas.openxmlformats.org/officeDocument/2006/relationships/hyperlink" Target="https://www.kokuchpro.com/event/5a90e9ce3378e22b2b7efdec4b2b699d/" TargetMode="External" Id="rId90" /><Relationship Type="http://schemas.openxmlformats.org/officeDocument/2006/relationships/hyperlink" Target="https://cloud-shokudo.connpass.com/event/394462/" TargetMode="External" Id="rId91" /><Relationship Type="http://schemas.openxmlformats.org/officeDocument/2006/relationships/hyperlink" Target="https://prtimes.jp/main/html/rd/p/000000108.000108457.html" TargetMode="External" Id="rId92" /><Relationship Type="http://schemas.openxmlformats.org/officeDocument/2006/relationships/hyperlink" Target="https://peatix.com/event/5007284" TargetMode="External" Id="rId93" /><Relationship Type="http://schemas.openxmlformats.org/officeDocument/2006/relationships/hyperlink" Target="https://dockerjapan.connpass.com/event/399476/" TargetMode="External" Id="rId94" /><Relationship Type="http://schemas.openxmlformats.org/officeDocument/2006/relationships/hyperlink" Target="https://majisemi-business.doorkeeper.jp/events/197619" TargetMode="External" Id="rId95" /><Relationship Type="http://schemas.openxmlformats.org/officeDocument/2006/relationships/hyperlink" Target="https://currypurin-dojo.connpass.com/event/399708/" TargetMode="External" Id="rId96" /><Relationship Type="http://schemas.openxmlformats.org/officeDocument/2006/relationships/hyperlink" Target="https://findy-aiplus.connpass.com/event/399504/" TargetMode="External" Id="rId97" /><Relationship Type="http://schemas.openxmlformats.org/officeDocument/2006/relationships/hyperlink" Target="https://www.kokuchpro.com/event/bc0c1e38fe7bab499f3f6a2cb7fa845f/" TargetMode="External" Id="rId98" /><Relationship Type="http://schemas.openxmlformats.org/officeDocument/2006/relationships/hyperlink" Target="https://www.kokuchpro.com/event/c3e79baaa5fdcd0435ea2fc7bf6862db/" TargetMode="External" Id="rId99" /><Relationship Type="http://schemas.openxmlformats.org/officeDocument/2006/relationships/hyperlink" Target="https://polyscape.connpass.com/event/397802/" TargetMode="External" Id="rId100" /><Relationship Type="http://schemas.openxmlformats.org/officeDocument/2006/relationships/hyperlink" Target="https://www.kokuchpro.com/event/b8b6f08ec012022d14eb3956002a4c38/" TargetMode="External" Id="rId101" /><Relationship Type="http://schemas.openxmlformats.org/officeDocument/2006/relationships/hyperlink" Target="https://generative-agents.connpass.com/event/400162/" TargetMode="External" Id="rId102" /><Relationship Type="http://schemas.openxmlformats.org/officeDocument/2006/relationships/hyperlink" Target="https://prtimes.jp/main/html/rd/p/000000137.000119271.html" TargetMode="External" Id="rId103" /><Relationship Type="http://schemas.openxmlformats.org/officeDocument/2006/relationships/hyperlink" Target="https://www.mssf.or.jp/news_r08004/" TargetMode="External" Id="rId104" /><Relationship Type="http://schemas.openxmlformats.org/officeDocument/2006/relationships/hyperlink" Target="https://prtimes.jp/main/html/rd/p/000000017.000122726.html" TargetMode="External" Id="rId105" /><Relationship Type="http://schemas.openxmlformats.org/officeDocument/2006/relationships/hyperlink" Target="https://www.kokuchpro.com/event/e47f066e43052cf1e483078114cbd748/" TargetMode="External" Id="rId106" /><Relationship Type="http://schemas.openxmlformats.org/officeDocument/2006/relationships/hyperlink" Target="https://www.kokuchpro.com/event/1e27c539582347552e6e91331e14bfda/3836625/" TargetMode="External" Id="rId107" /><Relationship Type="http://schemas.openxmlformats.org/officeDocument/2006/relationships/hyperlink" Target="https://www.kokuchpro.com/event/f9d408dc423b1ca72fa59708643a5efe/" TargetMode="External" Id="rId108" /><Relationship Type="http://schemas.openxmlformats.org/officeDocument/2006/relationships/hyperlink" Target="https://www.kokuchpro.com/event/5033f0fd931fa6824e7af0a2013b05de/" TargetMode="External" Id="rId109" /><Relationship Type="http://schemas.openxmlformats.org/officeDocument/2006/relationships/hyperlink" Target="https://setk.connpass.com/event/399822/" TargetMode="External" Id="rId110" /><Relationship Type="http://schemas.openxmlformats.org/officeDocument/2006/relationships/hyperlink" Target="https://www.kokuchpro.com/event/f9067bf78d594cc91cbf084be457f410/" TargetMode="External" Id="rId111" /><Relationship Type="http://schemas.openxmlformats.org/officeDocument/2006/relationships/hyperlink" Target="https://prtimes.jp/main/html/rd/p/000001651.000080053.html" TargetMode="External" Id="rId112" /><Relationship Type="http://schemas.openxmlformats.org/officeDocument/2006/relationships/hyperlink" Target="https://hannari-python.connpass.com/event/399828/" TargetMode="External" Id="rId113" /><Relationship Type="http://schemas.openxmlformats.org/officeDocument/2006/relationships/hyperlink" Target="https://ai-agent-night-in-tokyo.connpass.com/event/397051/" TargetMode="External" Id="rId114" /><Relationship Type="http://schemas.openxmlformats.org/officeDocument/2006/relationships/hyperlink" Target="https://levtechlab.connpass.com/event/396162/" TargetMode="External" Id="rId115" /><Relationship Type="http://schemas.openxmlformats.org/officeDocument/2006/relationships/hyperlink" Target="https://gmo.connpass.com/event/397434/" TargetMode="External" Id="rId116" /><Relationship Type="http://schemas.openxmlformats.org/officeDocument/2006/relationships/hyperlink" Target="https://web-mining.doorkeeper.jp/events/198127" TargetMode="External" Id="rId117" /><Relationship Type="http://schemas.openxmlformats.org/officeDocument/2006/relationships/hyperlink" Target="https://prtimes.jp/main/html/rd/p/000000007.000179817.html" TargetMode="External" Id="rId118" /><Relationship Type="http://schemas.openxmlformats.org/officeDocument/2006/relationships/hyperlink" Target="https://www.kokuchpro.com/event/c9084aa27288575e1ab9236f36a0cf69/3841475/" TargetMode="External" Id="rId119" /><Relationship Type="http://schemas.openxmlformats.org/officeDocument/2006/relationships/hyperlink" Target="https://nextfreelance.connpass.com/event/398486/" TargetMode="External" Id="rId120" /><Relationship Type="http://schemas.openxmlformats.org/officeDocument/2006/relationships/hyperlink" Target="https://oracle-code-tokyo-dev.connpass.com/event/396910/" TargetMode="External" Id="rId121" /><Relationship Type="http://schemas.openxmlformats.org/officeDocument/2006/relationships/hyperlink" Target="https://prtimes.jp/main/html/rd/p/000000126.000066765.html" TargetMode="External" Id="rId122" /><Relationship Type="http://schemas.openxmlformats.org/officeDocument/2006/relationships/hyperlink" Target="https://www.sbbit.jp/eventinfo/89642" TargetMode="External" Id="rId123" /><Relationship Type="http://schemas.openxmlformats.org/officeDocument/2006/relationships/hyperlink" Target="https://monstar-lab.connpass.com/event/400520/" TargetMode="External" Id="rId124" /><Relationship Type="http://schemas.openxmlformats.org/officeDocument/2006/relationships/hyperlink" Target="https://www.kokuchpro.com/event/4fded1a03912bfb87c95f85e5ae2934f/" TargetMode="External" Id="rId125" /><Relationship Type="http://schemas.openxmlformats.org/officeDocument/2006/relationships/hyperlink" Target="https://japan.zdnet.com/event_info/30014999/" TargetMode="External" Id="rId126" /><Relationship Type="http://schemas.openxmlformats.org/officeDocument/2006/relationships/hyperlink" Target="https://www.kokuchpro.com/event/16fed7453d46f0edb677c32a23c01314/" TargetMode="External" Id="rId127" /><Relationship Type="http://schemas.openxmlformats.org/officeDocument/2006/relationships/hyperlink" Target="https://namespace.connpass.com/event/398280/" TargetMode="External" Id="rId128" /><Relationship Type="http://schemas.openxmlformats.org/officeDocument/2006/relationships/hyperlink" Target="https://prtimes.jp/main/html/rd/p/000000132.000155740.html" TargetMode="External" Id="rId129" /><Relationship Type="http://schemas.openxmlformats.org/officeDocument/2006/relationships/hyperlink" Target="https://prtimes.jp/main/html/rd/p/000000117.000155740.html" TargetMode="External" Id="rId130" /><Relationship Type="http://schemas.openxmlformats.org/officeDocument/2006/relationships/hyperlink" Target="https://headwaters.connpass.com/event/396107/" TargetMode="External" Id="rId131" /><Relationship Type="http://schemas.openxmlformats.org/officeDocument/2006/relationships/hyperlink" Target="https://querypiejapan.connpass.com/event/399467/" TargetMode="External" Id="rId132" /><Relationship Type="http://schemas.openxmlformats.org/officeDocument/2006/relationships/hyperlink" Target="https://www.seminar-info.jp/entry/seminars/view/3/6870" TargetMode="External" Id="rId133" /><Relationship Type="http://schemas.openxmlformats.org/officeDocument/2006/relationships/hyperlink" Target="https://solvio.connpass.com/event/399988/" TargetMode="External" Id="rId134" /><Relationship Type="http://schemas.openxmlformats.org/officeDocument/2006/relationships/hyperlink" Target="https://connpass.com/event/400877/" TargetMode="External" Id="rId135" /><Relationship Type="http://schemas.openxmlformats.org/officeDocument/2006/relationships/hyperlink" Target="https://www.kokuchpro.com/event/255341f534845a70d1eaf555157a51ac/" TargetMode="External" Id="rId136" /><Relationship Type="http://schemas.openxmlformats.org/officeDocument/2006/relationships/hyperlink" Target="https://jpoug.doorkeeper.jp/events/197950" TargetMode="External" Id="rId137" /><Relationship Type="http://schemas.openxmlformats.org/officeDocument/2006/relationships/hyperlink" Target="https://nextbeat.connpass.com/event/397529/" TargetMode="External" Id="rId138" /><Relationship Type="http://schemas.openxmlformats.org/officeDocument/2006/relationships/hyperlink" Target="https://prtimes.jp/main/html/rd/p/000000029.000045053.html" TargetMode="External" Id="rId139" /><Relationship Type="http://schemas.openxmlformats.org/officeDocument/2006/relationships/hyperlink" Target="https://www.kokuchpro.com/event/728813118681359582ef8ce8f366f6e6/" TargetMode="External" Id="rId140" /><Relationship Type="http://schemas.openxmlformats.org/officeDocument/2006/relationships/hyperlink" Target="https://masaru-study.connpass.com/event/398557/" TargetMode="External" Id="rId141" /><Relationship Type="http://schemas.openxmlformats.org/officeDocument/2006/relationships/hyperlink" Target="https://jp.ub-speeda.com/seminar/20260723_mcp/" TargetMode="External" Id="rId142" /><Relationship Type="http://schemas.openxmlformats.org/officeDocument/2006/relationships/hyperlink" Target="https://prtimes.jp/main/html/rd/p/000000014.000181368.html" TargetMode="External" Id="rId143" /><Relationship Type="http://schemas.openxmlformats.org/officeDocument/2006/relationships/hyperlink" Target="https://www.kokuchpro.com/event/0999ea661983981fa48e81d09c0559e5/" TargetMode="External" Id="rId144" /><Relationship Type="http://schemas.openxmlformats.org/officeDocument/2006/relationships/hyperlink" Target="https://majisemi-operation.doorkeeper.jp/events/198051" TargetMode="External" Id="rId145" /><Relationship Type="http://schemas.openxmlformats.org/officeDocument/2006/relationships/hyperlink" Target="https://prtimes.jp/main/html/rd/p/000000125.000155740.html" TargetMode="External" Id="rId146" /><Relationship Type="http://schemas.openxmlformats.org/officeDocument/2006/relationships/hyperlink" Target="https://findy.connpass.com/event/399253/" TargetMode="External" Id="rId147" /><Relationship Type="http://schemas.openxmlformats.org/officeDocument/2006/relationships/hyperlink" Target="https://www.kokuchpro.com/event/cafa314873fa0701c36247794366530b/" TargetMode="External" Id="rId148" /><Relationship Type="http://schemas.openxmlformats.org/officeDocument/2006/relationships/hyperlink" Target="https://modn-tech.connpass.com/event/400145/" TargetMode="External" Id="rId149" /><Relationship Type="http://schemas.openxmlformats.org/officeDocument/2006/relationships/hyperlink" Target="https://www.sbbit.jp/eventinfo/88483" TargetMode="External" Id="rId150" /><Relationship Type="http://schemas.openxmlformats.org/officeDocument/2006/relationships/hyperlink" Target="https://majisemi-sales.doorkeeper.jp/events/198186" TargetMode="External" Id="rId151" /><Relationship Type="http://schemas.openxmlformats.org/officeDocument/2006/relationships/hyperlink" Target="https://motex.connpass.com/event/399745/" TargetMode="External" Id="rId152" /><Relationship Type="http://schemas.openxmlformats.org/officeDocument/2006/relationships/hyperlink" Target="https://web-mining.doorkeeper.jp/events/197996" TargetMode="External" Id="rId153" /><Relationship Type="http://schemas.openxmlformats.org/officeDocument/2006/relationships/hyperlink" Target="https://www.kokuchpro.com/event/67c704a6ba119ffa603f407c42b657b0/" TargetMode="External" Id="rId154" /><Relationship Type="http://schemas.openxmlformats.org/officeDocument/2006/relationships/hyperlink" Target="https://intersystems-dc.connpass.com/event/398426/" TargetMode="External" Id="rId155" /><Relationship Type="http://schemas.openxmlformats.org/officeDocument/2006/relationships/hyperlink" Target="https://www.sbbit.jp/eventinfo/89562" TargetMode="External" Id="rId156" /><Relationship Type="http://schemas.openxmlformats.org/officeDocument/2006/relationships/hyperlink" Target="https://www.kokuchpro.com/event/91cc61cd97deb249b6ac048980895ff7/" TargetMode="External" Id="rId157" /><Relationship Type="http://schemas.openxmlformats.org/officeDocument/2006/relationships/hyperlink" Target="https://www.kokuchpro.com/event/fbfa52df9757bcdb970a414e2e73e1d5/" TargetMode="External" Id="rId158" /><Relationship Type="http://schemas.openxmlformats.org/officeDocument/2006/relationships/hyperlink" Target="https://cdle-kumamoto.connpass.com/event/397343/" TargetMode="External" Id="rId159" /><Relationship Type="http://schemas.openxmlformats.org/officeDocument/2006/relationships/hyperlink" Target="https://generative-agents.connpass.com/event/400928/" TargetMode="External" Id="rId160" /><Relationship Type="http://schemas.openxmlformats.org/officeDocument/2006/relationships/hyperlink" Target="https://modn-tech.connpass.com/event/400414/" TargetMode="External" Id="rId161" /><Relationship Type="http://schemas.openxmlformats.org/officeDocument/2006/relationships/hyperlink" Target="https://www.jaldx.co.jp/news/9369.html" TargetMode="External" Id="rId162" /><Relationship Type="http://schemas.openxmlformats.org/officeDocument/2006/relationships/hyperlink" Target="https://polyscape.connpass.com/event/399872/" TargetMode="External" Id="rId163" /><Relationship Type="http://schemas.openxmlformats.org/officeDocument/2006/relationships/hyperlink" Target="https://www.kokuchpro.com/event/b2624e237d36b1bd3ea00351befb8342/" TargetMode="External" Id="rId164" /><Relationship Type="http://schemas.openxmlformats.org/officeDocument/2006/relationships/hyperlink" Target="https://ai-agent-okinawa.connpass.com/event/401141/" TargetMode="External" Id="rId165" /><Relationship Type="http://schemas.openxmlformats.org/officeDocument/2006/relationships/hyperlink" Target="https://datascience-mokumoku-kyobashi.connpass.com/event/398872/" TargetMode="External" Id="rId166" /><Relationship Type="http://schemas.openxmlformats.org/officeDocument/2006/relationships/hyperlink" Target="https://www.sbbit.jp/eventinfo/88907" TargetMode="External" Id="rId167" /><Relationship Type="http://schemas.openxmlformats.org/officeDocument/2006/relationships/hyperlink" Target="https://www.kokuchpro.com/event/642ddfba3a563108e7202fd1ab950050/" TargetMode="External" Id="rId168" /><Relationship Type="http://schemas.openxmlformats.org/officeDocument/2006/relationships/hyperlink" Target="https://jawsug-chiba.connpass.com/event/398349/" TargetMode="External" Id="rId169" /><Relationship Type="http://schemas.openxmlformats.org/officeDocument/2006/relationships/hyperlink" Target="https://findy.connpass.com/event/398367/" TargetMode="External" Id="rId170" /><Relationship Type="http://schemas.openxmlformats.org/officeDocument/2006/relationships/hyperlink" Target="https://www.kokuchpro.com/event/aac91b86475652b41da3da0e38a76864/" TargetMode="External" Id="rId171" /><Relationship Type="http://schemas.openxmlformats.org/officeDocument/2006/relationships/hyperlink" Target="https://zenlab.connpass.com/event/398601/" TargetMode="External" Id="rId172" /><Relationship Type="http://schemas.openxmlformats.org/officeDocument/2006/relationships/hyperlink" Target="https://yurusharekai.connpass.com/event/400860/" TargetMode="External" Id="rId173" /><Relationship Type="http://schemas.openxmlformats.org/officeDocument/2006/relationships/hyperlink" Target="https://majisemi-technology.doorkeeper.jp/events/198149" TargetMode="External" Id="rId174" /><Relationship Type="http://schemas.openxmlformats.org/officeDocument/2006/relationships/hyperlink" Target="https://prtimes.jp/main/html/rd/p/000000442.000048939.html" TargetMode="External" Id="rId175" /><Relationship Type="http://schemas.openxmlformats.org/officeDocument/2006/relationships/hyperlink" Target="https://www.kokuchpro.com/event/8d8a42e1c7a2bc187241f0741d554e20/" TargetMode="External" Id="rId176" /><Relationship Type="http://schemas.openxmlformats.org/officeDocument/2006/relationships/hyperlink" Target="https://prtimes.jp/main/html/rd/p/000000034.000167191.html" TargetMode="External" Id="rId177" /><Relationship Type="http://schemas.openxmlformats.org/officeDocument/2006/relationships/hyperlink" Target="https://events.nikkei.co.jp/82909/" TargetMode="External" Id="rId178" /><Relationship Type="http://schemas.openxmlformats.org/officeDocument/2006/relationships/hyperlink" Target="https://cloudace.doorkeeper.jp/events/198053" TargetMode="External" Id="rId179" /><Relationship Type="http://schemas.openxmlformats.org/officeDocument/2006/relationships/hyperlink" Target="https://mlops.connpass.com/event/400451/" TargetMode="External" Id="rId180" /><Relationship Type="http://schemas.openxmlformats.org/officeDocument/2006/relationships/hyperlink" Target="https://jpn.nec.com/event/260728seizo-cox/index.html" TargetMode="External" Id="rId181" /><Relationship Type="http://schemas.openxmlformats.org/officeDocument/2006/relationships/hyperlink" Target="https://scalar.connpass.com/event/400004/" TargetMode="External" Id="rId182" /><Relationship Type="http://schemas.openxmlformats.org/officeDocument/2006/relationships/hyperlink" Target="https://skillupai.doorkeeper.jp/events/197997" TargetMode="External" Id="rId183" /><Relationship Type="http://schemas.openxmlformats.org/officeDocument/2006/relationships/hyperlink" Target="https://majisemi-technology.doorkeeper.jp/events/198025" TargetMode="External" Id="rId184" /><Relationship Type="http://schemas.openxmlformats.org/officeDocument/2006/relationships/hyperlink" Target="https://aismiley.co.jp/company_news/20260729webinar/" TargetMode="External" Id="rId185" /><Relationship Type="http://schemas.openxmlformats.org/officeDocument/2006/relationships/hyperlink" Target="https://gais.jp/ai-agent-summit-summer2026/" TargetMode="External" Id="rId186" /><Relationship Type="http://schemas.openxmlformats.org/officeDocument/2006/relationships/hyperlink" Target="https://www.kokuchpro.com/event/bd8a8161611562ded6d6da219d100aad/" TargetMode="External" Id="rId187" /><Relationship Type="http://schemas.openxmlformats.org/officeDocument/2006/relationships/hyperlink" Target="https://www.kokuchpro.com/event/5547d9fca6b4575f9401f7a39010d93b/" TargetMode="External" Id="rId188" /><Relationship Type="http://schemas.openxmlformats.org/officeDocument/2006/relationships/hyperlink" Target="https://events.nikkeibp.co.jp/event/2026/nxt0729infra/" TargetMode="External" Id="rId189" /><Relationship Type="http://schemas.openxmlformats.org/officeDocument/2006/relationships/hyperlink" Target="https://www.sbbit.jp/eventinfo/89001" TargetMode="External" Id="rId190" /><Relationship Type="http://schemas.openxmlformats.org/officeDocument/2006/relationships/hyperlink" Target="https://solvio.connpass.com/event/400965/" TargetMode="External" Id="rId191" /><Relationship Type="http://schemas.openxmlformats.org/officeDocument/2006/relationships/hyperlink" Target="https://aismiley.co.jp/webinar/20260729webinar/" TargetMode="External" Id="rId192" /><Relationship Type="http://schemas.openxmlformats.org/officeDocument/2006/relationships/hyperlink" Target="https://www.kokuchpro.com/event/7e918602def8d8458c93265fa1e48eb4/" TargetMode="External" Id="rId193" /><Relationship Type="http://schemas.openxmlformats.org/officeDocument/2006/relationships/hyperlink" Target="https://majisemi-security.doorkeeper.jp/events/198139" TargetMode="External" Id="rId194" /><Relationship Type="http://schemas.openxmlformats.org/officeDocument/2006/relationships/hyperlink" Target="https://www.kokuchpro.com/event/9c7c3edf4ceb4ddd42df93774e27be83/" TargetMode="External" Id="rId195" /><Relationship Type="http://schemas.openxmlformats.org/officeDocument/2006/relationships/hyperlink" Target="https://aismiley.co.jp/event_detail/iprosai-summer-20260729/" TargetMode="External" Id="rId196" /><Relationship Type="http://schemas.openxmlformats.org/officeDocument/2006/relationships/hyperlink" Target="https://ex.ipros.jp/expo/iprosai/" TargetMode="External" Id="rId197" /><Relationship Type="http://schemas.openxmlformats.org/officeDocument/2006/relationships/hyperlink" Target="https://prtimes.jp/main/html/rd/p/000000144.000001332.html" TargetMode="External" Id="rId198" /><Relationship Type="http://schemas.openxmlformats.org/officeDocument/2006/relationships/hyperlink" Target="https://osslabo.doorkeeper.jp/events/198182" TargetMode="External" Id="rId199" /><Relationship Type="http://schemas.openxmlformats.org/officeDocument/2006/relationships/hyperlink" Target="https://eventregist.com/e/AIForum2026" TargetMode="External" Id="rId200" /><Relationship Type="http://schemas.openxmlformats.org/officeDocument/2006/relationships/hyperlink" Target="https://azest.connpass.com/event/400048/" TargetMode="External" Id="rId201" /><Relationship Type="http://schemas.openxmlformats.org/officeDocument/2006/relationships/hyperlink" Target="https://www.kokuchpro.com/event/c851dfe5c2ac166452d1af36b30a07c9/" TargetMode="External" Id="rId202" /><Relationship Type="http://schemas.openxmlformats.org/officeDocument/2006/relationships/hyperlink" Target="https://moneyforward.connpass.com/event/396660/" TargetMode="External" Id="rId203" /><Relationship Type="http://schemas.openxmlformats.org/officeDocument/2006/relationships/hyperlink" Target="https://aid.connpass.com/event/392229/" TargetMode="External" Id="rId204" /><Relationship Type="http://schemas.openxmlformats.org/officeDocument/2006/relationships/hyperlink" Target="https://aid.connpass.com/event/392230/" TargetMode="External" Id="rId205" /><Relationship Type="http://schemas.openxmlformats.org/officeDocument/2006/relationships/hyperlink" Target="https://xtech.nikkei.com/atcl/nxt/news/24/03322/" TargetMode="External" Id="rId206" /><Relationship Type="http://schemas.openxmlformats.org/officeDocument/2006/relationships/hyperlink" Target="https://beyond.doorkeeper.jp/events/198332" TargetMode="External" Id="rId207" /><Relationship Type="http://schemas.openxmlformats.org/officeDocument/2006/relationships/hyperlink" Target="https://japan.zdnet.com/event_info/30015006/" TargetMode="External" Id="rId208" /><Relationship Type="http://schemas.openxmlformats.org/officeDocument/2006/relationships/hyperlink" Target="https://peatix.com/event/5083577" TargetMode="External" Id="rId209" /><Relationship Type="http://schemas.openxmlformats.org/officeDocument/2006/relationships/hyperlink" Target="https://mokumoku-infra-ai.connpass.com/event/401810/" TargetMode="External" Id="rId210" /><Relationship Type="http://schemas.openxmlformats.org/officeDocument/2006/relationships/hyperlink" Target="https://japan.zdnet.com/event_info/30015004/" TargetMode="External" Id="rId211" /><Relationship Type="http://schemas.openxmlformats.org/officeDocument/2006/relationships/hyperlink" Target="https://www.kokuchpro.com/event/5bf8d52b0d847f6dec45bef3fbcc10fa/" TargetMode="External" Id="rId212" /><Relationship Type="http://schemas.openxmlformats.org/officeDocument/2006/relationships/hyperlink" Target="https://polyscape.connpass.com/event/398438/" TargetMode="External" Id="rId213" /><Relationship Type="http://schemas.openxmlformats.org/officeDocument/2006/relationships/hyperlink" Target="https://japan.zdnet.com/event_info/30015008/" TargetMode="External" Id="rId214" /><Relationship Type="http://schemas.openxmlformats.org/officeDocument/2006/relationships/hyperlink" Target="https://wedxtalks.connpass.com/event/401566/" TargetMode="External" Id="rId215" /><Relationship Type="http://schemas.openxmlformats.org/officeDocument/2006/relationships/hyperlink" Target="https://web-mining.doorkeeper.jp/events/198326" TargetMode="External" Id="rId216" /><Relationship Type="http://schemas.openxmlformats.org/officeDocument/2006/relationships/hyperlink" Target="https://copli-next.connpass.com/event/398527/" TargetMode="External" Id="rId217" /><Relationship Type="http://schemas.openxmlformats.org/officeDocument/2006/relationships/hyperlink" Target="https://peatix.com/event/4982007" TargetMode="External" Id="rId218" /><Relationship Type="http://schemas.openxmlformats.org/officeDocument/2006/relationships/hyperlink" Target="https://peatix.com/event/4987590" TargetMode="External" Id="rId219" /><Relationship Type="http://schemas.openxmlformats.org/officeDocument/2006/relationships/hyperlink" Target="https://www.kokuchpro.com/event/16a61b71a30d40413dd74fd9028baa29/3852134/" TargetMode="External" Id="rId220" /><Relationship Type="http://schemas.openxmlformats.org/officeDocument/2006/relationships/hyperlink" Target="https://prtimes.jp/main/html/rd/p/000000434.000059894.html" TargetMode="External" Id="rId221" /><Relationship Type="http://schemas.openxmlformats.org/officeDocument/2006/relationships/hyperlink" Target="https://connpass.com/event/400828/" TargetMode="External" Id="rId222" /><Relationship Type="http://schemas.openxmlformats.org/officeDocument/2006/relationships/hyperlink" Target="https://prtimes.jp/main/html/rd/p/000000303.000021559.html" TargetMode="External" Id="rId223" /><Relationship Type="http://schemas.openxmlformats.org/officeDocument/2006/relationships/hyperlink" Target="https://future-tech-association.connpass.com/event/399651/" TargetMode="External" Id="rId224" /><Relationship Type="http://schemas.openxmlformats.org/officeDocument/2006/relationships/hyperlink" Target="https://mcsug.connpass.com/event/401562/" TargetMode="External" Id="rId225" /><Relationship Type="http://schemas.openxmlformats.org/officeDocument/2006/relationships/hyperlink" Target="https://www.sbbit.jp/eventinfo/89604" TargetMode="External" Id="rId226" /><Relationship Type="http://schemas.openxmlformats.org/officeDocument/2006/relationships/hyperlink" Target="https://prtimes.jp/main/html/rd/p/000005465.000054842.html" TargetMode="External" Id="rId227" /><Relationship Type="http://schemas.openxmlformats.org/officeDocument/2006/relationships/hyperlink" Target="https://majisemi-technology.doorkeeper.jp/events/198266" TargetMode="External" Id="rId228" /><Relationship Type="http://schemas.openxmlformats.org/officeDocument/2006/relationships/hyperlink" Target="https://www.kokuchpro.com/event/fcc6f5925aff705dc431032f0260d455/" TargetMode="External" Id="rId229" /><Relationship Type="http://schemas.openxmlformats.org/officeDocument/2006/relationships/hyperlink" Target="https://prtimes.jp/main/html/rd/p/000000432.000071062.html" TargetMode="External" Id="rId230" /><Relationship Type="http://schemas.openxmlformats.org/officeDocument/2006/relationships/hyperlink" Target="https://findy.connpass.com/event/400570/" TargetMode="External" Id="rId231" /><Relationship Type="http://schemas.openxmlformats.org/officeDocument/2006/relationships/hyperlink" Target="https://skillupai.doorkeeper.jp/events/198350" TargetMode="External" Id="rId232" /><Relationship Type="http://schemas.openxmlformats.org/officeDocument/2006/relationships/hyperlink" Target="https://generative-agents.connpass.com/event/401851/" TargetMode="External" Id="rId233" /><Relationship Type="http://schemas.openxmlformats.org/officeDocument/2006/relationships/hyperlink" Target="https://fffff.connpass.com/event/401155/" TargetMode="External" Id="rId234" /><Relationship Type="http://schemas.openxmlformats.org/officeDocument/2006/relationships/hyperlink" Target="https://www.100inc.co.jp/news/20260710-webinar-hubspot-ai-breeze-lab" TargetMode="External" Id="rId235" /><Relationship Type="http://schemas.openxmlformats.org/officeDocument/2006/relationships/hyperlink" Target="https://www.sbbit.jp/eventinfo/89047" TargetMode="External" Id="rId236" /><Relationship Type="http://schemas.openxmlformats.org/officeDocument/2006/relationships/hyperlink" Target="https://www.kokuchpro.com/event/5e217a67b0a473746353f8239ed80512/" TargetMode="External" Id="rId237" /><Relationship Type="http://schemas.openxmlformats.org/officeDocument/2006/relationships/hyperlink" Target="https://nrinetcom.connpass.com/event/401251/" TargetMode="External" Id="rId238" /><Relationship Type="http://schemas.openxmlformats.org/officeDocument/2006/relationships/hyperlink" Target="https://prtimes.jp/main/html/rd/p/000000098.000068656.html" TargetMode="External" Id="rId239" /><Relationship Type="http://schemas.openxmlformats.org/officeDocument/2006/relationships/hyperlink" Target="https://prtimes.jp/main/html/rd/p/000000783.000020223.html" TargetMode="External" Id="rId240" /><Relationship Type="http://schemas.openxmlformats.org/officeDocument/2006/relationships/hyperlink" Target="https://www.kokuchpro.com/event/d4089f7f0de2dfc567d3960f9f5649ea/" TargetMode="External" Id="rId241" /><Relationship Type="http://schemas.openxmlformats.org/officeDocument/2006/relationships/hyperlink" Target="https://www.kokuchpro.com/event/f12384e9b239d3cba04702bfa14312d0/" TargetMode="External" Id="rId242" /><Relationship Type="http://schemas.openxmlformats.org/officeDocument/2006/relationships/hyperlink" Target="https://www.sbbit.jp/eventinfo/89496" TargetMode="External" Id="rId243" /><Relationship Type="http://schemas.openxmlformats.org/officeDocument/2006/relationships/hyperlink" Target="https://findy-aiplus.connpass.com/event/401265/" TargetMode="External" Id="rId244" /><Relationship Type="http://schemas.openxmlformats.org/officeDocument/2006/relationships/hyperlink" Target="https://intersystems-dc.connpass.com/event/399906/" TargetMode="External" Id="rId245" /><Relationship Type="http://schemas.openxmlformats.org/officeDocument/2006/relationships/hyperlink" Target="https://www.kokuchpro.com/event/688252a6c2b580742b53d3c6e681502a/" TargetMode="External" Id="rId246" /><Relationship Type="http://schemas.openxmlformats.org/officeDocument/2006/relationships/hyperlink" Target="https://phper-oop.connpass.com/event/398585/" TargetMode="External" Id="rId247" /><Relationship Type="http://schemas.openxmlformats.org/officeDocument/2006/relationships/hyperlink" Target="https://www.kokuchpro.com/event/2dda0f2c2e43167cd05d1576d2644460/" TargetMode="External" Id="rId248" /><Relationship Type="http://schemas.openxmlformats.org/officeDocument/2006/relationships/hyperlink" Target="https://www.kokuchpro.com/event/7c56a9d1407ab0e8142d8a6060aae585/" TargetMode="External" Id="rId249" /><Relationship Type="http://schemas.openxmlformats.org/officeDocument/2006/relationships/hyperlink" Target="https://aconnect.stockmark.co.jp/seminar/20260806/" TargetMode="External" Id="rId250" /><Relationship Type="http://schemas.openxmlformats.org/officeDocument/2006/relationships/hyperlink" Target="https://connpass.com/event/402027/" TargetMode="External" Id="rId251" /><Relationship Type="http://schemas.openxmlformats.org/officeDocument/2006/relationships/hyperlink" Target="https://postman.connpass.com/event/399749/" TargetMode="External" Id="rId252" /><Relationship Type="http://schemas.openxmlformats.org/officeDocument/2006/relationships/hyperlink" Target="https://prtimes.jp/main/html/rd/p/000000009.000175889.html" TargetMode="External" Id="rId253" /><Relationship Type="http://schemas.openxmlformats.org/officeDocument/2006/relationships/hyperlink" Target="https://generative-agents.connpass.com/event/401909/" TargetMode="External" Id="rId254" /><Relationship Type="http://schemas.openxmlformats.org/officeDocument/2006/relationships/hyperlink" Target="https://prtimes.jp/main/html/rd/p/000000021.000166783.html" TargetMode="External" Id="rId255" /><Relationship Type="http://schemas.openxmlformats.org/officeDocument/2006/relationships/hyperlink" Target="https://majisemi-operation.doorkeeper.jp/events/198323" TargetMode="External" Id="rId256" /><Relationship Type="http://schemas.openxmlformats.org/officeDocument/2006/relationships/hyperlink" Target="https://explaza.connpass.com/event/401876/" TargetMode="External" Id="rId257" /><Relationship Type="http://schemas.openxmlformats.org/officeDocument/2006/relationships/hyperlink" Target="https://www.kokuchpro.com/event/c40c4e6aecaf1e86fff9c30afadcdf00/3862018/" TargetMode="External" Id="rId258" /><Relationship Type="http://schemas.openxmlformats.org/officeDocument/2006/relationships/hyperlink" Target="https://gdgoc-kobe-univ.connpass.com/event/401176/" TargetMode="External" Id="rId259" /><Relationship Type="http://schemas.openxmlformats.org/officeDocument/2006/relationships/hyperlink" Target="https://www.kokuchpro.com/event/15a43a407da7222e42c434f14baaefde/" TargetMode="External" Id="rId260" /><Relationship Type="http://schemas.openxmlformats.org/officeDocument/2006/relationships/hyperlink" Target="https://ai-driven-bonjin.connpass.com/event/402206/" TargetMode="External" Id="rId261" /><Relationship Type="http://schemas.openxmlformats.org/officeDocument/2006/relationships/hyperlink" Target="https://digital-labors.connpass.com/event/401168/" TargetMode="External" Id="rId262" /><Relationship Type="http://schemas.openxmlformats.org/officeDocument/2006/relationships/hyperlink" Target="https://www.kokuchpro.com/event/2be59d0aea3dc444777684490066cea9/" TargetMode="External" Id="rId263" /><Relationship Type="http://schemas.openxmlformats.org/officeDocument/2006/relationships/hyperlink" Target="https://www.kokuchpro.com/event/107b72191d44d9fed440a207798edb21/" TargetMode="External" Id="rId264" /><Relationship Type="http://schemas.openxmlformats.org/officeDocument/2006/relationships/hyperlink" Target="https://www.kokuchpro.com/event/d49250e9647d184466c775c4a8465e46/" TargetMode="External" Id="rId265" /><Relationship Type="http://schemas.openxmlformats.org/officeDocument/2006/relationships/hyperlink" Target="https://i-love-ai.connpass.com/event/397511/" TargetMode="External" Id="rId266" /><Relationship Type="http://schemas.openxmlformats.org/officeDocument/2006/relationships/hyperlink" Target="https://fristi.connpass.com/event/400745/" TargetMode="External" Id="rId267" /><Relationship Type="http://schemas.openxmlformats.org/officeDocument/2006/relationships/hyperlink" Target="https://generative-agents.connpass.com/event/402896/" TargetMode="External" Id="rId268" /><Relationship Type="http://schemas.openxmlformats.org/officeDocument/2006/relationships/hyperlink" Target="https://code-based-presentation.connpass.com/event/401427/" TargetMode="External" Id="rId269" /><Relationship Type="http://schemas.openxmlformats.org/officeDocument/2006/relationships/hyperlink" Target="https://nrinetcom.connpass.com/event/401295/" TargetMode="External" Id="rId270" /><Relationship Type="http://schemas.openxmlformats.org/officeDocument/2006/relationships/hyperlink" Target="https://ai-agent-okinawa.connpass.com/event/402920/" TargetMode="External" Id="rId271" /><Relationship Type="http://schemas.openxmlformats.org/officeDocument/2006/relationships/hyperlink" Target="https://cssnite.doorkeeper.jp/events/198097" TargetMode="External" Id="rId272" /><Relationship Type="http://schemas.openxmlformats.org/officeDocument/2006/relationships/hyperlink" Target="https://digital-labors.connpass.com/event/401850/" TargetMode="External" Id="rId273" /><Relationship Type="http://schemas.openxmlformats.org/officeDocument/2006/relationships/hyperlink" Target="https://streamline.connpass.com/event/403209/" TargetMode="External" Id="rId274" /><Relationship Type="http://schemas.openxmlformats.org/officeDocument/2006/relationships/hyperlink" Target="https://glass-sun.connpass.com/event/402400/" TargetMode="External" Id="rId275" /><Relationship Type="http://schemas.openxmlformats.org/officeDocument/2006/relationships/hyperlink" Target="https://techgym.doorkeeper.jp/events/198719" TargetMode="External" Id="rId276" /><Relationship Type="http://schemas.openxmlformats.org/officeDocument/2006/relationships/hyperlink" Target="https://streamline.connpass.com/event/403211/" TargetMode="External" Id="rId277" /><Relationship Type="http://schemas.openxmlformats.org/officeDocument/2006/relationships/hyperlink" Target="https://cdle-kumamoto.connpass.com/event/401212/" TargetMode="External" Id="rId278" /><Relationship Type="http://schemas.openxmlformats.org/officeDocument/2006/relationships/hyperlink" Target="https://monochr.doorkeeper.jp/events/198449" TargetMode="External" Id="rId279" /><Relationship Type="http://schemas.openxmlformats.org/officeDocument/2006/relationships/hyperlink" Target="https://generative-agents.connpass.com/event/403576/" TargetMode="External" Id="rId280" /><Relationship Type="http://schemas.openxmlformats.org/officeDocument/2006/relationships/hyperlink" Target="https://connpass.com/event/403524/" TargetMode="External" Id="rId281" /><Relationship Type="http://schemas.openxmlformats.org/officeDocument/2006/relationships/hyperlink" Target="https://jawsug-nagoya.connpass.com/event/400487/" TargetMode="External" Id="rId282" /><Relationship Type="http://schemas.openxmlformats.org/officeDocument/2006/relationships/hyperlink" Target="https://prtimes.jp/main/html/rd/p/000000144.000142396.html" TargetMode="External" Id="rId283" /><Relationship Type="http://schemas.openxmlformats.org/officeDocument/2006/relationships/hyperlink" Target="https://polyscape.connpass.com/event/401440/" TargetMode="External" Id="rId284" /><Relationship Type="http://schemas.openxmlformats.org/officeDocument/2006/relationships/hyperlink" Target="https://coderabbit.connpass.com/event/402788/" TargetMode="External" Id="rId285" /><Relationship Type="http://schemas.openxmlformats.org/officeDocument/2006/relationships/hyperlink" Target="https://scalar.connpass.com/event/400658/" TargetMode="External" Id="rId286" /><Relationship Type="http://schemas.openxmlformats.org/officeDocument/2006/relationships/hyperlink" Target="https://connpass.com/event/401479/" TargetMode="External" Id="rId287" /><Relationship Type="http://schemas.openxmlformats.org/officeDocument/2006/relationships/hyperlink" Target="https://www.kokuchpro.com/event/satobito_20260819/" TargetMode="External" Id="rId288" /><Relationship Type="http://schemas.openxmlformats.org/officeDocument/2006/relationships/hyperlink" Target="https://offers-jp.connpass.com/event/399850/" TargetMode="External" Id="rId289" /><Relationship Type="http://schemas.openxmlformats.org/officeDocument/2006/relationships/hyperlink" Target="https://prtimes.jp/main/html/rd/p/000000626.000036528.html" TargetMode="External" Id="rId290" /><Relationship Type="http://schemas.openxmlformats.org/officeDocument/2006/relationships/hyperlink" Target="https://www.kokuchpro.com/event/b48f849f84745dd2e3987322306c7668/" TargetMode="External" Id="rId291" /><Relationship Type="http://schemas.openxmlformats.org/officeDocument/2006/relationships/hyperlink" Target="https://dxdojo.connpass.com/event/402969/" TargetMode="External" Id="rId292" /><Relationship Type="http://schemas.openxmlformats.org/officeDocument/2006/relationships/hyperlink" Target="https://nandemo.connpass.com/event/402986/" TargetMode="External" Id="rId293" /><Relationship Type="http://schemas.openxmlformats.org/officeDocument/2006/relationships/hyperlink" Target="https://www.kokuchpro.com/event/e6fb54d0f6b3270bd58234bec2cd4700/" TargetMode="External" Id="rId294" /><Relationship Type="http://schemas.openxmlformats.org/officeDocument/2006/relationships/hyperlink" Target="https://www.sbbit.jp/eventinfo/89281" TargetMode="External" Id="rId295" /><Relationship Type="http://schemas.openxmlformats.org/officeDocument/2006/relationships/hyperlink" Target="https://solvio.connpass.com/event/403578/" TargetMode="External" Id="rId296" /><Relationship Type="http://schemas.openxmlformats.org/officeDocument/2006/relationships/hyperlink" Target="https://findy-aiplus.connpass.com/event/401663/" TargetMode="External" Id="rId297" /><Relationship Type="http://schemas.openxmlformats.org/officeDocument/2006/relationships/hyperlink" Target="https://www.kokuchpro.com/event/3ada15b7819b6275b5c4c9deb1c3c9c8/" TargetMode="External" Id="rId298" /><Relationship Type="http://schemas.openxmlformats.org/officeDocument/2006/relationships/hyperlink" Target="https://www.kokuchpro.com/event/seisei_ai_260820/" TargetMode="External" Id="rId299" /><Relationship Type="http://schemas.openxmlformats.org/officeDocument/2006/relationships/hyperlink" Target="https://www.kokuchpro.com/event/10348f3d83444093dcb91722adab3d2c/" TargetMode="External" Id="rId300" /><Relationship Type="http://schemas.openxmlformats.org/officeDocument/2006/relationships/hyperlink" Target="https://querypiejapan.connpass.com/event/403408/" TargetMode="External" Id="rId301" /><Relationship Type="http://schemas.openxmlformats.org/officeDocument/2006/relationships/hyperlink" Target="https://www.kokuchpro.com/event/edf6782234c42816d79ff0021fe5b0e4/3869841/" TargetMode="External" Id="rId302" /><Relationship Type="http://schemas.openxmlformats.org/officeDocument/2006/relationships/hyperlink" Target="https://www.kokuchpro.com/event/c95450f8ec53ec792062d7032bca72ab/" TargetMode="External" Id="rId303" /><Relationship Type="http://schemas.openxmlformats.org/officeDocument/2006/relationships/hyperlink" Target="https://bizexpo.jp/exhibitions/dx-ai-dxpo-202608" TargetMode="External" Id="rId304" /><Relationship Type="http://schemas.openxmlformats.org/officeDocument/2006/relationships/hyperlink" Target="https://prtimes.jp/main/html/rd/p/000000247.000017704.html" TargetMode="External" Id="rId305" /><Relationship Type="http://schemas.openxmlformats.org/officeDocument/2006/relationships/hyperlink" Target="https://genai-users.connpass.com/event/404236/" TargetMode="External" Id="rId306" /><Relationship Type="http://schemas.openxmlformats.org/officeDocument/2006/relationships/hyperlink" Target="https://peatix.com/event/5132470" TargetMode="External" Id="rId307" /><Relationship Type="http://schemas.openxmlformats.org/officeDocument/2006/relationships/hyperlink" Target="https://www.kokuchpro.com/event/bc802a842bd8d8b702bb5bdabf99e2df/" TargetMode="External" Id="rId308" /><Relationship Type="http://schemas.openxmlformats.org/officeDocument/2006/relationships/hyperlink" Target="https://connpass.com/event/400867/" TargetMode="External" Id="rId309" /><Relationship Type="http://schemas.openxmlformats.org/officeDocument/2006/relationships/hyperlink" Target="https://www.kokuchpro.com/event/e662b5afb6fa28ab070681b45d8cca2f/" TargetMode="External" Id="rId310" /><Relationship Type="http://schemas.openxmlformats.org/officeDocument/2006/relationships/hyperlink" Target="https://prtimes.jp/main/html/rd/p/000000278.000116644.html" TargetMode="External" Id="rId311" /><Relationship Type="http://schemas.openxmlformats.org/officeDocument/2006/relationships/hyperlink" Target="https://peatix.com/event/5081712" TargetMode="External" Id="rId312" /><Relationship Type="http://schemas.openxmlformats.org/officeDocument/2006/relationships/hyperlink" Target="https://crane-game.connpass.com/event/403350/" TargetMode="External" Id="rId313" /><Relationship Type="http://schemas.openxmlformats.org/officeDocument/2006/relationships/hyperlink" Target="https://www.kokuchpro.com/event/09981ae4d04fdac727e80a4981f5f962/" TargetMode="External" Id="rId314" /><Relationship Type="http://schemas.openxmlformats.org/officeDocument/2006/relationships/hyperlink" Target="https://techgym.doorkeeper.jp/events/198718" TargetMode="External" Id="rId315" /><Relationship Type="http://schemas.openxmlformats.org/officeDocument/2006/relationships/hyperlink" Target="https://www.kokuchpro.com/event/ac9826aec0c6506f5668d63ac912b860/" TargetMode="External" Id="rId316" /><Relationship Type="http://schemas.openxmlformats.org/officeDocument/2006/relationships/hyperlink" Target="https://forkwell.connpass.com/event/402142/" TargetMode="External" Id="rId317" /><Relationship Type="http://schemas.openxmlformats.org/officeDocument/2006/relationships/hyperlink" Target="https://majisemi-operation.doorkeeper.jp/events/198490" TargetMode="External" Id="rId318" /><Relationship Type="http://schemas.openxmlformats.org/officeDocument/2006/relationships/hyperlink" Target="https://scalar.connpass.com/event/404000/" TargetMode="External" Id="rId319" /><Relationship Type="http://schemas.openxmlformats.org/officeDocument/2006/relationships/hyperlink" Target="https://datascience-mokumoku-kyobashi.connpass.com/event/401167/" TargetMode="External" Id="rId320" /><Relationship Type="http://schemas.openxmlformats.org/officeDocument/2006/relationships/hyperlink" Target="https://achi-kochi.connpass.com/event/404384/" TargetMode="External" Id="rId321" /><Relationship Type="http://schemas.openxmlformats.org/officeDocument/2006/relationships/hyperlink" Target="https://majisemi-data.doorkeeper.jp/events/198576" TargetMode="External" Id="rId322" /><Relationship Type="http://schemas.openxmlformats.org/officeDocument/2006/relationships/hyperlink" Target="https://nrinetcom.connpass.com/event/403772/" TargetMode="External" Id="rId323" /><Relationship Type="http://schemas.openxmlformats.org/officeDocument/2006/relationships/hyperlink" Target="https://jawsug-ai.connpass.com/event/403490/" TargetMode="External" Id="rId324" /><Relationship Type="http://schemas.openxmlformats.org/officeDocument/2006/relationships/hyperlink" Target="https://www.kokuchpro.com/event/ff2c85d09ea852f304937fe6a2026891/" TargetMode="External" Id="rId325" /><Relationship Type="http://schemas.openxmlformats.org/officeDocument/2006/relationships/hyperlink" Target="https://www.kokuchpro.com/event/cddd071de4b6cd6cb6855d312c0263dd/" TargetMode="External" Id="rId326" /><Relationship Type="http://schemas.openxmlformats.org/officeDocument/2006/relationships/hyperlink" Target="https://alleeks.connpass.com/event/402948/" TargetMode="External" Id="rId327" /><Relationship Type="http://schemas.openxmlformats.org/officeDocument/2006/relationships/hyperlink" Target="https://majisemi-technology.doorkeeper.jp/events/198386" TargetMode="External" Id="rId328" /><Relationship Type="http://schemas.openxmlformats.org/officeDocument/2006/relationships/hyperlink" Target="https://prtimes.jp/main/html/rd/p/000000507.000042056.html" TargetMode="External" Id="rId329" /><Relationship Type="http://schemas.openxmlformats.org/officeDocument/2006/relationships/hyperlink" Target="https://majisemi-idaas.doorkeeper.jp/events/198491" TargetMode="External" Id="rId330" /><Relationship Type="http://schemas.openxmlformats.org/officeDocument/2006/relationships/hyperlink" Target="https://www.kokuchpro.com/event/3d9602343ea13a1d1b58323e5149ccb6/" TargetMode="External" Id="rId331" /><Relationship Type="http://schemas.openxmlformats.org/officeDocument/2006/relationships/hyperlink" Target="https://unionai-claude-code.peatix.com/" TargetMode="External" Id="rId332" /><Relationship Type="http://schemas.openxmlformats.org/officeDocument/2006/relationships/hyperlink" Target="https://www.kokuchpro.com/event/6c513e6d4f8e3d1f65f8595f1f56ea1c/" TargetMode="External" Id="rId333" /><Relationship Type="http://schemas.openxmlformats.org/officeDocument/2006/relationships/hyperlink" Target="https://prtimes.jp/main/html/rd/p/000005511.000054842.html" TargetMode="External" Id="rId334" /><Relationship Type="http://schemas.openxmlformats.org/officeDocument/2006/relationships/hyperlink" Target="https://majisemi-technology.doorkeeper.jp/events/198488" TargetMode="External" Id="rId335" /><Relationship Type="http://schemas.openxmlformats.org/officeDocument/2006/relationships/hyperlink" Target="https://skillupai.doorkeeper.jp/events/198586" TargetMode="External" Id="rId336" /><Relationship Type="http://schemas.openxmlformats.org/officeDocument/2006/relationships/hyperlink" Target="https://solvio.connpass.com/event/403766/" TargetMode="External" Id="rId337" /><Relationship Type="http://schemas.openxmlformats.org/officeDocument/2006/relationships/hyperlink" Target="https://generative-agents.connpass.com/event/403963/" TargetMode="External" Id="rId338" /><Relationship Type="http://schemas.openxmlformats.org/officeDocument/2006/relationships/hyperlink" Target="https://aismiley.co.jp/ai_news/aihaku-sum2026-report02/" TargetMode="External" Id="rId339" /><Relationship Type="http://schemas.openxmlformats.org/officeDocument/2006/relationships/hyperlink" Target="https://www.chuo-computer.co.jp/news/20260821/" TargetMode="External" Id="rId340" /><Relationship Type="http://schemas.openxmlformats.org/officeDocument/2006/relationships/hyperlink" Target="https://aismiley.co.jp/ai_news/20260826webinar/" TargetMode="External" Id="rId341" /><Relationship Type="http://schemas.openxmlformats.org/officeDocument/2006/relationships/hyperlink" Target="https://web-mining.doorkeeper.jp/events/198676" TargetMode="External" Id="rId342" /><Relationship Type="http://schemas.openxmlformats.org/officeDocument/2006/relationships/hyperlink" Target="https://www.kokuchpro.com/event/414c894be3d62002b5839830bded9990/" TargetMode="External" Id="rId343" /><Relationship Type="http://schemas.openxmlformats.org/officeDocument/2006/relationships/hyperlink" Target="https://offers-jp.connpass.com/event/401450/" TargetMode="External" Id="rId344" /><Relationship Type="http://schemas.openxmlformats.org/officeDocument/2006/relationships/hyperlink" Target="https://prtimes.jp/main/html/rd/p/000000206.000035215.html" TargetMode="External" Id="rId345" /><Relationship Type="http://schemas.openxmlformats.org/officeDocument/2006/relationships/hyperlink" Target="https://dxer.connpass.com/event/402509/" TargetMode="External" Id="rId346" /><Relationship Type="http://schemas.openxmlformats.org/officeDocument/2006/relationships/hyperlink" Target="https://www.kokuchpro.com/event/1ada8bb76ae66c2aade0e8054c784caa/" TargetMode="External" Id="rId347" /><Relationship Type="http://schemas.openxmlformats.org/officeDocument/2006/relationships/hyperlink" Target="https://prtimes.jp/main/html/rd/p/000000018.000175889.html" TargetMode="External" Id="rId348" /><Relationship Type="http://schemas.openxmlformats.org/officeDocument/2006/relationships/hyperlink" Target="https://www.kokuchpro.com/event/6dc0b2cd4e8e341a978ac2a0490762a1/" TargetMode="External" Id="rId349" /><Relationship Type="http://schemas.openxmlformats.org/officeDocument/2006/relationships/hyperlink" Target="https://www.kokuchpro.com/event/a4113cef596f1e0521e48cb15c7fe6aa/" TargetMode="External" Id="rId350" /><Relationship Type="http://schemas.openxmlformats.org/officeDocument/2006/relationships/hyperlink" Target="https://mitsurumemo.connpass.com/event/404695/" TargetMode="External" Id="rId351" /><Relationship Type="http://schemas.openxmlformats.org/officeDocument/2006/relationships/hyperlink" Target="https://jdmc.connpass.com/event/400197/" TargetMode="External" Id="rId352" /><Relationship Type="http://schemas.openxmlformats.org/officeDocument/2006/relationships/hyperlink" Target="https://majisemi-technology.doorkeeper.jp/events/198546" TargetMode="External" Id="rId353" /><Relationship Type="http://schemas.openxmlformats.org/officeDocument/2006/relationships/hyperlink" Target="https://polyscape.connpass.com/event/402426/" TargetMode="External" Id="rId354" /><Relationship Type="http://schemas.openxmlformats.org/officeDocument/2006/relationships/hyperlink" Target="https://connpass.com/event/402927/" TargetMode="External" Id="rId355" /><Relationship Type="http://schemas.openxmlformats.org/officeDocument/2006/relationships/hyperlink" Target="https://www.kokuchpro.com/event/1fee470b2c03f29d184815e54f8a5ba5/" TargetMode="External" Id="rId356" /><Relationship Type="http://schemas.openxmlformats.org/officeDocument/2006/relationships/hyperlink" Target="https://prtimes.jp/main/html/rd/p/000002118.000000183.html" TargetMode="External" Id="rId357" /><Relationship Type="http://schemas.openxmlformats.org/officeDocument/2006/relationships/hyperlink" Target="https://protoout.connpass.com/event/401712/" TargetMode="External" Id="rId358" /><Relationship Type="http://schemas.openxmlformats.org/officeDocument/2006/relationships/hyperlink" Target="https://kinto-technologies.connpass.com/event/400133/" TargetMode="External" Id="rId359" /><Relationship Type="http://schemas.openxmlformats.org/officeDocument/2006/relationships/hyperlink" Target="https://majisemi-technology.doorkeeper.jp/events/198520" TargetMode="External" Id="rId360" /><Relationship Type="http://schemas.openxmlformats.org/officeDocument/2006/relationships/hyperlink" Target="https://www.itic.pref.ibaraki.jp/infolist/seminar_training/info-20260731/" TargetMode="External" Id="rId361" /><Relationship Type="http://schemas.openxmlformats.org/officeDocument/2006/relationships/hyperlink" Target="https://pages2.dentsudigital.co.jp/seminar/20260827/" TargetMode="External" Id="rId362" /><Relationship Type="http://schemas.openxmlformats.org/officeDocument/2006/relationships/hyperlink" Target="https://sre-holdings.connpass.com/event/401894/" TargetMode="External" Id="rId363" /><Relationship Type="http://schemas.openxmlformats.org/officeDocument/2006/relationships/hyperlink" Target="https://www.kokuchpro.com/event/aiagent0828/" TargetMode="External" Id="rId364" /><Relationship Type="http://schemas.openxmlformats.org/officeDocument/2006/relationships/hyperlink" Target="https://aihacklabo.connpass.com/event/402216/" TargetMode="External" Id="rId365" /><Relationship Type="http://schemas.openxmlformats.org/officeDocument/2006/relationships/hyperlink" Target="https://aid.connpass.com/event/402949/" TargetMode="External" Id="rId366" /><Relationship Type="http://schemas.openxmlformats.org/officeDocument/2006/relationships/hyperlink" Target="https://www.freee.co.jp/lp2/freee-advisor-day/" TargetMode="External" Id="rId367" /><Relationship Type="http://schemas.openxmlformats.org/officeDocument/2006/relationships/hyperlink" Target="https://corp.freee.co.jp/news/20260807freee_AIagent&amp;fAH.html" TargetMode="External" Id="rId368" /><Relationship Type="http://schemas.openxmlformats.org/officeDocument/2006/relationships/hyperlink" Target="https://gameschool.doorkeeper.jp/events/198459" TargetMode="External" Id="rId369" /><Relationship Type="http://schemas.openxmlformats.org/officeDocument/2006/relationships/hyperlink" Target="https://aismiley.co.jp/webinar/20260828webinar/" TargetMode="External" Id="rId370" /><Relationship Type="http://schemas.openxmlformats.org/officeDocument/2006/relationships/hyperlink" Target="https://majisemi-dev.doorkeeper.jp/events/198507" TargetMode="External" Id="rId371" /><Relationship Type="http://schemas.openxmlformats.org/officeDocument/2006/relationships/hyperlink" Target="https://aismiley.co.jp/ai_news/20260828webinar/" TargetMode="External" Id="rId372" /><Relationship Type="http://schemas.openxmlformats.org/officeDocument/2006/relationships/hyperlink" Target="https://connpass.com/event/404208/" TargetMode="External" Id="rId373" /><Relationship Type="http://schemas.openxmlformats.org/officeDocument/2006/relationships/hyperlink" Target="https://apol2020.connpass.com/event/403011/" TargetMode="External" Id="rId374" /><Relationship Type="http://schemas.openxmlformats.org/officeDocument/2006/relationships/hyperlink" Target="https://gdsc-tmu.connpass.com/event/401139/" TargetMode="External" Id="rId375" /><Relationship Type="http://schemas.openxmlformats.org/officeDocument/2006/relationships/hyperlink" Target="https://prtimes.jp/main/html/rd/p/000000304.000021559.html" TargetMode="External" Id="rId376" /><Relationship Type="http://schemas.openxmlformats.org/officeDocument/2006/relationships/hyperlink" Target="https://devops-study.connpass.com/event/402331/" TargetMode="External" Id="rId377" /><Relationship Type="http://schemas.openxmlformats.org/officeDocument/2006/relationships/hyperlink" Target="https://web-mining.doorkeeper.jp/events/198274" TargetMode="External" Id="rId378" /><Relationship Type="http://schemas.openxmlformats.org/officeDocument/2006/relationships/hyperlink" Target="https://www.kokuchpro.com/event/d42f60aa80c72bd890e666f79fb4326a/" TargetMode="External" Id="rId379" /><Relationship Type="http://schemas.openxmlformats.org/officeDocument/2006/relationships/hyperlink" Target="https://www.kokuchpro.com/event/c4c45682fee8a511c64041da1b520717/3867721/" TargetMode="External" Id="rId380" /><Relationship Type="http://schemas.openxmlformats.org/officeDocument/2006/relationships/hyperlink" Target="https://www.kokuchpro.com/event/dc9a0669c2b210188a9e5886b9e43266/" TargetMode="External" Id="rId381" /><Relationship Type="http://schemas.openxmlformats.org/officeDocument/2006/relationships/hyperlink" Target="https://bpstudy.connpass.com/event/401476/" TargetMode="External" Id="rId382" /><Relationship Type="http://schemas.openxmlformats.org/officeDocument/2006/relationships/hyperlink" Target="https://www.techvan.co.jp/news/2026/08/0831_14webcopilotstudio.html" TargetMode="External" Id="rId383" /><Relationship Type="http://schemas.openxmlformats.org/officeDocument/2006/relationships/hyperlink" Target="https://layerx.connpass.com/event/399945/" TargetMode="External" Id="rId384" /><Relationship Type="http://schemas.openxmlformats.org/officeDocument/2006/relationships/hyperlink" Target="https://droidkaigi.doorkeeper.jp/events/198628" TargetMode="External" Id="rId385" /><Relationship Type="http://schemas.openxmlformats.org/officeDocument/2006/relationships/hyperlink" Target="https://prtimes.jp/main/html/rd/p/000000366.000046062.html" TargetMode="External" Id="rId386" /><Relationship Type="http://schemas.openxmlformats.org/officeDocument/2006/relationships/hyperlink" Target="https://majisemi-technology.doorkeeper.jp/events/198618" TargetMode="External" Id="rId387" /><Relationship Type="http://schemas.openxmlformats.org/officeDocument/2006/relationships/hyperlink" Target="https://cireds.doorkeeper.jp/events/198133" TargetMode="External" Id="rId388" /><Relationship Type="http://schemas.openxmlformats.org/officeDocument/2006/relationships/hyperlink" Target="https://shaketech.connpass.com/event/401907/" TargetMode="External" Id="rId389" /><Relationship Type="http://schemas.openxmlformats.org/officeDocument/2006/relationships/hyperlink" Target="https://generative-agents.connpass.com/event/404983/" TargetMode="External" Id="rId390" /><Relationship Type="http://schemas.openxmlformats.org/officeDocument/2006/relationships/hyperlink" Target="https://japan.zdnet.com/event_info/30015062/" TargetMode="External" Id="rId391" /><Relationship Type="http://schemas.openxmlformats.org/officeDocument/2006/relationships/hyperlink" Target="https://www.100inc.co.jp/news/20260805-event-hubspot-ai-agent-workshop" TargetMode="External" Id="rId392" /><Relationship Type="http://schemas.openxmlformats.org/officeDocument/2006/relationships/hyperlink" Target="https://japan.zdnet.com/event_info/30015071/" TargetMode="External" Id="rId393" /><Relationship Type="http://schemas.openxmlformats.org/officeDocument/2006/relationships/hyperlink" Target="https://dxdojo.connpass.com/event/405048/" TargetMode="External" Id="rId394" /><Relationship Type="http://schemas.openxmlformats.org/officeDocument/2006/relationships/hyperlink" Target="https://ai-devtools.connpass.com/event/403169/" TargetMode="External" Id="rId395" /><Relationship Type="http://schemas.openxmlformats.org/officeDocument/2006/relationships/hyperlink" Target="https://www.salesforce.com/jp/blog/jp-salesforce-free-webinar-2026/" TargetMode="External" Id="rId396" /><Relationship Type="http://schemas.openxmlformats.org/officeDocument/2006/relationships/hyperlink" Target="https://majisemi-idaas.doorkeeper.jp/events/198662" TargetMode="External" Id="rId397" /><Relationship Type="http://schemas.openxmlformats.org/officeDocument/2006/relationships/hyperlink" Target="https://peatix.com/event/5140674" TargetMode="External" Id="rId398" /><Relationship Type="http://schemas.openxmlformats.org/officeDocument/2006/relationships/hyperlink" Target="https://www.kokuchpro.com/event/d0a050edaee3feb8cc3e52088a28bc87/" TargetMode="External" Id="rId399" /><Relationship Type="http://schemas.openxmlformats.org/officeDocument/2006/relationships/hyperlink" Target="https://intersystems-dc.connpass.com/event/401244/" TargetMode="External" Id="rId400" /><Relationship Type="http://schemas.openxmlformats.org/officeDocument/2006/relationships/hyperlink" Target="https://f2ff.jp/event/dx-ai" TargetMode="External" Id="rId401" /><Relationship Type="http://schemas.openxmlformats.org/officeDocument/2006/relationships/hyperlink" Target="https://www.jsug.org/post/schedule-joule-webiner-20260903" TargetMode="External" Id="rId402" /><Relationship Type="http://schemas.openxmlformats.org/officeDocument/2006/relationships/hyperlink" Target="https://www.kokuchpro.com/event/dc34365b1870492c4a5d4054f6496e55/" TargetMode="External" Id="rId403" /><Relationship Type="http://schemas.openxmlformats.org/officeDocument/2006/relationships/hyperlink" Target="https://web-mining.doorkeeper.jp/events/198675" TargetMode="External" Id="rId404" /><Relationship Type="http://schemas.openxmlformats.org/officeDocument/2006/relationships/hyperlink" Target="https://www.kokuchpro.com/event/45c7d1d1698cefbad8a7bc7e28403d6e/" TargetMode="External" Id="rId405" /><Relationship Type="http://schemas.openxmlformats.org/officeDocument/2006/relationships/hyperlink" Target="https://www.kokuchpro.com/event/99a9d54cc1a761600a04e2305b62d415/" TargetMode="External" Id="rId406" /><Relationship Type="http://schemas.openxmlformats.org/officeDocument/2006/relationships/hyperlink" Target="https://trident-qa.connpass.com/event/401372/" TargetMode="External" Id="rId407" /><Relationship Type="http://schemas.openxmlformats.org/officeDocument/2006/relationships/hyperlink" Target="https://connpass.com/event/403748/" TargetMode="External" Id="rId408" /><Relationship Type="http://schemas.openxmlformats.org/officeDocument/2006/relationships/hyperlink" Target="https://www.kokuchpro.com/event/1cfe4d95879a6a2d899a7b1e6b580416/" TargetMode="External" Id="rId409" /><Relationship Type="http://schemas.openxmlformats.org/officeDocument/2006/relationships/hyperlink" Target="https://www.sbbit.jp/eventinfo/88486" TargetMode="External" Id="rId410" /><Relationship Type="http://schemas.openxmlformats.org/officeDocument/2006/relationships/hyperlink" Target="https://prtimes.jp/main/html/rd/p/000000032.000042640.html" TargetMode="External" Id="rId411" /><Relationship Type="http://schemas.openxmlformats.org/officeDocument/2006/relationships/hyperlink" Target="https://findy.connpass.com/event/403790/" TargetMode="External" Id="rId412" /><Relationship Type="http://schemas.openxmlformats.org/officeDocument/2006/relationships/hyperlink" Target="https://classmethod.connpass.com/event/398578/" TargetMode="External" Id="rId413" /><Relationship Type="http://schemas.openxmlformats.org/officeDocument/2006/relationships/hyperlink" Target="https://www.kokuchpro.com/event/af423536702ee0ee7ec852182609793b/" TargetMode="External" Id="rId414" /><Relationship Type="http://schemas.openxmlformats.org/officeDocument/2006/relationships/hyperlink" Target="https://www.kokuchpro.com/event/fff8b314805ac544c7de5cddcf2c6d99/3873398/" TargetMode="External" Id="rId415" /><Relationship Type="http://schemas.openxmlformats.org/officeDocument/2006/relationships/hyperlink" Target="https://tunagu-engineer.connpass.com/event/404012/" TargetMode="External" Id="rId416" /><Relationship Type="http://schemas.openxmlformats.org/officeDocument/2006/relationships/hyperlink" Target="https://singularitysociety.connpass.com/event/403809/" TargetMode="External" Id="rId417" /><Relationship Type="http://schemas.openxmlformats.org/officeDocument/2006/relationships/hyperlink" Target="https://fristi.connpass.com/event/400829/" TargetMode="External" Id="rId418" /><Relationship Type="http://schemas.openxmlformats.org/officeDocument/2006/relationships/hyperlink" Target="https://future-tech-association.connpass.com/event/402557/" TargetMode="External" Id="rId419" /><Relationship Type="http://schemas.openxmlformats.org/officeDocument/2006/relationships/hyperlink" Target="https://prtimes.jp/main/html/rd/p/000000420.000031052.html" TargetMode="External" Id="rId420" /><Relationship Type="http://schemas.openxmlformats.org/officeDocument/2006/relationships/hyperlink" Target="https://prtimes.jp/main/html/rd/p/000000033.000057281.html" TargetMode="External" Id="rId421" /><Relationship Type="http://schemas.openxmlformats.org/officeDocument/2006/relationships/hyperlink" Target="https://ai-market-seminar.connpass.com/event/404316/" TargetMode="External" Id="rId422" /><Relationship Type="http://schemas.openxmlformats.org/officeDocument/2006/relationships/hyperlink" Target="https://prtimes.jp/main/html/rd/p/000000219.000055962.html" TargetMode="External" Id="rId423" /><Relationship Type="http://schemas.openxmlformats.org/officeDocument/2006/relationships/hyperlink" Target="https://west-sec.connpass.com/event/401307/" TargetMode="External" Id="rId424" /><Relationship Type="http://schemas.openxmlformats.org/officeDocument/2006/relationships/hyperlink" Target="https://connpass.com/event/404503/" TargetMode="External" Id="rId425" /><Relationship Type="http://schemas.openxmlformats.org/officeDocument/2006/relationships/hyperlink" Target="https://acrovision.connpass.com/event/404860/" TargetMode="External" Id="rId426" /><Relationship Type="http://schemas.openxmlformats.org/officeDocument/2006/relationships/hyperlink" Target="https://event.shoeisha.jp/mzday" TargetMode="External" Id="rId427" /><Relationship Type="http://schemas.openxmlformats.org/officeDocument/2006/relationships/hyperlink" Target="https://corp.intimatemerger.com/news/20260813_markezinday/" TargetMode="External" Id="rId428" /><Relationship Type="http://schemas.openxmlformats.org/officeDocument/2006/relationships/hyperlink" Target="https://domobuddies.doorkeeper.jp/events/198621" TargetMode="External" Id="rId429" /><Relationship Type="http://schemas.openxmlformats.org/officeDocument/2006/relationships/hyperlink" Target="https://peatix.com/event/5155733" TargetMode="External" Id="rId430" /><Relationship Type="http://schemas.openxmlformats.org/officeDocument/2006/relationships/hyperlink" Target="https://aitconsortium.doorkeeper.jp/events/199052" TargetMode="External" Id="rId431" /><Relationship Type="http://schemas.openxmlformats.org/officeDocument/2006/relationships/hyperlink" Target="https://prtimes.jp/main/html/rd/p/000000458.000024873.html" TargetMode="External" Id="rId432" /><Relationship Type="http://schemas.openxmlformats.org/officeDocument/2006/relationships/hyperlink" Target="https://classmethod.connpass.com/event/397518/" TargetMode="External" Id="rId433" /><Relationship Type="http://schemas.openxmlformats.org/officeDocument/2006/relationships/hyperlink" Target="https://peatix.com/event/5084348" TargetMode="External" Id="rId434" /><Relationship Type="http://schemas.openxmlformats.org/officeDocument/2006/relationships/hyperlink" Target="https://www.logis-tech-tokyo.gr.jp/ltt/report/quick.html" TargetMode="External" Id="rId435" /><Relationship Type="http://schemas.openxmlformats.org/officeDocument/2006/relationships/hyperlink" Target="https://www.logis-tech-tokyo.gr.jp/ltt/seminar/" TargetMode="External" Id="rId436" /><Relationship Type="http://schemas.openxmlformats.org/officeDocument/2006/relationships/hyperlink" Target="https://prtimes.jp/main/html/rd/p/000000045.000055757.html" TargetMode="External" Id="rId437" /><Relationship Type="http://schemas.openxmlformats.org/officeDocument/2006/relationships/hyperlink" Target="https://skillupai.doorkeeper.jp/events/199109" TargetMode="External" Id="rId438" /><Relationship Type="http://schemas.openxmlformats.org/officeDocument/2006/relationships/hyperlink" Target="https://studyco.connpass.com/event/404991/" TargetMode="External" Id="rId439" /><Relationship Type="http://schemas.openxmlformats.org/officeDocument/2006/relationships/hyperlink" Target="https://osaka-driven-dev.connpass.com/event/403631/" TargetMode="External" Id="rId440" /><Relationship Type="http://schemas.openxmlformats.org/officeDocument/2006/relationships/hyperlink" Target="https://aibuilders.connpass.com/event/401510/" TargetMode="External" Id="rId441" /><Relationship Type="http://schemas.openxmlformats.org/officeDocument/2006/relationships/hyperlink" Target="https://www.kokuchpro.com/event/4b8542ebf70691406de14af20cf22067/" TargetMode="External" Id="rId442" /><Relationship Type="http://schemas.openxmlformats.org/officeDocument/2006/relationships/hyperlink" Target="https://jmbc.connpass.com/event/402603/" TargetMode="External" Id="rId443" /><Relationship Type="http://schemas.openxmlformats.org/officeDocument/2006/relationships/hyperlink" Target="https://cyberagent.connpass.com/event/400123/" TargetMode="External" Id="rId444" /><Relationship Type="http://schemas.openxmlformats.org/officeDocument/2006/relationships/hyperlink" Target="https://dxdojo.connpass.com/event/406058/" TargetMode="External" Id="rId445" /><Relationship Type="http://schemas.openxmlformats.org/officeDocument/2006/relationships/hyperlink" Target="https://avanadejapantech.connpass.com/event/403423/" TargetMode="External" Id="rId446" /><Relationship Type="http://schemas.openxmlformats.org/officeDocument/2006/relationships/hyperlink" Target="https://www.fiweek.jp/autumn/ja-jp/about/previous/visitorcount.html" TargetMode="External" Id="rId447" /><Relationship Type="http://schemas.openxmlformats.org/officeDocument/2006/relationships/hyperlink" Target="https://www.kokuchpro.com/event/e4fd345dc22f9b34eda629104fc46e0f/" TargetMode="External" Id="rId448" /><Relationship Type="http://schemas.openxmlformats.org/officeDocument/2006/relationships/hyperlink" Target="https://www.kokuchpro.com/event/e25134762a709789a33e8254f2dc9043/" TargetMode="External" Id="rId449" /><Relationship Type="http://schemas.openxmlformats.org/officeDocument/2006/relationships/hyperlink" Target="https://tochigi-guild.doorkeeper.jp/events/197663" TargetMode="External" Id="rId450" /><Relationship Type="http://schemas.openxmlformats.org/officeDocument/2006/relationships/hyperlink" Target="https://www.publickey1.jp/blog/26/anthropicmcpmcpagntconmcpcon_japan_2026.html" TargetMode="External" Id="rId451" /><Relationship Type="http://schemas.openxmlformats.org/officeDocument/2006/relationships/hyperlink" Target="https://gihyo.jp/article/2026/09/aaif-mcp-a2a-briefing" TargetMode="External" Id="rId452" /><Relationship Type="http://schemas.openxmlformats.org/officeDocument/2006/relationships/hyperlink" Target="https://media-innovation.jp/article/2026/07/06/143478.html" TargetMode="External" Id="rId453" /><Relationship Type="http://schemas.openxmlformats.org/officeDocument/2006/relationships/hyperlink" Target="https://salesnow.jp/seminars/58/" TargetMode="External" Id="rId454" /><Relationship Type="http://schemas.openxmlformats.org/officeDocument/2006/relationships/hyperlink" Target="https://techplay.jp/event/999720" TargetMode="External" Id="rId455" /><Relationship Type="http://schemas.openxmlformats.org/officeDocument/2006/relationships/hyperlink" Target="https://prtimes.jp/main/html/rd/p/000000028.000166429.html" TargetMode="External" Id="rId456" /><Relationship Type="http://schemas.openxmlformats.org/officeDocument/2006/relationships/hyperlink" Target="https://asiaquest.connpass.com/event/404823/" TargetMode="External" Id="rId457" /><Relationship Type="http://schemas.openxmlformats.org/officeDocument/2006/relationships/hyperlink" Target="https://retech.doorkeeper.jp/events/198730" TargetMode="External" Id="rId458" /><Relationship Type="http://schemas.openxmlformats.org/officeDocument/2006/relationships/hyperlink" Target="https://majisemi-technology.doorkeeper.jp/events/198905" TargetMode="External" Id="rId459" /><Relationship Type="http://schemas.openxmlformats.org/officeDocument/2006/relationships/hyperlink" Target="https://adp-102.peatix.com/" TargetMode="External" Id="rId460" /><Relationship Type="http://schemas.openxmlformats.org/officeDocument/2006/relationships/hyperlink" Target="https://ai2-jp.com/news/2026/07/17/20055/" TargetMode="External" Id="rId461" /><Relationship Type="http://schemas.openxmlformats.org/officeDocument/2006/relationships/hyperlink" Target="https://prtimes.jp/main/html/rd/p/000002092.000022608.html" TargetMode="External" Id="rId462" /><Relationship Type="http://schemas.openxmlformats.org/officeDocument/2006/relationships/hyperlink" Target="https://www.kokuchpro.com/event/5935c0785024bc4e4eadd7a78c581ede/" TargetMode="External" Id="rId463" /><Relationship Type="http://schemas.openxmlformats.org/officeDocument/2006/relationships/hyperlink" Target="https://www.sbbit.jp/eventinfo/89409" TargetMode="External" Id="rId464" /><Relationship Type="http://schemas.openxmlformats.org/officeDocument/2006/relationships/hyperlink" Target="https://prtimes.jp/main/html/rd/p/000000071.000030394.html" TargetMode="External" Id="rId465" /><Relationship Type="http://schemas.openxmlformats.org/officeDocument/2006/relationships/hyperlink" Target="https://www.kokuchpro.com/event/abbb3d41ba72194e3075547d143c3acc/" TargetMode="External" Id="rId466" /><Relationship Type="http://schemas.openxmlformats.org/officeDocument/2006/relationships/hyperlink" Target="https://studyplus.connpass.com/event/402991/" TargetMode="External" Id="rId467" /><Relationship Type="http://schemas.openxmlformats.org/officeDocument/2006/relationships/hyperlink" Target="https://classmethod.connpass.com/event/398579/" TargetMode="External" Id="rId468" /><Relationship Type="http://schemas.openxmlformats.org/officeDocument/2006/relationships/hyperlink" Target="https://aillis.connpass.com/event/403439/" TargetMode="External" Id="rId469" /><Relationship Type="http://schemas.openxmlformats.org/officeDocument/2006/relationships/hyperlink" Target="https://www.kokuchpro.com/event/7bec60ea2732bc904b172ce8fec8cb89/" TargetMode="External" Id="rId470" /><Relationship Type="http://schemas.openxmlformats.org/officeDocument/2006/relationships/hyperlink" Target="https://connpass.com/event/404736/" TargetMode="External" Id="rId471" /><Relationship Type="http://schemas.openxmlformats.org/officeDocument/2006/relationships/hyperlink" Target="https://prtimes.jp/main/html/rd/p/000005612.000054842.html" TargetMode="External" Id="rId472" /><Relationship Type="http://schemas.openxmlformats.org/officeDocument/2006/relationships/hyperlink" Target="https://majisemi.com/e/c/modis-20260911" TargetMode="External" Id="rId473" /><Relationship Type="http://schemas.openxmlformats.org/officeDocument/2006/relationships/hyperlink" Target="https://prtimes.jp/main/html/rd/p/000005025.000003670.html" TargetMode="External" Id="rId474" /><Relationship Type="http://schemas.openxmlformats.org/officeDocument/2006/relationships/hyperlink" Target="https://0to1.connpass.com/event/403093/" TargetMode="External" Id="rId475" /><Relationship Type="http://schemas.openxmlformats.org/officeDocument/2006/relationships/hyperlink" Target="https://jawsug.connpass.com/event/404331/" TargetMode="External" Id="rId476" /><Relationship Type="http://schemas.openxmlformats.org/officeDocument/2006/relationships/hyperlink" Target="https://www.kokuchpro.com/event/885131b06ee794f997be83d4fb78edb0/" TargetMode="External" Id="rId477" /><Relationship Type="http://schemas.openxmlformats.org/officeDocument/2006/relationships/hyperlink" Target="https://white-hackers-lab.connpass.com/event/405772/" TargetMode="External" Id="rId478" /><Relationship Type="http://schemas.openxmlformats.org/officeDocument/2006/relationships/hyperlink" Target="https://studist.connpass.com/event/401612/" TargetMode="External" Id="rId479" /><Relationship Type="http://schemas.openxmlformats.org/officeDocument/2006/relationships/hyperlink" Target="https://west-sec.connpass.com/event/404497/" TargetMode="External" Id="rId480" /><Relationship Type="http://schemas.openxmlformats.org/officeDocument/2006/relationships/hyperlink" Target="https://www.salesforce.com/jp/events/webinars/no-regret-crm/" TargetMode="External" Id="rId481" /><Relationship Type="http://schemas.openxmlformats.org/officeDocument/2006/relationships/hyperlink" Target="https://www.kokuchpro.com/event/e810888cf8ab2cb40a1aae463ca73115/" TargetMode="External" Id="rId482" /><Relationship Type="http://schemas.openxmlformats.org/officeDocument/2006/relationships/hyperlink" Target="https://web-mining.doorkeeper.jp/events/197760" TargetMode="External" Id="rId483" /><Relationship Type="http://schemas.openxmlformats.org/officeDocument/2006/relationships/hyperlink" Target="https://findy-tools.connpass.com/event/405926/" TargetMode="External" Id="rId484" /><Relationship Type="http://schemas.openxmlformats.org/officeDocument/2006/relationships/hyperlink" Target="https://datascience-mokumoku-kyobashi.connpass.com/event/402446/" TargetMode="External" Id="rId485" /><Relationship Type="http://schemas.openxmlformats.org/officeDocument/2006/relationships/hyperlink" Target="https://majisemi-security.doorkeeper.jp/events/198997" TargetMode="External" Id="rId486" /><Relationship Type="http://schemas.openxmlformats.org/officeDocument/2006/relationships/hyperlink" Target="https://layerx.connpass.com/event/405165/" TargetMode="External" Id="rId487" /><Relationship Type="http://schemas.openxmlformats.org/officeDocument/2006/relationships/hyperlink" Target="https://www.kokuchpro.com/event/796b7a53b89a25a7635fa57b6ce410b2/" TargetMode="External" Id="rId488" /><Relationship Type="http://schemas.openxmlformats.org/officeDocument/2006/relationships/hyperlink" Target="https://techplay.jp/event/999348" TargetMode="External" Id="rId489" /><Relationship Type="http://schemas.openxmlformats.org/officeDocument/2006/relationships/hyperlink" Target="https://streamline.connpass.com/event/405411/" TargetMode="External" Id="rId490" /><Relationship Type="http://schemas.openxmlformats.org/officeDocument/2006/relationships/hyperlink" Target="https://www.kokuchpro.com/event/2236756418b28685ed98b32769517028/" TargetMode="External" Id="rId491" /><Relationship Type="http://schemas.openxmlformats.org/officeDocument/2006/relationships/hyperlink" Target="https://www.sbbit.jp/eventinfo/90124" TargetMode="External" Id="rId492" /><Relationship Type="http://schemas.openxmlformats.org/officeDocument/2006/relationships/hyperlink" Target="https://academy.impress.co.jp/event/ai-day2026/" TargetMode="External" Id="rId493" /><Relationship Type="http://schemas.openxmlformats.org/officeDocument/2006/relationships/hyperlink" Target="https://prtimes.jp/main/html/rd/p/000007625.000005875.html" TargetMode="External" Id="rId494" /><Relationship Type="http://schemas.openxmlformats.org/officeDocument/2006/relationships/hyperlink" Target="https://www.salesforce.com/jp/events/webinars/ontology-is-buzzword/" TargetMode="External" Id="rId495" /><Relationship Type="http://schemas.openxmlformats.org/officeDocument/2006/relationships/hyperlink" Target="https://generative-agents.connpass.com/event/405647/" TargetMode="External" Id="rId496" /><Relationship Type="http://schemas.openxmlformats.org/officeDocument/2006/relationships/hyperlink" Target="https://osslabo.doorkeeper.jp/events/199008" TargetMode="External" Id="rId497" /><Relationship Type="http://schemas.openxmlformats.org/officeDocument/2006/relationships/hyperlink" Target="https://prtimes.jp/main/html/rd/p/000000033.000151821.html" TargetMode="External" Id="rId498" /><Relationship Type="http://schemas.openxmlformats.org/officeDocument/2006/relationships/hyperlink" Target="https://prtimes.jp/main/html/rd/p/000000012.000149931.html" TargetMode="External" Id="rId499" /><Relationship Type="http://schemas.openxmlformats.org/officeDocument/2006/relationships/hyperlink" Target="https://prtimes.jp/main/html/rd/p/000000214.000006043.html" TargetMode="External" Id="rId500" /><Relationship Type="http://schemas.openxmlformats.org/officeDocument/2006/relationships/hyperlink" Target="https://www.kokuchpro.com/event/c53dd1bbc964a63d6240acc66f8fc034/" TargetMode="External" Id="rId501" /><Relationship Type="http://schemas.openxmlformats.org/officeDocument/2006/relationships/hyperlink" Target="https://dxdojo.connpass.com/event/406059/" TargetMode="External" Id="rId502" /><Relationship Type="http://schemas.openxmlformats.org/officeDocument/2006/relationships/hyperlink" Target="https://prtimes.jp/main/html/rd/p/000002058.000026157.html" TargetMode="External" Id="rId503" /><Relationship Type="http://schemas.openxmlformats.org/officeDocument/2006/relationships/hyperlink" Target="https://www.office-expo.jp/hub/ja-jp/about/ai.html" TargetMode="External" Id="rId504" /><Relationship Type="http://schemas.openxmlformats.org/officeDocument/2006/relationships/hyperlink" Target="https://connpass.com/event/406195/" TargetMode="External" Id="rId505" /><Relationship Type="http://schemas.openxmlformats.org/officeDocument/2006/relationships/hyperlink" Target="https://www.kokuchpro.com/event/9f96ef265a9b5c649d79fa77656080b8/" TargetMode="External" Id="rId506" /><Relationship Type="http://schemas.openxmlformats.org/officeDocument/2006/relationships/hyperlink" Target="https://bat-brave-japan.connpass.com/event/406316/" TargetMode="External" Id="rId507" /><Relationship Type="http://schemas.openxmlformats.org/officeDocument/2006/relationships/hyperlink" Target="https://majisemi-idaas.doorkeeper.jp/events/199072" TargetMode="External" Id="rId508" /><Relationship Type="http://schemas.openxmlformats.org/officeDocument/2006/relationships/hyperlink" Target="https://moneyforward.connpass.com/event/399710/" TargetMode="External" Id="rId509" /><Relationship Type="http://schemas.openxmlformats.org/officeDocument/2006/relationships/hyperlink" Target="https://www.sbbit.jp/eventinfo/90275" TargetMode="External" Id="rId510" /><Relationship Type="http://schemas.openxmlformats.org/officeDocument/2006/relationships/hyperlink" Target="https://vcube-agora.connpass.com/event/404093/" TargetMode="External" Id="rId511" /><Relationship Type="http://schemas.openxmlformats.org/officeDocument/2006/relationships/hyperlink" Target="https://www.kokuchpro.com/event/2b8772d0b6e9aec097609fb11748257d/" TargetMode="External" Id="rId512" /><Relationship Type="http://schemas.openxmlformats.org/officeDocument/2006/relationships/hyperlink" Target="https://www.sbbit.jp/eventinfo/90099" TargetMode="External" Id="rId513" /><Relationship Type="http://schemas.openxmlformats.org/officeDocument/2006/relationships/hyperlink" Target="https://www.kokuchpro.com/event/19114101af02cdd18dbb55935cc78d87/" TargetMode="External" Id="rId514" /><Relationship Type="http://schemas.openxmlformats.org/officeDocument/2006/relationships/hyperlink" Target="https://majisemi-technology.doorkeeper.jp/events/199078" TargetMode="External" Id="rId515" /><Relationship Type="http://schemas.openxmlformats.org/officeDocument/2006/relationships/hyperlink" Target="https://www.kokuchpro.com/event/a5d486152004a57a8d1ab3726bc9a49d/" TargetMode="External" Id="rId516" /><Relationship Type="http://schemas.openxmlformats.org/officeDocument/2006/relationships/hyperlink" Target="https://prtimes.jp/main/html/rd/p/000000806.000020223.html" TargetMode="External" Id="rId517" /><Relationship Type="http://schemas.openxmlformats.org/officeDocument/2006/relationships/hyperlink" Target="https://majisemi-manufacturing.doorkeeper.jp/events/198802" TargetMode="External" Id="rId518" /><Relationship Type="http://schemas.openxmlformats.org/officeDocument/2006/relationships/hyperlink" Target="https://prtimes.jp/main/html/rd/p/000000211.000022779.html" TargetMode="External" Id="rId519" /><Relationship Type="http://schemas.openxmlformats.org/officeDocument/2006/relationships/hyperlink" Target="https://www.kokuchpro.com/event/bcc1f484aba4f4cb008d5ef9e357d950/3892173/" TargetMode="External" Id="rId520" /><Relationship Type="http://schemas.openxmlformats.org/officeDocument/2006/relationships/hyperlink" Target="https://findy.connpass.com/event/403958/" TargetMode="External" Id="rId521" /><Relationship Type="http://schemas.openxmlformats.org/officeDocument/2006/relationships/hyperlink" Target="https://www.kokuchpro.com/event/3bc0a9728e56d9f00ca049e3b0aa6965/" TargetMode="External" Id="rId522" /><Relationship Type="http://schemas.openxmlformats.org/officeDocument/2006/relationships/hyperlink" Target="https://majisemi-business.doorkeeper.jp/events/199051" TargetMode="External" Id="rId523" /><Relationship Type="http://schemas.openxmlformats.org/officeDocument/2006/relationships/hyperlink" Target="https://prtimes.jp/main/html/rd/p/000001044.000001375.html" TargetMode="External" Id="rId524" /><Relationship Type="http://schemas.openxmlformats.org/officeDocument/2006/relationships/hyperlink" Target="https://connpass.com/event/403896/" TargetMode="External" Id="rId525" /><Relationship Type="http://schemas.openxmlformats.org/officeDocument/2006/relationships/hyperlink" Target="https://www.sbbit.jp/eventinfo/88473" TargetMode="External" Id="rId526" /><Relationship Type="http://schemas.openxmlformats.org/officeDocument/2006/relationships/hyperlink" Target="https://women-ml.connpass.com/event/400784/" TargetMode="External" Id="rId527" /><Relationship Type="http://schemas.openxmlformats.org/officeDocument/2006/relationships/hyperlink" Target="https://www.kokuchpro.com/event/07a78d1f2f5f2736a0475c6752341a2e/" TargetMode="External" Id="rId528" /><Relationship Type="http://schemas.openxmlformats.org/officeDocument/2006/relationships/hyperlink" Target="https://classmethod.connpass.com/event/398580/" TargetMode="External" Id="rId529" /><Relationship Type="http://schemas.openxmlformats.org/officeDocument/2006/relationships/hyperlink" Target="https://www.kokuchpro.com/event/b164b33cf459e60cbcd10cc6cf54f3bc/" TargetMode="External" Id="rId530" /><Relationship Type="http://schemas.openxmlformats.org/officeDocument/2006/relationships/hyperlink" Target="https://web-mining.doorkeeper.jp/events/199111" TargetMode="External" Id="rId531" /><Relationship Type="http://schemas.openxmlformats.org/officeDocument/2006/relationships/hyperlink" Target="https://web-mining.doorkeeper.jp/events/197771" TargetMode="External" Id="rId532" /><Relationship Type="http://schemas.openxmlformats.org/officeDocument/2006/relationships/hyperlink" Target="https://www.kokuchpro.com/event/dd7b4da8bcf53836ba98b85a6902737f/" TargetMode="External" Id="rId533" /><Relationship Type="http://schemas.openxmlformats.org/officeDocument/2006/relationships/hyperlink" Target="https://elith.connpass.com/event/405693/" TargetMode="External" Id="rId534" /><Relationship Type="http://schemas.openxmlformats.org/officeDocument/2006/relationships/hyperlink" Target="https://prtimes.jp/main/html/rd/p/000000443.000061977.html" TargetMode="External" Id="rId535" /><Relationship Type="http://schemas.openxmlformats.org/officeDocument/2006/relationships/hyperlink" Target="https://peatix.com/event/5123053" TargetMode="External" Id="rId536" /><Relationship Type="http://schemas.openxmlformats.org/officeDocument/2006/relationships/hyperlink" Target="https://www.kokuchpro.com/event/5433b52e3a5ff68309d4dc926b3435cc/" TargetMode="External" Id="rId537" /><Relationship Type="http://schemas.openxmlformats.org/officeDocument/2006/relationships/hyperlink" Target="https://www.kokuchpro.com/event/0cb92436f50e5840713b264fcd1c2a15/" TargetMode="External" Id="rId538" /><Relationship Type="http://schemas.openxmlformats.org/officeDocument/2006/relationships/hyperlink" Target="https://miraichi260923.peatix.com/" TargetMode="External" Id="rId539" /><Relationship Type="http://schemas.openxmlformats.org/officeDocument/2006/relationships/hyperlink" Target="https://dxdojo.connpass.com/event/406664/" TargetMode="External" Id="rId540" /><Relationship Type="http://schemas.openxmlformats.org/officeDocument/2006/relationships/hyperlink" Target="https://www.sbbit.jp/eventinfo/90161" TargetMode="External" Id="rId541" /><Relationship Type="http://schemas.openxmlformats.org/officeDocument/2006/relationships/hyperlink" Target="https://rpacommunity.connpass.com/event/406507/" TargetMode="External" Id="rId542" /><Relationship Type="http://schemas.openxmlformats.org/officeDocument/2006/relationships/hyperlink" Target="https://uipath-friends.doorkeeper.jp/events/198918" TargetMode="External" Id="rId543" /><Relationship Type="http://schemas.openxmlformats.org/officeDocument/2006/relationships/hyperlink" Target="https://www.kokuchpro.com/event/7fba817495126246845ada3befedff57/" TargetMode="External" Id="rId544" /><Relationship Type="http://schemas.openxmlformats.org/officeDocument/2006/relationships/hyperlink" Target="https://majisemi-manufacturing.doorkeeper.jp/events/199075" TargetMode="External" Id="rId545" /><Relationship Type="http://schemas.openxmlformats.org/officeDocument/2006/relationships/hyperlink" Target="https://www.kokuchpro.com/event/d8764ae1e00ae91e3196cc13efa5fcc6/" TargetMode="External" Id="rId546" /><Relationship Type="http://schemas.openxmlformats.org/officeDocument/2006/relationships/hyperlink" Target="https://www.kokuchpro.com/event/6257b3db62d52665c0761e2492ccabac/" TargetMode="External" Id="rId547" /><Relationship Type="http://schemas.openxmlformats.org/officeDocument/2006/relationships/hyperlink" Target="https://www.kokuchpro.com/event/ad10dbfea797553d0d14b6cbb19eeff7/" TargetMode="External" Id="rId548" /><Relationship Type="http://schemas.openxmlformats.org/officeDocument/2006/relationships/hyperlink" Target="https://prtimes.jp/main/html/rd/p/000000133.000101685.html" TargetMode="External" Id="rId549" /><Relationship Type="http://schemas.openxmlformats.org/officeDocument/2006/relationships/hyperlink" Target="https://dtptransit.doorkeeper.jp/events/199228" TargetMode="External" Id="rId550" /><Relationship Type="http://schemas.openxmlformats.org/officeDocument/2006/relationships/hyperlink" Target="https://majisemi-technology.doorkeeper.jp/events/199134" TargetMode="External" Id="rId551" /><Relationship Type="http://schemas.openxmlformats.org/officeDocument/2006/relationships/hyperlink" Target="https://aihacklabo.connpass.com/event/405311/" TargetMode="External" Id="rId552" /><Relationship Type="http://schemas.openxmlformats.org/officeDocument/2006/relationships/hyperlink" Target="https://prtimes.jp/main/html/rd/p/000000365.000078896.html" TargetMode="External" Id="rId553" /><Relationship Type="http://schemas.openxmlformats.org/officeDocument/2006/relationships/hyperlink" Target="https://fix.connpass.com/event/403196/" TargetMode="External" Id="rId554" /><Relationship Type="http://schemas.openxmlformats.org/officeDocument/2006/relationships/hyperlink" Target="https://www.kokuchpro.com/event/ms_260925/" TargetMode="External" Id="rId555" /><Relationship Type="http://schemas.openxmlformats.org/officeDocument/2006/relationships/hyperlink" Target="https://biosbootcamp.connpass.com/event/404660/" TargetMode="External" Id="rId556" /><Relationship Type="http://schemas.openxmlformats.org/officeDocument/2006/relationships/hyperlink" Target="https://www.kokuchpro.com/event/aeed43ec3de034d7431e335e7dd8c807/" TargetMode="External" Id="rId557" /><Relationship Type="http://schemas.openxmlformats.org/officeDocument/2006/relationships/hyperlink" Target="https://crane-game.connpass.com/event/405625/" TargetMode="External" Id="rId558" /><Relationship Type="http://schemas.openxmlformats.org/officeDocument/2006/relationships/hyperlink" Target="https://www.kokuchpro.com/event/3fef373fb2dcfe255ffe0532d9e1253a/" TargetMode="External" Id="rId559" /><Relationship Type="http://schemas.openxmlformats.org/officeDocument/2006/relationships/hyperlink" Target="https://cdle-kumamoto.connpass.com/event/404168/" TargetMode="External" Id="rId560" /><Relationship Type="http://schemas.openxmlformats.org/officeDocument/2006/relationships/hyperlink" Target="https://nishinomiya.connpass.com/event/404867/" TargetMode="External" Id="rId561" /><Relationship Type="http://schemas.openxmlformats.org/officeDocument/2006/relationships/hyperlink" Target="https://prtimes.jp/main/html/rd/p/000000163.000155740.html" TargetMode="External" Id="rId562" /><Relationship Type="http://schemas.openxmlformats.org/officeDocument/2006/relationships/hyperlink" Target="https://www.kokuchpro.com/event/8bb495e72d432108f0c6a294e0475eeb/" TargetMode="External" Id="rId563" /><Relationship Type="http://schemas.openxmlformats.org/officeDocument/2006/relationships/hyperlink" Target="https://majisemi-business.doorkeeper.jp/events/199241" TargetMode="External" Id="rId564" /><Relationship Type="http://schemas.openxmlformats.org/officeDocument/2006/relationships/hyperlink" Target="https://web-mining.doorkeeper.jp/events/198725" TargetMode="External" Id="rId565" /><Relationship Type="http://schemas.openxmlformats.org/officeDocument/2006/relationships/hyperlink" Target="https://recruit-event.connpass.com/event/402030/" TargetMode="External" Id="rId566" /><Relationship Type="http://schemas.openxmlformats.org/officeDocument/2006/relationships/hyperlink" Target="https://kansai-aiagent.connpass.com/event/404525/" TargetMode="External" Id="rId567" /><Relationship Type="http://schemas.openxmlformats.org/officeDocument/2006/relationships/hyperlink" Target="https://kobelab.connpass.com/event/404326/" TargetMode="External" Id="rId568" /><Relationship Type="http://schemas.openxmlformats.org/officeDocument/2006/relationships/hyperlink" Target="https://www.salesforce.com/jp/events/webinars/ai-bpr-vol2/" TargetMode="External" Id="rId569" /><Relationship Type="http://schemas.openxmlformats.org/officeDocument/2006/relationships/hyperlink" Target="https://aismiley.co.jp/ai_news/20260929webinar/" TargetMode="External" Id="rId570" /><Relationship Type="http://schemas.openxmlformats.org/officeDocument/2006/relationships/hyperlink" Target="https://www.kokuchpro.com/event/49f135c83a1c054ace14efaa59a6f0e7/" TargetMode="External" Id="rId571" /><Relationship Type="http://schemas.openxmlformats.org/officeDocument/2006/relationships/hyperlink" Target="https://www.kokuchpro.com/event/333d9bbca58b4985a0eebc72654c7130/" TargetMode="External" Id="rId572" /><Relationship Type="http://schemas.openxmlformats.org/officeDocument/2006/relationships/hyperlink" Target="https://www.kokuchpro.com/event/e4f755292e1dc2a7953505423d6caac5/" TargetMode="External" Id="rId573" /><Relationship Type="http://schemas.openxmlformats.org/officeDocument/2006/relationships/hyperlink" Target="https://offers-jp.connpass.com/event/405148/" TargetMode="External" Id="rId574" /><Relationship Type="http://schemas.openxmlformats.org/officeDocument/2006/relationships/hyperlink" Target="https://prtimes.jp/main/html/rd/p/000000026.000175889.html" TargetMode="External" Id="rId575" /><Relationship Type="http://schemas.openxmlformats.org/officeDocument/2006/relationships/hyperlink" Target="https://datayokocho.connpass.com/event/404893/" TargetMode="External" Id="rId576" /><Relationship Type="http://schemas.openxmlformats.org/officeDocument/2006/relationships/hyperlink" Target="https://majisemi-technology.doorkeeper.jp/events/199055" TargetMode="External" Id="rId577" /><Relationship Type="http://schemas.openxmlformats.org/officeDocument/2006/relationships/hyperlink" Target="https://www.kokuchpro.com/event/51805aaf1e5cde60cdac193db0ddb06b/" TargetMode="External" Id="rId578" /><Relationship Type="http://schemas.openxmlformats.org/officeDocument/2006/relationships/hyperlink" Target="https://www.nikkeibp.co.jp/atcl/newsrelease/corp/20260820_2/" TargetMode="External" Id="rId579" /><Relationship Type="http://schemas.openxmlformats.org/officeDocument/2006/relationships/hyperlink" Target="https://xtech.nikkei.com/atcl/nxt/column/18/03745/092800023/" TargetMode="External" Id="rId580" /><Relationship Type="http://schemas.openxmlformats.org/officeDocument/2006/relationships/hyperlink" Target="https://majisemi-technology.doorkeeper.jp/events/199233" TargetMode="External" Id="rId581" /><Relationship Type="http://schemas.openxmlformats.org/officeDocument/2006/relationships/hyperlink" Target="https://skillupai.doorkeeper.jp/events/199413" TargetMode="External" Id="rId582" /><Relationship Type="http://schemas.openxmlformats.org/officeDocument/2006/relationships/hyperlink" Target="https://fffff.connpass.com/event/403077/" TargetMode="External" Id="rId583" /><Relationship Type="http://schemas.openxmlformats.org/officeDocument/2006/relationships/hyperlink" Target="https://www.kokuchpro.com/event/8ad9c09c952a35508343f8ef3832c5ef/" TargetMode="External" Id="rId584" /><Relationship Type="http://schemas.openxmlformats.org/officeDocument/2006/relationships/hyperlink" Target="https://sansan.connpass.com/event/404019/" TargetMode="External" Id="rId585" /><Relationship Type="http://schemas.openxmlformats.org/officeDocument/2006/relationships/hyperlink" Target="https://prtimes.jp/main/html/rd/p/000000507.000031612.html" TargetMode="External" Id="rId586" /><Relationship Type="http://schemas.openxmlformats.org/officeDocument/2006/relationships/hyperlink" Target="https://www.kokuchpro.com/event/7632b95976d010e5aa3c71637cb53d0a/" TargetMode="External" Id="rId587" /><Relationship Type="http://schemas.openxmlformats.org/officeDocument/2006/relationships/hyperlink" Target="https://majisemi-business.doorkeeper.jp/events/198698" TargetMode="External" Id="rId588" /><Relationship Type="http://schemas.openxmlformats.org/officeDocument/2006/relationships/hyperlink" Target="https://asanatogether-jp.doorkeeper.jp/events/199026" TargetMode="External" Id="rId589" /><Relationship Type="http://schemas.openxmlformats.org/officeDocument/2006/relationships/hyperlink" Target="https://www.kokuchpro.com/event/406519751d2a2724220ebfe818934657/" TargetMode="External" Id="rId590" /><Relationship Type="http://schemas.openxmlformats.org/officeDocument/2006/relationships/hyperlink" Target="https://aihacklabo.connpass.com/event/406182/" TargetMode="External" Id="rId591" /><Relationship Type="http://schemas.openxmlformats.org/officeDocument/2006/relationships/hyperlink" Target="https://classmethod.connpass.com/event/405790/" TargetMode="External" Id="rId592" /><Relationship Type="http://schemas.openxmlformats.org/officeDocument/2006/relationships/hyperlink" Target="https://www.kokuchpro.com/event/96b2ae414e48de8a30d3542c61fb130e/3882838/" TargetMode="External" Id="rId593" /><Relationship Type="http://schemas.openxmlformats.org/officeDocument/2006/relationships/hyperlink" Target="https://www.kokuchpro.com/event/8ee5b83fb00daef5ace1b3b337a6f02f/" TargetMode="External" Id="rId594" /><Relationship Type="http://schemas.openxmlformats.org/officeDocument/2006/relationships/hyperlink" Target="https://forkwell.connpass.com/event/406993/" TargetMode="External" Id="rId595" /><Relationship Type="http://schemas.openxmlformats.org/officeDocument/2006/relationships/table" Target="/xl/tables/table1.xml" Id="rId596" /></Relationships>
</file>

<file path=xl/worksheets/_rels/sheet3.xml.rels><Relationships xmlns="http://schemas.openxmlformats.org/package/2006/relationships"><Relationship Type="http://schemas.openxmlformats.org/officeDocument/2006/relationships/hyperlink" Target="https://www.sbbit.jp/eventinfo/88822" TargetMode="External" Id="rId1" /><Relationship Type="http://schemas.openxmlformats.org/officeDocument/2006/relationships/hyperlink" Target="https://www.sbbit.jp/eventinfo/89152" TargetMode="External" Id="rId2" /><Relationship Type="http://schemas.openxmlformats.org/officeDocument/2006/relationships/hyperlink" Target="https://koukaikouza20260709.peatix.com/" TargetMode="External" Id="rId3" /><Relationship Type="http://schemas.openxmlformats.org/officeDocument/2006/relationships/hyperlink" Target="https://www.sbbit.jp/eventinfo/88908" TargetMode="External" Id="rId4" /><Relationship Type="http://schemas.openxmlformats.org/officeDocument/2006/relationships/hyperlink" Target="https://peatix.com/event/5051212" TargetMode="External" Id="rId5" /><Relationship Type="http://schemas.openxmlformats.org/officeDocument/2006/relationships/hyperlink" Target="https://www.sbbit.jp/eventinfo/89469" TargetMode="External" Id="rId6" /><Relationship Type="http://schemas.openxmlformats.org/officeDocument/2006/relationships/hyperlink" Target="https://www.sbbit.jp/eventinfo/89531" TargetMode="External" Id="rId7" /><Relationship Type="http://schemas.openxmlformats.org/officeDocument/2006/relationships/hyperlink" Target="https://prtimes.jp/main/html/rd/p/000000326.000029485.html" TargetMode="External" Id="rId8" /><Relationship Type="http://schemas.openxmlformats.org/officeDocument/2006/relationships/hyperlink" Target="https://peatix.com/event/5070199" TargetMode="External" Id="rId9" /><Relationship Type="http://schemas.openxmlformats.org/officeDocument/2006/relationships/hyperlink" Target="https://www.sbbit.jp/eventinfo/88526" TargetMode="External" Id="rId10" /><Relationship Type="http://schemas.openxmlformats.org/officeDocument/2006/relationships/hyperlink" Target="https://www.sbbit.jp/eventinfo/88658" TargetMode="External" Id="rId11" /><Relationship Type="http://schemas.openxmlformats.org/officeDocument/2006/relationships/hyperlink" Target="https://www.sbbit.jp/eventinfo/88481" TargetMode="External" Id="rId12" /><Relationship Type="http://schemas.openxmlformats.org/officeDocument/2006/relationships/hyperlink" Target="https://peatix.com/event/5093762" TargetMode="External" Id="rId13" /><Relationship Type="http://schemas.openxmlformats.org/officeDocument/2006/relationships/hyperlink" Target="https://peatix.com/event/5084894" TargetMode="External" Id="rId14" /><Relationship Type="http://schemas.openxmlformats.org/officeDocument/2006/relationships/hyperlink" Target="https://www.sbbit.jp/eventinfo/89087" TargetMode="External" Id="rId15" /><Relationship Type="http://schemas.openxmlformats.org/officeDocument/2006/relationships/hyperlink" Target="https://peatix.com/event/5007968" TargetMode="External" Id="rId16" /><Relationship Type="http://schemas.openxmlformats.org/officeDocument/2006/relationships/hyperlink" Target="https://www.sbbit.jp/eventinfo/88335" TargetMode="External" Id="rId17" /><Relationship Type="http://schemas.openxmlformats.org/officeDocument/2006/relationships/hyperlink" Target="https://miraichi0725.peatix.com/" TargetMode="External" Id="rId18" /><Relationship Type="http://schemas.openxmlformats.org/officeDocument/2006/relationships/hyperlink" Target="https://peatix.com/event/5096574" TargetMode="External" Id="rId19" /><Relationship Type="http://schemas.openxmlformats.org/officeDocument/2006/relationships/hyperlink" Target="https://www.sbbit.jp/eventinfo/89149" TargetMode="External" Id="rId20" /><Relationship Type="http://schemas.openxmlformats.org/officeDocument/2006/relationships/hyperlink" Target="https://prtimes.jp/main/html/rd/p/000005443.000054842.html" TargetMode="External" Id="rId21" /><Relationship Type="http://schemas.openxmlformats.org/officeDocument/2006/relationships/hyperlink" Target="https://peatix.com/event/5077177" TargetMode="External" Id="rId22" /><Relationship Type="http://schemas.openxmlformats.org/officeDocument/2006/relationships/hyperlink" Target="https://www.sbbit.jp/eventinfo/89707" TargetMode="External" Id="rId23" /><Relationship Type="http://schemas.openxmlformats.org/officeDocument/2006/relationships/hyperlink" Target="https://peatix.com/event/5037623" TargetMode="External" Id="rId24" /><Relationship Type="http://schemas.openxmlformats.org/officeDocument/2006/relationships/hyperlink" Target="https://www.sbbit.jp/eventinfo/89511" TargetMode="External" Id="rId25" /><Relationship Type="http://schemas.openxmlformats.org/officeDocument/2006/relationships/hyperlink" Target="https://hrt-seminar20260805.peatix.com/" TargetMode="External" Id="rId26" /><Relationship Type="http://schemas.openxmlformats.org/officeDocument/2006/relationships/hyperlink" Target="https://www.sbbit.jp/eventinfo/89680" TargetMode="External" Id="rId27" /><Relationship Type="http://schemas.openxmlformats.org/officeDocument/2006/relationships/hyperlink" Target="https://www.sbbit.jp/eventinfo/89285" TargetMode="External" Id="rId28" /><Relationship Type="http://schemas.openxmlformats.org/officeDocument/2006/relationships/hyperlink" Target="https://peatix.com/event/4760653" TargetMode="External" Id="rId29" /><Relationship Type="http://schemas.openxmlformats.org/officeDocument/2006/relationships/hyperlink" Target="https://www.sbbit.jp/eventinfo/89512" TargetMode="External" Id="rId30" /><Relationship Type="http://schemas.openxmlformats.org/officeDocument/2006/relationships/hyperlink" Target="https://xrkaigihub-nagoya2026.peatix.com/view" TargetMode="External" Id="rId31" /><Relationship Type="http://schemas.openxmlformats.org/officeDocument/2006/relationships/hyperlink" Target="https://merge2026.peatix.com/view" TargetMode="External" Id="rId32" /><Relationship Type="http://schemas.openxmlformats.org/officeDocument/2006/relationships/hyperlink" Target="https://peatix.com/event/5073918" TargetMode="External" Id="rId33" /><Relationship Type="http://schemas.openxmlformats.org/officeDocument/2006/relationships/hyperlink" Target="https://www.sbbit.jp/eventinfo/88939" TargetMode="External" Id="rId34" /><Relationship Type="http://schemas.openxmlformats.org/officeDocument/2006/relationships/hyperlink" Target="https://www.sbbit.jp/eventinfo/89968" TargetMode="External" Id="rId35" /><Relationship Type="http://schemas.openxmlformats.org/officeDocument/2006/relationships/hyperlink" Target="https://www.sbbit.jp/eventinfo/89893" TargetMode="External" Id="rId36" /><Relationship Type="http://schemas.openxmlformats.org/officeDocument/2006/relationships/hyperlink" Target="https://peatix.com/event/5013999" TargetMode="External" Id="rId37" /><Relationship Type="http://schemas.openxmlformats.org/officeDocument/2006/relationships/hyperlink" Target="https://prtimes.jp/main/html/rd/p/000000403.000094539.html" TargetMode="External" Id="rId38" /><Relationship Type="http://schemas.openxmlformats.org/officeDocument/2006/relationships/hyperlink" Target="https://peatix.com/event/5156216" TargetMode="External" Id="rId39" /><Relationship Type="http://schemas.openxmlformats.org/officeDocument/2006/relationships/hyperlink" Target="https://peatix.com/event/5112256" TargetMode="External" Id="rId40" /><Relationship Type="http://schemas.openxmlformats.org/officeDocument/2006/relationships/hyperlink" Target="https://peatix.com/event/5142487" TargetMode="External" Id="rId41" /><Relationship Type="http://schemas.openxmlformats.org/officeDocument/2006/relationships/hyperlink" Target="https://www.sbbit.jp/eventinfo/90088" TargetMode="External" Id="rId42" /><Relationship Type="http://schemas.openxmlformats.org/officeDocument/2006/relationships/hyperlink" Target="https://www.sbbit.jp/eventinfo/89872" TargetMode="External" Id="rId43" /><Relationship Type="http://schemas.openxmlformats.org/officeDocument/2006/relationships/hyperlink" Target="https://www.sbbit.jp/eventinfo/89844" TargetMode="External" Id="rId44" /><Relationship Type="http://schemas.openxmlformats.org/officeDocument/2006/relationships/hyperlink" Target="https://peatix.com/event/5149893" TargetMode="External" Id="rId45" /><Relationship Type="http://schemas.openxmlformats.org/officeDocument/2006/relationships/hyperlink" Target="https://peatix.com/event/4918327" TargetMode="External" Id="rId46" /><Relationship Type="http://schemas.openxmlformats.org/officeDocument/2006/relationships/hyperlink" Target="https://peatix.com/event/5078782" TargetMode="External" Id="rId47" /><Relationship Type="http://schemas.openxmlformats.org/officeDocument/2006/relationships/hyperlink" Target="https://www.sbbit.jp/eventinfo/89612" TargetMode="External" Id="rId48" /><Relationship Type="http://schemas.openxmlformats.org/officeDocument/2006/relationships/hyperlink" Target="https://www.sbbit.jp/eventinfo/90023" TargetMode="External" Id="rId49" /><Relationship Type="http://schemas.openxmlformats.org/officeDocument/2006/relationships/hyperlink" Target="https://www.sbbit.jp/eventinfo/89838" TargetMode="External" Id="rId50" /><Relationship Type="http://schemas.openxmlformats.org/officeDocument/2006/relationships/hyperlink" Target="https://www.sbbit.jp/eventinfo/89804" TargetMode="External" Id="rId51" /><Relationship Type="http://schemas.openxmlformats.org/officeDocument/2006/relationships/hyperlink" Target="https://www.sbbit.jp/eventinfo/89954" TargetMode="External" Id="rId52" /><Relationship Type="http://schemas.openxmlformats.org/officeDocument/2006/relationships/hyperlink" Target="https://www.sbbit.jp/eventinfo/89962" TargetMode="External" Id="rId53" /><Relationship Type="http://schemas.openxmlformats.org/officeDocument/2006/relationships/hyperlink" Target="https://www.sbbit.jp/eventinfo/89590" TargetMode="External" Id="rId54" /><Relationship Type="http://schemas.openxmlformats.org/officeDocument/2006/relationships/hyperlink" Target="https://www.sbbit.jp/eventinfo/89878" TargetMode="External" Id="rId55" /><Relationship Type="http://schemas.openxmlformats.org/officeDocument/2006/relationships/hyperlink" Target="https://peatix.com/event/5137202" TargetMode="External" Id="rId56" /><Relationship Type="http://schemas.openxmlformats.org/officeDocument/2006/relationships/hyperlink" Target="https://peatix.com/event/5174714" TargetMode="External" Id="rId57" /><Relationship Type="http://schemas.openxmlformats.org/officeDocument/2006/relationships/hyperlink" Target="https://prtimes.jp/main/html/rd/p/000005647.000054842.html" TargetMode="External" Id="rId58" /><Relationship Type="http://schemas.openxmlformats.org/officeDocument/2006/relationships/hyperlink" Target="https://peatix.com/event/5114140" TargetMode="External" Id="rId59" /><Relationship Type="http://schemas.openxmlformats.org/officeDocument/2006/relationships/hyperlink" Target="https://peatix.com/event/5116346" TargetMode="External" Id="rId60" /><Relationship Type="http://schemas.openxmlformats.org/officeDocument/2006/relationships/hyperlink" Target="https://peatix.com/event/5114821" TargetMode="External" Id="rId61" /><Relationship Type="http://schemas.openxmlformats.org/officeDocument/2006/relationships/hyperlink" Target="https://peatix.com/event/5190409" TargetMode="External" Id="rId62" /></Relationships>
</file>

<file path=xl/worksheets/sheet1.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cols>
    <col width="30" customWidth="1" min="1" max="1"/>
    <col width="8" customWidth="1" min="2" max="2"/>
    <col width="10" customWidth="1" min="3" max="3"/>
    <col width="10" customWidth="1" min="4" max="4"/>
    <col width="16" customWidth="1" min="5" max="5"/>
    <col width="7" customWidth="1" min="6" max="6"/>
    <col width="7" customWidth="1" min="7" max="7"/>
    <col width="7" customWidth="1" min="8" max="8"/>
  </cols>
  <sheetData>
    <row r="1">
      <c r="A1" s="1" t="inlineStr">
        <is>
          <t>AIエージェント／MCP × 生産性向上・生産管理・営業効率化 セミナー調査（第2版：プラットフォーム巡回）</t>
        </is>
      </c>
    </row>
    <row r="2">
      <c r="A2" s="2" t="inlineStr">
        <is>
          <t>対象期間: 2026/07/01〜2026/09/30（調査日 2026/09/30）</t>
        </is>
      </c>
    </row>
    <row r="4">
      <c r="A4" s="3" t="inlineStr">
        <is>
          <t>テーマ分類</t>
        </is>
      </c>
      <c r="B4" s="3" t="inlineStr">
        <is>
          <t>件数</t>
        </is>
      </c>
      <c r="C4" s="3" t="inlineStr">
        <is>
          <t>開催回数計</t>
        </is>
      </c>
      <c r="D4" s="3" t="inlineStr">
        <is>
          <t>集客数判明</t>
        </is>
      </c>
      <c r="E4" s="3" t="inlineStr">
        <is>
          <t>参加・申込・来場の合計</t>
        </is>
      </c>
      <c r="F4" s="3" t="inlineStr">
        <is>
          <t>7月</t>
        </is>
      </c>
      <c r="G4" s="3" t="inlineStr">
        <is>
          <t>8月</t>
        </is>
      </c>
      <c r="H4" s="3" t="inlineStr">
        <is>
          <t>9月</t>
        </is>
      </c>
    </row>
    <row r="5">
      <c r="A5" s="4" t="inlineStr">
        <is>
          <t>生産性向上・業務効率化</t>
        </is>
      </c>
      <c r="B5" s="4">
        <f>COUNTIF('セミナー一覧'!$M$2:$M$580,A5)</f>
        <v/>
      </c>
      <c r="C5" s="5">
        <f>SUMIFS('セミナー一覧'!$E$2:$E$580,'セミナー一覧'!$M$2:$M$580,A5)</f>
        <v/>
      </c>
      <c r="D5" s="4">
        <f>COUNTIFS('セミナー一覧'!$M$2:$M$580,A5,'セミナー一覧'!$P$2:$P$580,"&gt;0")</f>
        <v/>
      </c>
      <c r="E5" s="5">
        <f>SUMIFS('セミナー一覧'!$P$2:$P$580,'セミナー一覧'!$M$2:$M$580,A5,'セミナー一覧'!$Q$2:$Q$580,"&lt;&gt;定員",'セミナー一覧'!$Q$2:$Q$580,"&lt;&gt;予定来場者数")</f>
        <v/>
      </c>
      <c r="F5" s="4">
        <f>COUNTIFS('セミナー一覧'!$M$2:$M$580,A5,'セミナー一覧'!$D$2:$D$580,"7月")</f>
        <v/>
      </c>
      <c r="G5" s="4">
        <f>COUNTIFS('セミナー一覧'!$M$2:$M$580,A5,'セミナー一覧'!$D$2:$D$580,"8月")</f>
        <v/>
      </c>
      <c r="H5" s="4">
        <f>COUNTIFS('セミナー一覧'!$M$2:$M$580,A5,'セミナー一覧'!$D$2:$D$580,"9月")</f>
        <v/>
      </c>
    </row>
    <row r="6">
      <c r="A6" s="4" t="inlineStr">
        <is>
          <t>営業・マーケ・CS</t>
        </is>
      </c>
      <c r="B6" s="4">
        <f>COUNTIF('セミナー一覧'!$M$2:$M$580,A6)</f>
        <v/>
      </c>
      <c r="C6" s="5">
        <f>SUMIFS('セミナー一覧'!$E$2:$E$580,'セミナー一覧'!$M$2:$M$580,A6)</f>
        <v/>
      </c>
      <c r="D6" s="4">
        <f>COUNTIFS('セミナー一覧'!$M$2:$M$580,A6,'セミナー一覧'!$P$2:$P$580,"&gt;0")</f>
        <v/>
      </c>
      <c r="E6" s="5">
        <f>SUMIFS('セミナー一覧'!$P$2:$P$580,'セミナー一覧'!$M$2:$M$580,A6,'セミナー一覧'!$Q$2:$Q$580,"&lt;&gt;定員",'セミナー一覧'!$Q$2:$Q$580,"&lt;&gt;予定来場者数")</f>
        <v/>
      </c>
      <c r="F6" s="4">
        <f>COUNTIFS('セミナー一覧'!$M$2:$M$580,A6,'セミナー一覧'!$D$2:$D$580,"7月")</f>
        <v/>
      </c>
      <c r="G6" s="4">
        <f>COUNTIFS('セミナー一覧'!$M$2:$M$580,A6,'セミナー一覧'!$D$2:$D$580,"8月")</f>
        <v/>
      </c>
      <c r="H6" s="4">
        <f>COUNTIFS('セミナー一覧'!$M$2:$M$580,A6,'セミナー一覧'!$D$2:$D$580,"9月")</f>
        <v/>
      </c>
    </row>
    <row r="7">
      <c r="A7" s="4" t="inlineStr">
        <is>
          <t>生産管理・製造・SCM</t>
        </is>
      </c>
      <c r="B7" s="4">
        <f>COUNTIF('セミナー一覧'!$M$2:$M$580,A7)</f>
        <v/>
      </c>
      <c r="C7" s="5">
        <f>SUMIFS('セミナー一覧'!$E$2:$E$580,'セミナー一覧'!$M$2:$M$580,A7)</f>
        <v/>
      </c>
      <c r="D7" s="4">
        <f>COUNTIFS('セミナー一覧'!$M$2:$M$580,A7,'セミナー一覧'!$P$2:$P$580,"&gt;0")</f>
        <v/>
      </c>
      <c r="E7" s="5">
        <f>SUMIFS('セミナー一覧'!$P$2:$P$580,'セミナー一覧'!$M$2:$M$580,A7,'セミナー一覧'!$Q$2:$Q$580,"&lt;&gt;定員",'セミナー一覧'!$Q$2:$Q$580,"&lt;&gt;予定来場者数")</f>
        <v/>
      </c>
      <c r="F7" s="4">
        <f>COUNTIFS('セミナー一覧'!$M$2:$M$580,A7,'セミナー一覧'!$D$2:$D$580,"7月")</f>
        <v/>
      </c>
      <c r="G7" s="4">
        <f>COUNTIFS('セミナー一覧'!$M$2:$M$580,A7,'セミナー一覧'!$D$2:$D$580,"8月")</f>
        <v/>
      </c>
      <c r="H7" s="4">
        <f>COUNTIFS('セミナー一覧'!$M$2:$M$580,A7,'セミナー一覧'!$D$2:$D$580,"9月")</f>
        <v/>
      </c>
    </row>
    <row r="8">
      <c r="A8" s="4" t="inlineStr">
        <is>
          <t>大型カンファレンス・展示会</t>
        </is>
      </c>
      <c r="B8" s="4">
        <f>COUNTIF('セミナー一覧'!$M$2:$M$580,A8)</f>
        <v/>
      </c>
      <c r="C8" s="5">
        <f>SUMIFS('セミナー一覧'!$E$2:$E$580,'セミナー一覧'!$M$2:$M$580,A8)</f>
        <v/>
      </c>
      <c r="D8" s="4">
        <f>COUNTIFS('セミナー一覧'!$M$2:$M$580,A8,'セミナー一覧'!$P$2:$P$580,"&gt;0")</f>
        <v/>
      </c>
      <c r="E8" s="5">
        <f>SUMIFS('セミナー一覧'!$P$2:$P$580,'セミナー一覧'!$M$2:$M$580,A8,'セミナー一覧'!$Q$2:$Q$580,"&lt;&gt;定員",'セミナー一覧'!$Q$2:$Q$580,"&lt;&gt;予定来場者数")</f>
        <v/>
      </c>
      <c r="F8" s="4">
        <f>COUNTIFS('セミナー一覧'!$M$2:$M$580,A8,'セミナー一覧'!$D$2:$D$580,"7月")</f>
        <v/>
      </c>
      <c r="G8" s="4">
        <f>COUNTIFS('セミナー一覧'!$M$2:$M$580,A8,'セミナー一覧'!$D$2:$D$580,"8月")</f>
        <v/>
      </c>
      <c r="H8" s="4">
        <f>COUNTIFS('セミナー一覧'!$M$2:$M$580,A8,'セミナー一覧'!$D$2:$D$580,"9月")</f>
        <v/>
      </c>
    </row>
    <row r="9">
      <c r="A9" s="4" t="inlineStr">
        <is>
          <t>開発生産性</t>
        </is>
      </c>
      <c r="B9" s="4">
        <f>COUNTIF('セミナー一覧'!$M$2:$M$580,A9)</f>
        <v/>
      </c>
      <c r="C9" s="5">
        <f>SUMIFS('セミナー一覧'!$E$2:$E$580,'セミナー一覧'!$M$2:$M$580,A9)</f>
        <v/>
      </c>
      <c r="D9" s="4">
        <f>COUNTIFS('セミナー一覧'!$M$2:$M$580,A9,'セミナー一覧'!$P$2:$P$580,"&gt;0")</f>
        <v/>
      </c>
      <c r="E9" s="5">
        <f>SUMIFS('セミナー一覧'!$P$2:$P$580,'セミナー一覧'!$M$2:$M$580,A9,'セミナー一覧'!$Q$2:$Q$580,"&lt;&gt;定員",'セミナー一覧'!$Q$2:$Q$580,"&lt;&gt;予定来場者数")</f>
        <v/>
      </c>
      <c r="F9" s="4">
        <f>COUNTIFS('セミナー一覧'!$M$2:$M$580,A9,'セミナー一覧'!$D$2:$D$580,"7月")</f>
        <v/>
      </c>
      <c r="G9" s="4">
        <f>COUNTIFS('セミナー一覧'!$M$2:$M$580,A9,'セミナー一覧'!$D$2:$D$580,"8月")</f>
        <v/>
      </c>
      <c r="H9" s="4">
        <f>COUNTIFS('セミナー一覧'!$M$2:$M$580,A9,'セミナー一覧'!$D$2:$D$580,"9月")</f>
        <v/>
      </c>
    </row>
    <row r="10">
      <c r="A10" s="4" t="inlineStr">
        <is>
          <t>技術・AI全般</t>
        </is>
      </c>
      <c r="B10" s="4">
        <f>COUNTIF('セミナー一覧'!$M$2:$M$580,A10)</f>
        <v/>
      </c>
      <c r="C10" s="5">
        <f>SUMIFS('セミナー一覧'!$E$2:$E$580,'セミナー一覧'!$M$2:$M$580,A10)</f>
        <v/>
      </c>
      <c r="D10" s="4">
        <f>COUNTIFS('セミナー一覧'!$M$2:$M$580,A10,'セミナー一覧'!$P$2:$P$580,"&gt;0")</f>
        <v/>
      </c>
      <c r="E10" s="5">
        <f>SUMIFS('セミナー一覧'!$P$2:$P$580,'セミナー一覧'!$M$2:$M$580,A10,'セミナー一覧'!$Q$2:$Q$580,"&lt;&gt;定員",'セミナー一覧'!$Q$2:$Q$580,"&lt;&gt;予定来場者数")</f>
        <v/>
      </c>
      <c r="F10" s="4">
        <f>COUNTIFS('セミナー一覧'!$M$2:$M$580,A10,'セミナー一覧'!$D$2:$D$580,"7月")</f>
        <v/>
      </c>
      <c r="G10" s="4">
        <f>COUNTIFS('セミナー一覧'!$M$2:$M$580,A10,'セミナー一覧'!$D$2:$D$580,"8月")</f>
        <v/>
      </c>
      <c r="H10" s="4">
        <f>COUNTIFS('セミナー一覧'!$M$2:$M$580,A10,'セミナー一覧'!$D$2:$D$580,"9月")</f>
        <v/>
      </c>
    </row>
    <row r="11">
      <c r="A11" s="6" t="inlineStr">
        <is>
          <t>合計</t>
        </is>
      </c>
      <c r="B11" s="6">
        <f>SUM(B5:B10)</f>
        <v/>
      </c>
      <c r="C11" s="7">
        <f>SUM(C5:C10)</f>
        <v/>
      </c>
      <c r="D11" s="6">
        <f>SUM(D5:D10)</f>
        <v/>
      </c>
      <c r="E11" s="7">
        <f>SUM(E5:E10)</f>
        <v/>
      </c>
      <c r="F11" s="6">
        <f>SUM(F5:F10)</f>
        <v/>
      </c>
      <c r="G11" s="6">
        <f>SUM(G5:G10)</f>
        <v/>
      </c>
      <c r="H11" s="6">
        <f>SUM(H5:H10)</f>
        <v/>
      </c>
    </row>
    <row r="13">
      <c r="A13" s="3" t="inlineStr">
        <is>
          <t>掲載プラットフォーム</t>
        </is>
      </c>
      <c r="B13" s="3" t="inlineStr">
        <is>
          <t>件数</t>
        </is>
      </c>
      <c r="C13" s="3" t="inlineStr">
        <is>
          <t>開催回数計</t>
        </is>
      </c>
      <c r="D13" s="3" t="inlineStr">
        <is>
          <t>集客数判明</t>
        </is>
      </c>
      <c r="E13" s="3" t="inlineStr">
        <is>
          <t>参加・申込・来場の合計</t>
        </is>
      </c>
      <c r="F13" s="3" t="inlineStr">
        <is>
          <t>7月</t>
        </is>
      </c>
      <c r="G13" s="3" t="inlineStr">
        <is>
          <t>8月</t>
        </is>
      </c>
      <c r="H13" s="3" t="inlineStr">
        <is>
          <t>9月</t>
        </is>
      </c>
    </row>
    <row r="14">
      <c r="A14" s="4" t="inlineStr">
        <is>
          <t>connpass</t>
        </is>
      </c>
      <c r="B14" s="4">
        <f>COUNTIF('セミナー一覧'!$J$2:$J$580,A14)</f>
        <v/>
      </c>
      <c r="C14" s="5">
        <f>SUMIFS('セミナー一覧'!$E$2:$E$580,'セミナー一覧'!$J$2:$J$580,A14)</f>
        <v/>
      </c>
      <c r="D14" s="4">
        <f>COUNTIFS('セミナー一覧'!$J$2:$J$580,A14,'セミナー一覧'!$P$2:$P$580,"&gt;0")</f>
        <v/>
      </c>
      <c r="E14" s="5">
        <f>SUMIFS('セミナー一覧'!$P$2:$P$580,'セミナー一覧'!$J$2:$J$580,A14,'セミナー一覧'!$Q$2:$Q$580,"&lt;&gt;定員",'セミナー一覧'!$Q$2:$Q$580,"&lt;&gt;予定来場者数")</f>
        <v/>
      </c>
      <c r="F14" s="4">
        <f>COUNTIFS('セミナー一覧'!$J$2:$J$580,A14,'セミナー一覧'!$D$2:$D$580,"7月")</f>
        <v/>
      </c>
      <c r="G14" s="4">
        <f>COUNTIFS('セミナー一覧'!$J$2:$J$580,A14,'セミナー一覧'!$D$2:$D$580,"8月")</f>
        <v/>
      </c>
      <c r="H14" s="4">
        <f>COUNTIFS('セミナー一覧'!$J$2:$J$580,A14,'セミナー一覧'!$D$2:$D$580,"9月")</f>
        <v/>
      </c>
    </row>
    <row r="15">
      <c r="A15" s="4" t="inlineStr">
        <is>
          <t>こくちーずプロ</t>
        </is>
      </c>
      <c r="B15" s="4">
        <f>COUNTIF('セミナー一覧'!$J$2:$J$580,A15)</f>
        <v/>
      </c>
      <c r="C15" s="5">
        <f>SUMIFS('セミナー一覧'!$E$2:$E$580,'セミナー一覧'!$J$2:$J$580,A15)</f>
        <v/>
      </c>
      <c r="D15" s="4">
        <f>COUNTIFS('セミナー一覧'!$J$2:$J$580,A15,'セミナー一覧'!$P$2:$P$580,"&gt;0")</f>
        <v/>
      </c>
      <c r="E15" s="5">
        <f>SUMIFS('セミナー一覧'!$P$2:$P$580,'セミナー一覧'!$J$2:$J$580,A15,'セミナー一覧'!$Q$2:$Q$580,"&lt;&gt;定員",'セミナー一覧'!$Q$2:$Q$580,"&lt;&gt;予定来場者数")</f>
        <v/>
      </c>
      <c r="F15" s="4">
        <f>COUNTIFS('セミナー一覧'!$J$2:$J$580,A15,'セミナー一覧'!$D$2:$D$580,"7月")</f>
        <v/>
      </c>
      <c r="G15" s="4">
        <f>COUNTIFS('セミナー一覧'!$J$2:$J$580,A15,'セミナー一覧'!$D$2:$D$580,"8月")</f>
        <v/>
      </c>
      <c r="H15" s="4">
        <f>COUNTIFS('セミナー一覧'!$J$2:$J$580,A15,'セミナー一覧'!$D$2:$D$580,"9月")</f>
        <v/>
      </c>
    </row>
    <row r="16">
      <c r="A16" s="4" t="inlineStr">
        <is>
          <t>Doorkeeper</t>
        </is>
      </c>
      <c r="B16" s="4">
        <f>COUNTIF('セミナー一覧'!$J$2:$J$580,A16)</f>
        <v/>
      </c>
      <c r="C16" s="5">
        <f>SUMIFS('セミナー一覧'!$E$2:$E$580,'セミナー一覧'!$J$2:$J$580,A16)</f>
        <v/>
      </c>
      <c r="D16" s="4">
        <f>COUNTIFS('セミナー一覧'!$J$2:$J$580,A16,'セミナー一覧'!$P$2:$P$580,"&gt;0")</f>
        <v/>
      </c>
      <c r="E16" s="5">
        <f>SUMIFS('セミナー一覧'!$P$2:$P$580,'セミナー一覧'!$J$2:$J$580,A16,'セミナー一覧'!$Q$2:$Q$580,"&lt;&gt;定員",'セミナー一覧'!$Q$2:$Q$580,"&lt;&gt;予定来場者数")</f>
        <v/>
      </c>
      <c r="F16" s="4">
        <f>COUNTIFS('セミナー一覧'!$J$2:$J$580,A16,'セミナー一覧'!$D$2:$D$580,"7月")</f>
        <v/>
      </c>
      <c r="G16" s="4">
        <f>COUNTIFS('セミナー一覧'!$J$2:$J$580,A16,'セミナー一覧'!$D$2:$D$580,"8月")</f>
        <v/>
      </c>
      <c r="H16" s="4">
        <f>COUNTIFS('セミナー一覧'!$J$2:$J$580,A16,'セミナー一覧'!$D$2:$D$580,"9月")</f>
        <v/>
      </c>
    </row>
    <row r="17">
      <c r="A17" s="4" t="inlineStr">
        <is>
          <t>個別調査（公式サイト・PR TIMES等）</t>
        </is>
      </c>
      <c r="B17" s="4">
        <f>COUNTIF('セミナー一覧'!$J$2:$J$580,A17)</f>
        <v/>
      </c>
      <c r="C17" s="5">
        <f>SUMIFS('セミナー一覧'!$E$2:$E$580,'セミナー一覧'!$J$2:$J$580,A17)</f>
        <v/>
      </c>
      <c r="D17" s="4">
        <f>COUNTIFS('セミナー一覧'!$J$2:$J$580,A17,'セミナー一覧'!$P$2:$P$580,"&gt;0")</f>
        <v/>
      </c>
      <c r="E17" s="5">
        <f>SUMIFS('セミナー一覧'!$P$2:$P$580,'セミナー一覧'!$J$2:$J$580,A17,'セミナー一覧'!$Q$2:$Q$580,"&lt;&gt;定員",'セミナー一覧'!$Q$2:$Q$580,"&lt;&gt;予定来場者数")</f>
        <v/>
      </c>
      <c r="F17" s="4">
        <f>COUNTIFS('セミナー一覧'!$J$2:$J$580,A17,'セミナー一覧'!$D$2:$D$580,"7月")</f>
        <v/>
      </c>
      <c r="G17" s="4">
        <f>COUNTIFS('セミナー一覧'!$J$2:$J$580,A17,'セミナー一覧'!$D$2:$D$580,"8月")</f>
        <v/>
      </c>
      <c r="H17" s="4">
        <f>COUNTIFS('セミナー一覧'!$J$2:$J$580,A17,'セミナー一覧'!$D$2:$D$580,"9月")</f>
        <v/>
      </c>
    </row>
    <row r="18">
      <c r="A18" s="4" t="inlineStr">
        <is>
          <t>PR TIMES</t>
        </is>
      </c>
      <c r="B18" s="4">
        <f>COUNTIF('セミナー一覧'!$J$2:$J$580,A18)</f>
        <v/>
      </c>
      <c r="C18" s="5">
        <f>SUMIFS('セミナー一覧'!$E$2:$E$580,'セミナー一覧'!$J$2:$J$580,A18)</f>
        <v/>
      </c>
      <c r="D18" s="4">
        <f>COUNTIFS('セミナー一覧'!$J$2:$J$580,A18,'セミナー一覧'!$P$2:$P$580,"&gt;0")</f>
        <v/>
      </c>
      <c r="E18" s="5">
        <f>SUMIFS('セミナー一覧'!$P$2:$P$580,'セミナー一覧'!$J$2:$J$580,A18,'セミナー一覧'!$Q$2:$Q$580,"&lt;&gt;定員",'セミナー一覧'!$Q$2:$Q$580,"&lt;&gt;予定来場者数")</f>
        <v/>
      </c>
      <c r="F18" s="4">
        <f>COUNTIFS('セミナー一覧'!$J$2:$J$580,A18,'セミナー一覧'!$D$2:$D$580,"7月")</f>
        <v/>
      </c>
      <c r="G18" s="4">
        <f>COUNTIFS('セミナー一覧'!$J$2:$J$580,A18,'セミナー一覧'!$D$2:$D$580,"8月")</f>
        <v/>
      </c>
      <c r="H18" s="4">
        <f>COUNTIFS('セミナー一覧'!$J$2:$J$580,A18,'セミナー一覧'!$D$2:$D$580,"9月")</f>
        <v/>
      </c>
    </row>
    <row r="19">
      <c r="A19" s="4" t="inlineStr">
        <is>
          <t>ビジネス+IT</t>
        </is>
      </c>
      <c r="B19" s="4">
        <f>COUNTIF('セミナー一覧'!$J$2:$J$580,A19)</f>
        <v/>
      </c>
      <c r="C19" s="5">
        <f>SUMIFS('セミナー一覧'!$E$2:$E$580,'セミナー一覧'!$J$2:$J$580,A19)</f>
        <v/>
      </c>
      <c r="D19" s="4">
        <f>COUNTIFS('セミナー一覧'!$J$2:$J$580,A19,'セミナー一覧'!$P$2:$P$580,"&gt;0")</f>
        <v/>
      </c>
      <c r="E19" s="5">
        <f>SUMIFS('セミナー一覧'!$P$2:$P$580,'セミナー一覧'!$J$2:$J$580,A19,'セミナー一覧'!$Q$2:$Q$580,"&lt;&gt;定員",'セミナー一覧'!$Q$2:$Q$580,"&lt;&gt;予定来場者数")</f>
        <v/>
      </c>
      <c r="F19" s="4">
        <f>COUNTIFS('セミナー一覧'!$J$2:$J$580,A19,'セミナー一覧'!$D$2:$D$580,"7月")</f>
        <v/>
      </c>
      <c r="G19" s="4">
        <f>COUNTIFS('セミナー一覧'!$J$2:$J$580,A19,'セミナー一覧'!$D$2:$D$580,"8月")</f>
        <v/>
      </c>
      <c r="H19" s="4">
        <f>COUNTIFS('セミナー一覧'!$J$2:$J$580,A19,'セミナー一覧'!$D$2:$D$580,"9月")</f>
        <v/>
      </c>
    </row>
    <row r="20">
      <c r="A20" s="4" t="inlineStr">
        <is>
          <t>Peatix</t>
        </is>
      </c>
      <c r="B20" s="4">
        <f>COUNTIF('セミナー一覧'!$J$2:$J$580,A20)</f>
        <v/>
      </c>
      <c r="C20" s="5">
        <f>SUMIFS('セミナー一覧'!$E$2:$E$580,'セミナー一覧'!$J$2:$J$580,A20)</f>
        <v/>
      </c>
      <c r="D20" s="4">
        <f>COUNTIFS('セミナー一覧'!$J$2:$J$580,A20,'セミナー一覧'!$P$2:$P$580,"&gt;0")</f>
        <v/>
      </c>
      <c r="E20" s="5">
        <f>SUMIFS('セミナー一覧'!$P$2:$P$580,'セミナー一覧'!$J$2:$J$580,A20,'セミナー一覧'!$Q$2:$Q$580,"&lt;&gt;定員",'セミナー一覧'!$Q$2:$Q$580,"&lt;&gt;予定来場者数")</f>
        <v/>
      </c>
      <c r="F20" s="4">
        <f>COUNTIFS('セミナー一覧'!$J$2:$J$580,A20,'セミナー一覧'!$D$2:$D$580,"7月")</f>
        <v/>
      </c>
      <c r="G20" s="4">
        <f>COUNTIFS('セミナー一覧'!$J$2:$J$580,A20,'セミナー一覧'!$D$2:$D$580,"8月")</f>
        <v/>
      </c>
      <c r="H20" s="4">
        <f>COUNTIFS('セミナー一覧'!$J$2:$J$580,A20,'セミナー一覧'!$D$2:$D$580,"9月")</f>
        <v/>
      </c>
    </row>
    <row r="21">
      <c r="A21" s="4" t="inlineStr">
        <is>
          <t>ZDNET Japan イベント</t>
        </is>
      </c>
      <c r="B21" s="4">
        <f>COUNTIF('セミナー一覧'!$J$2:$J$580,A21)</f>
        <v/>
      </c>
      <c r="C21" s="5">
        <f>SUMIFS('セミナー一覧'!$E$2:$E$580,'セミナー一覧'!$J$2:$J$580,A21)</f>
        <v/>
      </c>
      <c r="D21" s="4">
        <f>COUNTIFS('セミナー一覧'!$J$2:$J$580,A21,'セミナー一覧'!$P$2:$P$580,"&gt;0")</f>
        <v/>
      </c>
      <c r="E21" s="5">
        <f>SUMIFS('セミナー一覧'!$P$2:$P$580,'セミナー一覧'!$J$2:$J$580,A21,'セミナー一覧'!$Q$2:$Q$580,"&lt;&gt;定員",'セミナー一覧'!$Q$2:$Q$580,"&lt;&gt;予定来場者数")</f>
        <v/>
      </c>
      <c r="F21" s="4">
        <f>COUNTIFS('セミナー一覧'!$J$2:$J$580,A21,'セミナー一覧'!$D$2:$D$580,"7月")</f>
        <v/>
      </c>
      <c r="G21" s="4">
        <f>COUNTIFS('セミナー一覧'!$J$2:$J$580,A21,'セミナー一覧'!$D$2:$D$580,"8月")</f>
        <v/>
      </c>
      <c r="H21" s="4">
        <f>COUNTIFS('セミナー一覧'!$J$2:$J$580,A21,'セミナー一覧'!$D$2:$D$580,"9月")</f>
        <v/>
      </c>
    </row>
    <row r="22">
      <c r="A22" s="4" t="inlineStr">
        <is>
          <t>マジセミ</t>
        </is>
      </c>
      <c r="B22" s="4">
        <f>COUNTIF('セミナー一覧'!$J$2:$J$580,A22)</f>
        <v/>
      </c>
      <c r="C22" s="5">
        <f>SUMIFS('セミナー一覧'!$E$2:$E$580,'セミナー一覧'!$J$2:$J$580,A22)</f>
        <v/>
      </c>
      <c r="D22" s="4">
        <f>COUNTIFS('セミナー一覧'!$J$2:$J$580,A22,'セミナー一覧'!$P$2:$P$580,"&gt;0")</f>
        <v/>
      </c>
      <c r="E22" s="5">
        <f>SUMIFS('セミナー一覧'!$P$2:$P$580,'セミナー一覧'!$J$2:$J$580,A22,'セミナー一覧'!$Q$2:$Q$580,"&lt;&gt;定員",'セミナー一覧'!$Q$2:$Q$580,"&lt;&gt;予定来場者数")</f>
        <v/>
      </c>
      <c r="F22" s="4">
        <f>COUNTIFS('セミナー一覧'!$J$2:$J$580,A22,'セミナー一覧'!$D$2:$D$580,"7月")</f>
        <v/>
      </c>
      <c r="G22" s="4">
        <f>COUNTIFS('セミナー一覧'!$J$2:$J$580,A22,'セミナー一覧'!$D$2:$D$580,"8月")</f>
        <v/>
      </c>
      <c r="H22" s="4">
        <f>COUNTIFS('セミナー一覧'!$J$2:$J$580,A22,'セミナー一覧'!$D$2:$D$580,"9月")</f>
        <v/>
      </c>
    </row>
    <row r="23">
      <c r="A23" s="4" t="inlineStr">
        <is>
          <t>AIsmiley</t>
        </is>
      </c>
      <c r="B23" s="4">
        <f>COUNTIF('セミナー一覧'!$J$2:$J$580,A23)</f>
        <v/>
      </c>
      <c r="C23" s="5">
        <f>SUMIFS('セミナー一覧'!$E$2:$E$580,'セミナー一覧'!$J$2:$J$580,A23)</f>
        <v/>
      </c>
      <c r="D23" s="4">
        <f>COUNTIFS('セミナー一覧'!$J$2:$J$580,A23,'セミナー一覧'!$P$2:$P$580,"&gt;0")</f>
        <v/>
      </c>
      <c r="E23" s="5">
        <f>SUMIFS('セミナー一覧'!$P$2:$P$580,'セミナー一覧'!$J$2:$J$580,A23,'セミナー一覧'!$Q$2:$Q$580,"&lt;&gt;定員",'セミナー一覧'!$Q$2:$Q$580,"&lt;&gt;予定来場者数")</f>
        <v/>
      </c>
      <c r="F23" s="4">
        <f>COUNTIFS('セミナー一覧'!$J$2:$J$580,A23,'セミナー一覧'!$D$2:$D$580,"7月")</f>
        <v/>
      </c>
      <c r="G23" s="4">
        <f>COUNTIFS('セミナー一覧'!$J$2:$J$580,A23,'セミナー一覧'!$D$2:$D$580,"8月")</f>
        <v/>
      </c>
      <c r="H23" s="4">
        <f>COUNTIFS('セミナー一覧'!$J$2:$J$580,A23,'セミナー一覧'!$D$2:$D$580,"9月")</f>
        <v/>
      </c>
    </row>
    <row r="24">
      <c r="A24" s="4" t="inlineStr">
        <is>
          <t>セミナー情報.com</t>
        </is>
      </c>
      <c r="B24" s="4">
        <f>COUNTIF('セミナー一覧'!$J$2:$J$580,A24)</f>
        <v/>
      </c>
      <c r="C24" s="5">
        <f>SUMIFS('セミナー一覧'!$E$2:$E$580,'セミナー一覧'!$J$2:$J$580,A24)</f>
        <v/>
      </c>
      <c r="D24" s="4">
        <f>COUNTIFS('セミナー一覧'!$J$2:$J$580,A24,'セミナー一覧'!$P$2:$P$580,"&gt;0")</f>
        <v/>
      </c>
      <c r="E24" s="5">
        <f>SUMIFS('セミナー一覧'!$P$2:$P$580,'セミナー一覧'!$J$2:$J$580,A24,'セミナー一覧'!$Q$2:$Q$580,"&lt;&gt;定員",'セミナー一覧'!$Q$2:$Q$580,"&lt;&gt;予定来場者数")</f>
        <v/>
      </c>
      <c r="F24" s="4">
        <f>COUNTIFS('セミナー一覧'!$J$2:$J$580,A24,'セミナー一覧'!$D$2:$D$580,"7月")</f>
        <v/>
      </c>
      <c r="G24" s="4">
        <f>COUNTIFS('セミナー一覧'!$J$2:$J$580,A24,'セミナー一覧'!$D$2:$D$580,"8月")</f>
        <v/>
      </c>
      <c r="H24" s="4">
        <f>COUNTIFS('セミナー一覧'!$J$2:$J$580,A24,'セミナー一覧'!$D$2:$D$580,"9月")</f>
        <v/>
      </c>
    </row>
    <row r="25">
      <c r="A25" s="4" t="inlineStr">
        <is>
          <t>日経イベント</t>
        </is>
      </c>
      <c r="B25" s="4">
        <f>COUNTIF('セミナー一覧'!$J$2:$J$580,A25)</f>
        <v/>
      </c>
      <c r="C25" s="5">
        <f>SUMIFS('セミナー一覧'!$E$2:$E$580,'セミナー一覧'!$J$2:$J$580,A25)</f>
        <v/>
      </c>
      <c r="D25" s="4">
        <f>COUNTIFS('セミナー一覧'!$J$2:$J$580,A25,'セミナー一覧'!$P$2:$P$580,"&gt;0")</f>
        <v/>
      </c>
      <c r="E25" s="5">
        <f>SUMIFS('セミナー一覧'!$P$2:$P$580,'セミナー一覧'!$J$2:$J$580,A25,'セミナー一覧'!$Q$2:$Q$580,"&lt;&gt;定員",'セミナー一覧'!$Q$2:$Q$580,"&lt;&gt;予定来場者数")</f>
        <v/>
      </c>
      <c r="F25" s="4">
        <f>COUNTIFS('セミナー一覧'!$J$2:$J$580,A25,'セミナー一覧'!$D$2:$D$580,"7月")</f>
        <v/>
      </c>
      <c r="G25" s="4">
        <f>COUNTIFS('セミナー一覧'!$J$2:$J$580,A25,'セミナー一覧'!$D$2:$D$580,"8月")</f>
        <v/>
      </c>
      <c r="H25" s="4">
        <f>COUNTIFS('セミナー一覧'!$J$2:$J$580,A25,'セミナー一覧'!$D$2:$D$580,"9月")</f>
        <v/>
      </c>
    </row>
    <row r="26">
      <c r="A26" s="4" t="inlineStr">
        <is>
          <t>EventRegist</t>
        </is>
      </c>
      <c r="B26" s="4">
        <f>COUNTIF('セミナー一覧'!$J$2:$J$580,A26)</f>
        <v/>
      </c>
      <c r="C26" s="5">
        <f>SUMIFS('セミナー一覧'!$E$2:$E$580,'セミナー一覧'!$J$2:$J$580,A26)</f>
        <v/>
      </c>
      <c r="D26" s="4">
        <f>COUNTIFS('セミナー一覧'!$J$2:$J$580,A26,'セミナー一覧'!$P$2:$P$580,"&gt;0")</f>
        <v/>
      </c>
      <c r="E26" s="5">
        <f>SUMIFS('セミナー一覧'!$P$2:$P$580,'セミナー一覧'!$J$2:$J$580,A26,'セミナー一覧'!$Q$2:$Q$580,"&lt;&gt;定員",'セミナー一覧'!$Q$2:$Q$580,"&lt;&gt;予定来場者数")</f>
        <v/>
      </c>
      <c r="F26" s="4">
        <f>COUNTIFS('セミナー一覧'!$J$2:$J$580,A26,'セミナー一覧'!$D$2:$D$580,"7月")</f>
        <v/>
      </c>
      <c r="G26" s="4">
        <f>COUNTIFS('セミナー一覧'!$J$2:$J$580,A26,'セミナー一覧'!$D$2:$D$580,"8月")</f>
        <v/>
      </c>
      <c r="H26" s="4">
        <f>COUNTIFS('セミナー一覧'!$J$2:$J$580,A26,'セミナー一覧'!$D$2:$D$580,"9月")</f>
        <v/>
      </c>
    </row>
    <row r="27">
      <c r="A27" s="4" t="inlineStr">
        <is>
          <t>Salesforce 公式</t>
        </is>
      </c>
      <c r="B27" s="4">
        <f>COUNTIF('セミナー一覧'!$J$2:$J$580,A27)</f>
        <v/>
      </c>
      <c r="C27" s="5">
        <f>SUMIFS('セミナー一覧'!$E$2:$E$580,'セミナー一覧'!$J$2:$J$580,A27)</f>
        <v/>
      </c>
      <c r="D27" s="4">
        <f>COUNTIFS('セミナー一覧'!$J$2:$J$580,A27,'セミナー一覧'!$P$2:$P$580,"&gt;0")</f>
        <v/>
      </c>
      <c r="E27" s="5">
        <f>SUMIFS('セミナー一覧'!$P$2:$P$580,'セミナー一覧'!$J$2:$J$580,A27,'セミナー一覧'!$Q$2:$Q$580,"&lt;&gt;定員",'セミナー一覧'!$Q$2:$Q$580,"&lt;&gt;予定来場者数")</f>
        <v/>
      </c>
      <c r="F27" s="4">
        <f>COUNTIFS('セミナー一覧'!$J$2:$J$580,A27,'セミナー一覧'!$D$2:$D$580,"7月")</f>
        <v/>
      </c>
      <c r="G27" s="4">
        <f>COUNTIFS('セミナー一覧'!$J$2:$J$580,A27,'セミナー一覧'!$D$2:$D$580,"8月")</f>
        <v/>
      </c>
      <c r="H27" s="4">
        <f>COUNTIFS('セミナー一覧'!$J$2:$J$580,A27,'セミナー一覧'!$D$2:$D$580,"9月")</f>
        <v/>
      </c>
    </row>
    <row r="28">
      <c r="A28" s="6" t="inlineStr">
        <is>
          <t>合計</t>
        </is>
      </c>
      <c r="B28" s="6">
        <f>SUM(B14:B27)</f>
        <v/>
      </c>
      <c r="C28" s="7">
        <f>SUM(C14:C27)</f>
        <v/>
      </c>
      <c r="D28" s="6">
        <f>SUM(D14:D27)</f>
        <v/>
      </c>
      <c r="E28" s="7">
        <f>SUM(E14:E27)</f>
        <v/>
      </c>
      <c r="F28" s="6">
        <f>SUM(F14:F27)</f>
        <v/>
      </c>
      <c r="G28" s="6">
        <f>SUM(G14:G27)</f>
        <v/>
      </c>
      <c r="H28" s="6">
        <f>SUM(H14:H27)</f>
        <v/>
      </c>
    </row>
    <row r="30">
      <c r="A30" s="3" t="inlineStr">
        <is>
          <t>関連度</t>
        </is>
      </c>
      <c r="B30" s="3" t="inlineStr">
        <is>
          <t>件数</t>
        </is>
      </c>
      <c r="C30" s="3" t="inlineStr">
        <is>
          <t>開催回数計</t>
        </is>
      </c>
      <c r="D30" s="3" t="inlineStr">
        <is>
          <t>集客数判明</t>
        </is>
      </c>
      <c r="E30" s="3" t="inlineStr">
        <is>
          <t>参加・申込・来場の合計</t>
        </is>
      </c>
      <c r="F30" s="3" t="inlineStr">
        <is>
          <t>7月</t>
        </is>
      </c>
      <c r="G30" s="3" t="inlineStr">
        <is>
          <t>8月</t>
        </is>
      </c>
      <c r="H30" s="3" t="inlineStr">
        <is>
          <t>9月</t>
        </is>
      </c>
    </row>
    <row r="31">
      <c r="A31" s="4" t="inlineStr">
        <is>
          <t>◎</t>
        </is>
      </c>
      <c r="B31" s="4">
        <f>COUNTIF('セミナー一覧'!$O$2:$O$580,A31)</f>
        <v/>
      </c>
      <c r="C31" s="5">
        <f>SUMIFS('セミナー一覧'!$E$2:$E$580,'セミナー一覧'!$O$2:$O$580,A31)</f>
        <v/>
      </c>
      <c r="D31" s="4">
        <f>COUNTIFS('セミナー一覧'!$O$2:$O$580,A31,'セミナー一覧'!$P$2:$P$580,"&gt;0")</f>
        <v/>
      </c>
      <c r="E31" s="5">
        <f>SUMIFS('セミナー一覧'!$P$2:$P$580,'セミナー一覧'!$O$2:$O$580,A31,'セミナー一覧'!$Q$2:$Q$580,"&lt;&gt;定員",'セミナー一覧'!$Q$2:$Q$580,"&lt;&gt;予定来場者数")</f>
        <v/>
      </c>
      <c r="F31" s="4">
        <f>COUNTIFS('セミナー一覧'!$O$2:$O$580,A31,'セミナー一覧'!$D$2:$D$580,"7月")</f>
        <v/>
      </c>
      <c r="G31" s="4">
        <f>COUNTIFS('セミナー一覧'!$O$2:$O$580,A31,'セミナー一覧'!$D$2:$D$580,"8月")</f>
        <v/>
      </c>
      <c r="H31" s="4">
        <f>COUNTIFS('セミナー一覧'!$O$2:$O$580,A31,'セミナー一覧'!$D$2:$D$580,"9月")</f>
        <v/>
      </c>
    </row>
    <row r="32">
      <c r="A32" s="4" t="inlineStr">
        <is>
          <t>○</t>
        </is>
      </c>
      <c r="B32" s="4">
        <f>COUNTIF('セミナー一覧'!$O$2:$O$580,A32)</f>
        <v/>
      </c>
      <c r="C32" s="5">
        <f>SUMIFS('セミナー一覧'!$E$2:$E$580,'セミナー一覧'!$O$2:$O$580,A32)</f>
        <v/>
      </c>
      <c r="D32" s="4">
        <f>COUNTIFS('セミナー一覧'!$O$2:$O$580,A32,'セミナー一覧'!$P$2:$P$580,"&gt;0")</f>
        <v/>
      </c>
      <c r="E32" s="5">
        <f>SUMIFS('セミナー一覧'!$P$2:$P$580,'セミナー一覧'!$O$2:$O$580,A32,'セミナー一覧'!$Q$2:$Q$580,"&lt;&gt;定員",'セミナー一覧'!$Q$2:$Q$580,"&lt;&gt;予定来場者数")</f>
        <v/>
      </c>
      <c r="F32" s="4">
        <f>COUNTIFS('セミナー一覧'!$O$2:$O$580,A32,'セミナー一覧'!$D$2:$D$580,"7月")</f>
        <v/>
      </c>
      <c r="G32" s="4">
        <f>COUNTIFS('セミナー一覧'!$O$2:$O$580,A32,'セミナー一覧'!$D$2:$D$580,"8月")</f>
        <v/>
      </c>
      <c r="H32" s="4">
        <f>COUNTIFS('セミナー一覧'!$O$2:$O$580,A32,'セミナー一覧'!$D$2:$D$580,"9月")</f>
        <v/>
      </c>
    </row>
    <row r="33">
      <c r="A33" s="4" t="inlineStr">
        <is>
          <t>△</t>
        </is>
      </c>
      <c r="B33" s="4">
        <f>COUNTIF('セミナー一覧'!$O$2:$O$580,A33)</f>
        <v/>
      </c>
      <c r="C33" s="5">
        <f>SUMIFS('セミナー一覧'!$E$2:$E$580,'セミナー一覧'!$O$2:$O$580,A33)</f>
        <v/>
      </c>
      <c r="D33" s="4">
        <f>COUNTIFS('セミナー一覧'!$O$2:$O$580,A33,'セミナー一覧'!$P$2:$P$580,"&gt;0")</f>
        <v/>
      </c>
      <c r="E33" s="5">
        <f>SUMIFS('セミナー一覧'!$P$2:$P$580,'セミナー一覧'!$O$2:$O$580,A33,'セミナー一覧'!$Q$2:$Q$580,"&lt;&gt;定員",'セミナー一覧'!$Q$2:$Q$580,"&lt;&gt;予定来場者数")</f>
        <v/>
      </c>
      <c r="F33" s="4">
        <f>COUNTIFS('セミナー一覧'!$O$2:$O$580,A33,'セミナー一覧'!$D$2:$D$580,"7月")</f>
        <v/>
      </c>
      <c r="G33" s="4">
        <f>COUNTIFS('セミナー一覧'!$O$2:$O$580,A33,'セミナー一覧'!$D$2:$D$580,"8月")</f>
        <v/>
      </c>
      <c r="H33" s="4">
        <f>COUNTIFS('セミナー一覧'!$O$2:$O$580,A33,'セミナー一覧'!$D$2:$D$580,"9月")</f>
        <v/>
      </c>
    </row>
    <row r="34">
      <c r="A34" s="6" t="inlineStr">
        <is>
          <t>合計</t>
        </is>
      </c>
      <c r="B34" s="6">
        <f>SUM(B31:B33)</f>
        <v/>
      </c>
      <c r="C34" s="7">
        <f>SUM(C31:C33)</f>
        <v/>
      </c>
      <c r="D34" s="6">
        <f>SUM(D31:D33)</f>
        <v/>
      </c>
      <c r="E34" s="7">
        <f>SUM(E31:E33)</f>
        <v/>
      </c>
      <c r="F34" s="6">
        <f>SUM(F31:F33)</f>
        <v/>
      </c>
      <c r="G34" s="6">
        <f>SUM(G31:G33)</f>
        <v/>
      </c>
      <c r="H34" s="6">
        <f>SUM(H31:H33)</f>
        <v/>
      </c>
    </row>
    <row r="36">
      <c r="A36" s="3" t="inlineStr">
        <is>
          <t>AIエージェント/MCP</t>
        </is>
      </c>
      <c r="B36" s="3" t="inlineStr">
        <is>
          <t>件数</t>
        </is>
      </c>
      <c r="C36" s="3" t="inlineStr">
        <is>
          <t>開催回数計</t>
        </is>
      </c>
      <c r="D36" s="3" t="inlineStr">
        <is>
          <t>集客数判明</t>
        </is>
      </c>
      <c r="E36" s="3" t="inlineStr">
        <is>
          <t>参加・申込・来場の合計</t>
        </is>
      </c>
      <c r="F36" s="3" t="inlineStr">
        <is>
          <t>7月</t>
        </is>
      </c>
      <c r="G36" s="3" t="inlineStr">
        <is>
          <t>8月</t>
        </is>
      </c>
      <c r="H36" s="3" t="inlineStr">
        <is>
          <t>9月</t>
        </is>
      </c>
    </row>
    <row r="37">
      <c r="A37" s="4" t="inlineStr">
        <is>
          <t>AIエージェント</t>
        </is>
      </c>
      <c r="B37" s="4">
        <f>COUNTIF('セミナー一覧'!$N$2:$N$580,A37)</f>
        <v/>
      </c>
      <c r="C37" s="5">
        <f>SUMIFS('セミナー一覧'!$E$2:$E$580,'セミナー一覧'!$N$2:$N$580,A37)</f>
        <v/>
      </c>
      <c r="D37" s="4">
        <f>COUNTIFS('セミナー一覧'!$N$2:$N$580,A37,'セミナー一覧'!$P$2:$P$580,"&gt;0")</f>
        <v/>
      </c>
      <c r="E37" s="5">
        <f>SUMIFS('セミナー一覧'!$P$2:$P$580,'セミナー一覧'!$N$2:$N$580,A37,'セミナー一覧'!$Q$2:$Q$580,"&lt;&gt;定員",'セミナー一覧'!$Q$2:$Q$580,"&lt;&gt;予定来場者数")</f>
        <v/>
      </c>
      <c r="F37" s="4">
        <f>COUNTIFS('セミナー一覧'!$N$2:$N$580,A37,'セミナー一覧'!$D$2:$D$580,"7月")</f>
        <v/>
      </c>
      <c r="G37" s="4">
        <f>COUNTIFS('セミナー一覧'!$N$2:$N$580,A37,'セミナー一覧'!$D$2:$D$580,"8月")</f>
        <v/>
      </c>
      <c r="H37" s="4">
        <f>COUNTIFS('セミナー一覧'!$N$2:$N$580,A37,'セミナー一覧'!$D$2:$D$580,"9月")</f>
        <v/>
      </c>
    </row>
    <row r="38">
      <c r="A38" s="4" t="inlineStr">
        <is>
          <t>AIエージェント（AX）</t>
        </is>
      </c>
      <c r="B38" s="4">
        <f>COUNTIF('セミナー一覧'!$N$2:$N$580,A38)</f>
        <v/>
      </c>
      <c r="C38" s="5">
        <f>SUMIFS('セミナー一覧'!$E$2:$E$580,'セミナー一覧'!$N$2:$N$580,A38)</f>
        <v/>
      </c>
      <c r="D38" s="4">
        <f>COUNTIFS('セミナー一覧'!$N$2:$N$580,A38,'セミナー一覧'!$P$2:$P$580,"&gt;0")</f>
        <v/>
      </c>
      <c r="E38" s="5">
        <f>SUMIFS('セミナー一覧'!$P$2:$P$580,'セミナー一覧'!$N$2:$N$580,A38,'セミナー一覧'!$Q$2:$Q$580,"&lt;&gt;定員",'セミナー一覧'!$Q$2:$Q$580,"&lt;&gt;予定来場者数")</f>
        <v/>
      </c>
      <c r="F38" s="4">
        <f>COUNTIFS('セミナー一覧'!$N$2:$N$580,A38,'セミナー一覧'!$D$2:$D$580,"7月")</f>
        <v/>
      </c>
      <c r="G38" s="4">
        <f>COUNTIFS('セミナー一覧'!$N$2:$N$580,A38,'セミナー一覧'!$D$2:$D$580,"8月")</f>
        <v/>
      </c>
      <c r="H38" s="4">
        <f>COUNTIFS('セミナー一覧'!$N$2:$N$580,A38,'セミナー一覧'!$D$2:$D$580,"9月")</f>
        <v/>
      </c>
    </row>
    <row r="39">
      <c r="A39" s="4" t="inlineStr">
        <is>
          <t>AIエージェント（一部セッション）</t>
        </is>
      </c>
      <c r="B39" s="4">
        <f>COUNTIF('セミナー一覧'!$N$2:$N$580,A39)</f>
        <v/>
      </c>
      <c r="C39" s="5">
        <f>SUMIFS('セミナー一覧'!$E$2:$E$580,'セミナー一覧'!$N$2:$N$580,A39)</f>
        <v/>
      </c>
      <c r="D39" s="4">
        <f>COUNTIFS('セミナー一覧'!$N$2:$N$580,A39,'セミナー一覧'!$P$2:$P$580,"&gt;0")</f>
        <v/>
      </c>
      <c r="E39" s="5">
        <f>SUMIFS('セミナー一覧'!$P$2:$P$580,'セミナー一覧'!$N$2:$N$580,A39,'セミナー一覧'!$Q$2:$Q$580,"&lt;&gt;定員",'セミナー一覧'!$Q$2:$Q$580,"&lt;&gt;予定来場者数")</f>
        <v/>
      </c>
      <c r="F39" s="4">
        <f>COUNTIFS('セミナー一覧'!$N$2:$N$580,A39,'セミナー一覧'!$D$2:$D$580,"7月")</f>
        <v/>
      </c>
      <c r="G39" s="4">
        <f>COUNTIFS('セミナー一覧'!$N$2:$N$580,A39,'セミナー一覧'!$D$2:$D$580,"8月")</f>
        <v/>
      </c>
      <c r="H39" s="4">
        <f>COUNTIFS('セミナー一覧'!$N$2:$N$580,A39,'セミナー一覧'!$D$2:$D$580,"9月")</f>
        <v/>
      </c>
    </row>
    <row r="40">
      <c r="A40" s="4" t="inlineStr">
        <is>
          <t>AIエージェント（扱いは小さい）</t>
        </is>
      </c>
      <c r="B40" s="4">
        <f>COUNTIF('セミナー一覧'!$N$2:$N$580,A40)</f>
        <v/>
      </c>
      <c r="C40" s="5">
        <f>SUMIFS('セミナー一覧'!$E$2:$E$580,'セミナー一覧'!$N$2:$N$580,A40)</f>
        <v/>
      </c>
      <c r="D40" s="4">
        <f>COUNTIFS('セミナー一覧'!$N$2:$N$580,A40,'セミナー一覧'!$P$2:$P$580,"&gt;0")</f>
        <v/>
      </c>
      <c r="E40" s="5">
        <f>SUMIFS('セミナー一覧'!$P$2:$P$580,'セミナー一覧'!$N$2:$N$580,A40,'セミナー一覧'!$Q$2:$Q$580,"&lt;&gt;定員",'セミナー一覧'!$Q$2:$Q$580,"&lt;&gt;予定来場者数")</f>
        <v/>
      </c>
      <c r="F40" s="4">
        <f>COUNTIFS('セミナー一覧'!$N$2:$N$580,A40,'セミナー一覧'!$D$2:$D$580,"7月")</f>
        <v/>
      </c>
      <c r="G40" s="4">
        <f>COUNTIFS('セミナー一覧'!$N$2:$N$580,A40,'セミナー一覧'!$D$2:$D$580,"8月")</f>
        <v/>
      </c>
      <c r="H40" s="4">
        <f>COUNTIFS('セミナー一覧'!$N$2:$N$580,A40,'セミナー一覧'!$D$2:$D$580,"9月")</f>
        <v/>
      </c>
    </row>
    <row r="41">
      <c r="A41" s="4" t="inlineStr">
        <is>
          <t>AIエージェント（生成AI中心）</t>
        </is>
      </c>
      <c r="B41" s="4">
        <f>COUNTIF('セミナー一覧'!$N$2:$N$580,A41)</f>
        <v/>
      </c>
      <c r="C41" s="5">
        <f>SUMIFS('セミナー一覧'!$E$2:$E$580,'セミナー一覧'!$N$2:$N$580,A41)</f>
        <v/>
      </c>
      <c r="D41" s="4">
        <f>COUNTIFS('セミナー一覧'!$N$2:$N$580,A41,'セミナー一覧'!$P$2:$P$580,"&gt;0")</f>
        <v/>
      </c>
      <c r="E41" s="5">
        <f>SUMIFS('セミナー一覧'!$P$2:$P$580,'セミナー一覧'!$N$2:$N$580,A41,'セミナー一覧'!$Q$2:$Q$580,"&lt;&gt;定員",'セミナー一覧'!$Q$2:$Q$580,"&lt;&gt;予定来場者数")</f>
        <v/>
      </c>
      <c r="F41" s="4">
        <f>COUNTIFS('セミナー一覧'!$N$2:$N$580,A41,'セミナー一覧'!$D$2:$D$580,"7月")</f>
        <v/>
      </c>
      <c r="G41" s="4">
        <f>COUNTIFS('セミナー一覧'!$N$2:$N$580,A41,'セミナー一覧'!$D$2:$D$580,"8月")</f>
        <v/>
      </c>
      <c r="H41" s="4">
        <f>COUNTIFS('セミナー一覧'!$N$2:$N$580,A41,'セミナー一覧'!$D$2:$D$580,"9月")</f>
        <v/>
      </c>
    </row>
    <row r="42">
      <c r="A42" s="4" t="inlineStr">
        <is>
          <t>AI営業自動化</t>
        </is>
      </c>
      <c r="B42" s="4">
        <f>COUNTIF('セミナー一覧'!$N$2:$N$580,A42)</f>
        <v/>
      </c>
      <c r="C42" s="5">
        <f>SUMIFS('セミナー一覧'!$E$2:$E$580,'セミナー一覧'!$N$2:$N$580,A42)</f>
        <v/>
      </c>
      <c r="D42" s="4">
        <f>COUNTIFS('セミナー一覧'!$N$2:$N$580,A42,'セミナー一覧'!$P$2:$P$580,"&gt;0")</f>
        <v/>
      </c>
      <c r="E42" s="5">
        <f>SUMIFS('セミナー一覧'!$P$2:$P$580,'セミナー一覧'!$N$2:$N$580,A42,'セミナー一覧'!$Q$2:$Q$580,"&lt;&gt;定員",'セミナー一覧'!$Q$2:$Q$580,"&lt;&gt;予定来場者数")</f>
        <v/>
      </c>
      <c r="F42" s="4">
        <f>COUNTIFS('セミナー一覧'!$N$2:$N$580,A42,'セミナー一覧'!$D$2:$D$580,"7月")</f>
        <v/>
      </c>
      <c r="G42" s="4">
        <f>COUNTIFS('セミナー一覧'!$N$2:$N$580,A42,'セミナー一覧'!$D$2:$D$580,"8月")</f>
        <v/>
      </c>
      <c r="H42" s="4">
        <f>COUNTIFS('セミナー一覧'!$N$2:$N$580,A42,'セミナー一覧'!$D$2:$D$580,"9月")</f>
        <v/>
      </c>
    </row>
    <row r="43">
      <c r="A43" s="4" t="inlineStr">
        <is>
          <t>MCP</t>
        </is>
      </c>
      <c r="B43" s="4">
        <f>COUNTIF('セミナー一覧'!$N$2:$N$580,A43)</f>
        <v/>
      </c>
      <c r="C43" s="5">
        <f>SUMIFS('セミナー一覧'!$E$2:$E$580,'セミナー一覧'!$N$2:$N$580,A43)</f>
        <v/>
      </c>
      <c r="D43" s="4">
        <f>COUNTIFS('セミナー一覧'!$N$2:$N$580,A43,'セミナー一覧'!$P$2:$P$580,"&gt;0")</f>
        <v/>
      </c>
      <c r="E43" s="5">
        <f>SUMIFS('セミナー一覧'!$P$2:$P$580,'セミナー一覧'!$N$2:$N$580,A43,'セミナー一覧'!$Q$2:$Q$580,"&lt;&gt;定員",'セミナー一覧'!$Q$2:$Q$580,"&lt;&gt;予定来場者数")</f>
        <v/>
      </c>
      <c r="F43" s="4">
        <f>COUNTIFS('セミナー一覧'!$N$2:$N$580,A43,'セミナー一覧'!$D$2:$D$580,"7月")</f>
        <v/>
      </c>
      <c r="G43" s="4">
        <f>COUNTIFS('セミナー一覧'!$N$2:$N$580,A43,'セミナー一覧'!$D$2:$D$580,"8月")</f>
        <v/>
      </c>
      <c r="H43" s="4">
        <f>COUNTIFS('セミナー一覧'!$N$2:$N$580,A43,'セミナー一覧'!$D$2:$D$580,"9月")</f>
        <v/>
      </c>
    </row>
    <row r="44">
      <c r="A44" s="4" t="inlineStr">
        <is>
          <t>両方</t>
        </is>
      </c>
      <c r="B44" s="4">
        <f>COUNTIF('セミナー一覧'!$N$2:$N$580,A44)</f>
        <v/>
      </c>
      <c r="C44" s="5">
        <f>SUMIFS('セミナー一覧'!$E$2:$E$580,'セミナー一覧'!$N$2:$N$580,A44)</f>
        <v/>
      </c>
      <c r="D44" s="4">
        <f>COUNTIFS('セミナー一覧'!$N$2:$N$580,A44,'セミナー一覧'!$P$2:$P$580,"&gt;0")</f>
        <v/>
      </c>
      <c r="E44" s="5">
        <f>SUMIFS('セミナー一覧'!$P$2:$P$580,'セミナー一覧'!$N$2:$N$580,A44,'セミナー一覧'!$Q$2:$Q$580,"&lt;&gt;定員",'セミナー一覧'!$Q$2:$Q$580,"&lt;&gt;予定来場者数")</f>
        <v/>
      </c>
      <c r="F44" s="4">
        <f>COUNTIFS('セミナー一覧'!$N$2:$N$580,A44,'セミナー一覧'!$D$2:$D$580,"7月")</f>
        <v/>
      </c>
      <c r="G44" s="4">
        <f>COUNTIFS('セミナー一覧'!$N$2:$N$580,A44,'セミナー一覧'!$D$2:$D$580,"8月")</f>
        <v/>
      </c>
      <c r="H44" s="4">
        <f>COUNTIFS('セミナー一覧'!$N$2:$N$580,A44,'セミナー一覧'!$D$2:$D$580,"9月")</f>
        <v/>
      </c>
    </row>
    <row r="45">
      <c r="A45" s="4" t="inlineStr">
        <is>
          <t>両方（MCPが中心）</t>
        </is>
      </c>
      <c r="B45" s="4">
        <f>COUNTIF('セミナー一覧'!$N$2:$N$580,A45)</f>
        <v/>
      </c>
      <c r="C45" s="5">
        <f>SUMIFS('セミナー一覧'!$E$2:$E$580,'セミナー一覧'!$N$2:$N$580,A45)</f>
        <v/>
      </c>
      <c r="D45" s="4">
        <f>COUNTIFS('セミナー一覧'!$N$2:$N$580,A45,'セミナー一覧'!$P$2:$P$580,"&gt;0")</f>
        <v/>
      </c>
      <c r="E45" s="5">
        <f>SUMIFS('セミナー一覧'!$P$2:$P$580,'セミナー一覧'!$N$2:$N$580,A45,'セミナー一覧'!$Q$2:$Q$580,"&lt;&gt;定員",'セミナー一覧'!$Q$2:$Q$580,"&lt;&gt;予定来場者数")</f>
        <v/>
      </c>
      <c r="F45" s="4">
        <f>COUNTIFS('セミナー一覧'!$N$2:$N$580,A45,'セミナー一覧'!$D$2:$D$580,"7月")</f>
        <v/>
      </c>
      <c r="G45" s="4">
        <f>COUNTIFS('セミナー一覧'!$N$2:$N$580,A45,'セミナー一覧'!$D$2:$D$580,"8月")</f>
        <v/>
      </c>
      <c r="H45" s="4">
        <f>COUNTIFS('セミナー一覧'!$N$2:$N$580,A45,'セミナー一覧'!$D$2:$D$580,"9月")</f>
        <v/>
      </c>
    </row>
    <row r="46">
      <c r="A46" s="4" t="inlineStr">
        <is>
          <t>両方（要確認）</t>
        </is>
      </c>
      <c r="B46" s="4">
        <f>COUNTIF('セミナー一覧'!$N$2:$N$580,A46)</f>
        <v/>
      </c>
      <c r="C46" s="5">
        <f>SUMIFS('セミナー一覧'!$E$2:$E$580,'セミナー一覧'!$N$2:$N$580,A46)</f>
        <v/>
      </c>
      <c r="D46" s="4">
        <f>COUNTIFS('セミナー一覧'!$N$2:$N$580,A46,'セミナー一覧'!$P$2:$P$580,"&gt;0")</f>
        <v/>
      </c>
      <c r="E46" s="5">
        <f>SUMIFS('セミナー一覧'!$P$2:$P$580,'セミナー一覧'!$N$2:$N$580,A46,'セミナー一覧'!$Q$2:$Q$580,"&lt;&gt;定員",'セミナー一覧'!$Q$2:$Q$580,"&lt;&gt;予定来場者数")</f>
        <v/>
      </c>
      <c r="F46" s="4">
        <f>COUNTIFS('セミナー一覧'!$N$2:$N$580,A46,'セミナー一覧'!$D$2:$D$580,"7月")</f>
        <v/>
      </c>
      <c r="G46" s="4">
        <f>COUNTIFS('セミナー一覧'!$N$2:$N$580,A46,'セミナー一覧'!$D$2:$D$580,"8月")</f>
        <v/>
      </c>
      <c r="H46" s="4">
        <f>COUNTIFS('セミナー一覧'!$N$2:$N$580,A46,'セミナー一覧'!$D$2:$D$580,"9月")</f>
        <v/>
      </c>
    </row>
    <row r="47">
      <c r="A47" s="6" t="inlineStr">
        <is>
          <t>合計</t>
        </is>
      </c>
      <c r="B47" s="6">
        <f>SUM(B37:B46)</f>
        <v/>
      </c>
      <c r="C47" s="7">
        <f>SUM(C37:C46)</f>
        <v/>
      </c>
      <c r="D47" s="6">
        <f>SUM(D37:D46)</f>
        <v/>
      </c>
      <c r="E47" s="7">
        <f>SUM(E37:E46)</f>
        <v/>
      </c>
      <c r="F47" s="6">
        <f>SUM(F37:F46)</f>
        <v/>
      </c>
      <c r="G47" s="6">
        <f>SUM(G37:G46)</f>
        <v/>
      </c>
      <c r="H47" s="6">
        <f>SUM(H37:H46)</f>
        <v/>
      </c>
    </row>
    <row r="49">
      <c r="A49" s="8" t="inlineStr">
        <is>
          <t>凡例・注意事項</t>
        </is>
      </c>
    </row>
    <row r="50" ht="32" customHeight="1">
      <c r="A50" s="9" t="inlineStr">
        <is>
          <t>・関連度: ◎＝タイトルにAIエージェント/MCP関連語があり、テーマが業務（生産性・営業・製造）に合うもの／○＝どちらか一方だけ合うもの／△＝本文にだけ関連語があり、テーマも技術寄りのもの。</t>
        </is>
      </c>
    </row>
    <row r="51" ht="32" customHeight="1">
      <c r="A51" s="9" t="inlineStr">
        <is>
          <t>・抽出方法: 個別確認＝公式サイトやPR TIMESで内容を確認したもの（第1版の55件）／タイトル一致・本文一致＝プラットフォーム巡回で、キーワードが見つかった箇所。</t>
        </is>
      </c>
    </row>
    <row r="52" ht="32" customHeight="1">
      <c r="A52" s="9" t="inlineStr">
        <is>
          <t>・集客数: connpass・Doorkeeper・こくちーず・TECH PLAYは、掲載ページの参加者数（申込数）を調査時点の表示値で入れています。0や少人数の表示は、外部フォームで申し込むイベントでよく見られます。企業ウェビナーの多くは非公開です。</t>
        </is>
      </c>
    </row>
    <row r="53" ht="32" customHeight="1">
      <c r="A53" s="9" t="inlineStr">
        <is>
          <t>・同じタイトル・同じ主催で複数回開かれたセミナーは1行にまとめ、「開催回数」「開催日一覧」に回数と日付を、集客数に全回の合計を入れています。</t>
        </is>
      </c>
    </row>
    <row r="54" ht="32" customHeight="1">
      <c r="A54" s="9" t="inlineStr">
        <is>
          <t>・「参加・申込・来場の合計」は、定員と予定値を除いた実数だけを足した値です。種別の違う数値を合計しているため、目安として見てください。</t>
        </is>
      </c>
    </row>
    <row r="55" ht="32" customHeight="1">
      <c r="A55" s="9" t="inlineStr">
        <is>
          <t>・Peatixは、この環境からの直接アクセスがCloudFrontに拒否される（403）ため、検索エンジン経由（site:peatix.com）で集めました。そのため網羅できていない可能性があります。</t>
        </is>
      </c>
    </row>
    <row r="56" ht="32" customHeight="1">
      <c r="A56" s="9" t="inlineStr">
        <is>
          <t>・MarkeZine / EnterpriseZine / BOXIL（403）、ITmedia・TechTarget（404）、bizplay（接続不可）、Zoom Events（401）、EventRegist（検索非公開）は、一覧を巡回できませんでした。</t>
        </is>
      </c>
    </row>
    <row r="57" ht="32" customHeight="1">
      <c r="A57" s="9" t="inlineStr">
        <is>
          <t>・自動抽出の行（タイトル一致・本文一致）は、テーマ分類をキーワードで機械的に判定しています。誤分類が含まれる可能性があります。</t>
        </is>
      </c>
    </row>
    <row r="58" ht="32" customHeight="1">
      <c r="A58" s="9" t="inlineStr">
        <is>
          <t>・AIエージェント/MCPの明記がない生成AIセミナー等は「参考」シートに分けています。</t>
        </is>
      </c>
    </row>
  </sheetData>
  <mergeCells count="9">
    <mergeCell ref="A50:H50"/>
    <mergeCell ref="A56:H56"/>
    <mergeCell ref="A53:H53"/>
    <mergeCell ref="A55:H55"/>
    <mergeCell ref="A57:H57"/>
    <mergeCell ref="A54:H54"/>
    <mergeCell ref="A51:H51"/>
    <mergeCell ref="A52:H52"/>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80"/>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11" customWidth="1" min="3" max="3"/>
    <col width="7" customWidth="1" min="4" max="4"/>
    <col width="7" customWidth="1" min="5" max="5"/>
    <col width="18" customWidth="1" min="6" max="6"/>
    <col width="50" customWidth="1" min="7" max="7"/>
    <col width="24" customWidth="1" min="8" max="8"/>
    <col width="22" customWidth="1" min="9" max="9"/>
    <col width="14" customWidth="1" min="10" max="10"/>
    <col width="11" customWidth="1" min="11" max="11"/>
    <col width="26" customWidth="1" min="12" max="12"/>
    <col width="18" customWidth="1" min="13" max="13"/>
    <col width="12" customWidth="1" min="14" max="14"/>
    <col width="6" customWidth="1" min="15" max="15"/>
    <col width="9" customWidth="1" min="16" max="16"/>
    <col width="11" customWidth="1" min="17" max="17"/>
    <col width="8" customWidth="1" min="18" max="18"/>
    <col width="26" customWidth="1" min="19" max="19"/>
    <col width="50" customWidth="1" min="20" max="20"/>
    <col width="42" customWidth="1" min="21" max="21"/>
    <col width="30" customWidth="1" min="22" max="22"/>
    <col width="10" customWidth="1" min="23" max="23"/>
    <col width="24" customWidth="1" min="24" max="24"/>
  </cols>
  <sheetData>
    <row r="1" ht="30" customHeight="1">
      <c r="A1" s="3" t="inlineStr">
        <is>
          <t>No</t>
        </is>
      </c>
      <c r="B1" s="3" t="inlineStr">
        <is>
          <t>開催日（初回）</t>
        </is>
      </c>
      <c r="C1" s="3" t="inlineStr">
        <is>
          <t>開催日（最終）</t>
        </is>
      </c>
      <c r="D1" s="3" t="inlineStr">
        <is>
          <t>開催月</t>
        </is>
      </c>
      <c r="E1" s="3" t="inlineStr">
        <is>
          <t>開催回数</t>
        </is>
      </c>
      <c r="F1" s="3" t="inlineStr">
        <is>
          <t>開催日一覧（複数回）</t>
        </is>
      </c>
      <c r="G1" s="3" t="inlineStr">
        <is>
          <t>セミナー名</t>
        </is>
      </c>
      <c r="H1" s="3" t="inlineStr">
        <is>
          <t>主催者</t>
        </is>
      </c>
      <c r="I1" s="3" t="inlineStr">
        <is>
          <t>共催・登壇</t>
        </is>
      </c>
      <c r="J1" s="3" t="inlineStr">
        <is>
          <t>掲載プラットフォーム</t>
        </is>
      </c>
      <c r="K1" s="3" t="inlineStr">
        <is>
          <t>形式</t>
        </is>
      </c>
      <c r="L1" s="3" t="inlineStr">
        <is>
          <t>会場・場所</t>
        </is>
      </c>
      <c r="M1" s="3" t="inlineStr">
        <is>
          <t>テーマ分類</t>
        </is>
      </c>
      <c r="N1" s="3" t="inlineStr">
        <is>
          <t>AIエージェント/MCP</t>
        </is>
      </c>
      <c r="O1" s="3" t="inlineStr">
        <is>
          <t>関連度</t>
        </is>
      </c>
      <c r="P1" s="3" t="inlineStr">
        <is>
          <t>集客数</t>
        </is>
      </c>
      <c r="Q1" s="3" t="inlineStr">
        <is>
          <t>集客数の種別</t>
        </is>
      </c>
      <c r="R1" s="3" t="inlineStr">
        <is>
          <t>定員</t>
        </is>
      </c>
      <c r="S1" s="3" t="inlineStr">
        <is>
          <t>集客数の補足</t>
        </is>
      </c>
      <c r="T1" s="3" t="inlineStr">
        <is>
          <t>概要・抜粋</t>
        </is>
      </c>
      <c r="U1" s="3" t="inlineStr">
        <is>
          <t>ソースURL</t>
        </is>
      </c>
      <c r="V1" s="3" t="inlineStr">
        <is>
          <t>補足URL</t>
        </is>
      </c>
      <c r="W1" s="3" t="inlineStr">
        <is>
          <t>抽出方法</t>
        </is>
      </c>
      <c r="X1" s="3" t="inlineStr">
        <is>
          <t>備考</t>
        </is>
      </c>
    </row>
    <row r="2">
      <c r="A2" s="10" t="n">
        <v>1</v>
      </c>
      <c r="B2" s="11" t="n">
        <v>46204</v>
      </c>
      <c r="C2" s="11" t="n">
        <v>46204</v>
      </c>
      <c r="D2" s="10">
        <f>MONTH(B2)&amp;"月"</f>
        <v/>
      </c>
      <c r="E2" s="12" t="n">
        <v>1</v>
      </c>
      <c r="F2" s="10" t="n"/>
      <c r="G2" s="10" t="inlineStr">
        <is>
          <t>Codexで管理職の仕事をラクにする 第3回：部下ごとの報告・面談資料編</t>
        </is>
      </c>
      <c r="H2" s="10" t="inlineStr">
        <is>
          <t>はんなりプログラミングの会</t>
        </is>
      </c>
      <c r="I2" s="10" t="n"/>
      <c r="J2" s="10" t="inlineStr">
        <is>
          <t>connpass</t>
        </is>
      </c>
      <c r="K2" s="10" t="inlineStr">
        <is>
          <t>オンライン</t>
        </is>
      </c>
      <c r="L2" s="10" t="inlineStr">
        <is>
          <t>youtube live</t>
        </is>
      </c>
      <c r="M2" s="10" t="inlineStr">
        <is>
          <t>開発生産性</t>
        </is>
      </c>
      <c r="N2" s="10" t="inlineStr">
        <is>
          <t>AIエージェント</t>
        </is>
      </c>
      <c r="O2" s="12" t="inlineStr">
        <is>
          <t>○</t>
        </is>
      </c>
      <c r="P2" s="13" t="n">
        <v>1</v>
      </c>
      <c r="Q2" s="12" t="inlineStr">
        <is>
          <t>参加者数</t>
        </is>
      </c>
      <c r="R2" s="14" t="n">
        <v>20</v>
      </c>
      <c r="S2" s="10" t="n"/>
      <c r="T2" s="10" t="n"/>
      <c r="U2" s="15" t="inlineStr">
        <is>
          <t>https://hannari-python.connpass.com/event/397219/</t>
        </is>
      </c>
      <c r="V2" s="10" t="n"/>
      <c r="W2" s="10" t="inlineStr">
        <is>
          <t>タイトル一致</t>
        </is>
      </c>
      <c r="X2" s="10" t="n"/>
    </row>
    <row r="3">
      <c r="A3" s="10" t="n">
        <v>2</v>
      </c>
      <c r="B3" s="11" t="n">
        <v>46204</v>
      </c>
      <c r="C3" s="11" t="n">
        <v>46204</v>
      </c>
      <c r="D3" s="10">
        <f>MONTH(B3)&amp;"月"</f>
        <v/>
      </c>
      <c r="E3" s="12" t="n">
        <v>1</v>
      </c>
      <c r="F3" s="10" t="n"/>
      <c r="G3" s="10" t="inlineStr">
        <is>
          <t>【CeeBeeDee】Claude Code スキルでここまでできる！〜オリジナルスキルのススメ／こもりまさあき</t>
        </is>
      </c>
      <c r="H3" s="10" t="inlineStr">
        <is>
          <t>CeeBeeDee</t>
        </is>
      </c>
      <c r="I3" s="10" t="n"/>
      <c r="J3" s="10" t="inlineStr">
        <is>
          <t>Doorkeeper</t>
        </is>
      </c>
      <c r="K3" s="10" t="inlineStr">
        <is>
          <t>不明</t>
        </is>
      </c>
      <c r="L3" s="10" t="n"/>
      <c r="M3" s="10" t="inlineStr">
        <is>
          <t>開発生産性</t>
        </is>
      </c>
      <c r="N3" s="10" t="inlineStr">
        <is>
          <t>AIエージェント</t>
        </is>
      </c>
      <c r="O3" s="12" t="inlineStr">
        <is>
          <t>○</t>
        </is>
      </c>
      <c r="P3" s="13" t="n">
        <v>92</v>
      </c>
      <c r="Q3" s="12" t="inlineStr">
        <is>
          <t>参加者数</t>
        </is>
      </c>
      <c r="R3" s="14" t="n"/>
      <c r="S3" s="10" t="n"/>
      <c r="T3" s="10" t="inlineStr">
        <is>
          <t xml:space="preserve"> Web制作の現場ですぐに使えるClaude Codeの「スキル」について、実例とデモを交えて、こもりまさあきさんに解説いただきます。 本イベントは有料イベントとして開催します。 無料での配信は行わず、お申し込みいただいた方のみに配信URLをお知らせします。 アーカイブ（と当日の配信）はサブスクの対象ですが、こもりまさあきさんの 「KMRVID Claude Skills」講座 （15,400円）は付属しません。 手作業から解放される！</t>
        </is>
      </c>
      <c r="U3" s="15" t="inlineStr">
        <is>
          <t>https://cssnite.doorkeeper.jp/events/197993</t>
        </is>
      </c>
      <c r="V3" s="10" t="n"/>
      <c r="W3" s="10" t="inlineStr">
        <is>
          <t>タイトル一致</t>
        </is>
      </c>
      <c r="X3" s="10" t="n"/>
    </row>
    <row r="4">
      <c r="A4" s="10" t="n">
        <v>3</v>
      </c>
      <c r="B4" s="11" t="n">
        <v>46204</v>
      </c>
      <c r="C4" s="11" t="n">
        <v>46206</v>
      </c>
      <c r="D4" s="10">
        <f>MONTH(B4)&amp;"月"</f>
        <v/>
      </c>
      <c r="E4" s="12" t="n">
        <v>1</v>
      </c>
      <c r="F4" s="10" t="n"/>
      <c r="G4" s="10" t="inlineStr">
        <is>
          <t>ものづくり ワールド［東京］2026</t>
        </is>
      </c>
      <c r="H4" s="10" t="inlineStr">
        <is>
          <t>RX Japan</t>
        </is>
      </c>
      <c r="I4" s="10" t="n"/>
      <c r="J4" s="10" t="inlineStr">
        <is>
          <t>個別調査（公式サイト・PR TIMES等）</t>
        </is>
      </c>
      <c r="K4" s="10" t="inlineStr">
        <is>
          <t>会場</t>
        </is>
      </c>
      <c r="L4" s="10" t="inlineStr">
        <is>
          <t>東京ビッグサイト</t>
        </is>
      </c>
      <c r="M4" s="10" t="inlineStr">
        <is>
          <t>生産管理・製造・SCM</t>
        </is>
      </c>
      <c r="N4" s="10" t="inlineStr">
        <is>
          <t>AIエージェント</t>
        </is>
      </c>
      <c r="O4" s="12" t="inlineStr">
        <is>
          <t>◎</t>
        </is>
      </c>
      <c r="P4" s="13" t="n">
        <v>81697</v>
      </c>
      <c r="Q4" s="12" t="inlineStr">
        <is>
          <t>来場者数</t>
        </is>
      </c>
      <c r="R4" s="14" t="n"/>
      <c r="S4" s="10" t="inlineStr">
        <is>
          <t>3日間の合計（併催展を含む）。7/1は20,534名、7/2は25,577名、7/3は35,586名。</t>
        </is>
      </c>
      <c r="T4" s="10" t="inlineStr">
        <is>
          <t>日本最大級の製造業展示会。製造業DX展、製造業×フィジカルAI展、設計・製造ソリューション展などで構成されている。</t>
        </is>
      </c>
      <c r="U4" s="15" t="inlineStr">
        <is>
          <t>https://www.manufacturing-world.jp/tokyo/ja-jp/previous/visitorcount.html</t>
        </is>
      </c>
      <c r="V4" s="10" t="n"/>
      <c r="W4" s="10" t="inlineStr">
        <is>
          <t>個別確認</t>
        </is>
      </c>
      <c r="X4" s="10" t="inlineStr">
        <is>
          <t>展示会。AIエージェント専門の展示ではない</t>
        </is>
      </c>
    </row>
    <row r="5">
      <c r="A5" s="10" t="n">
        <v>4</v>
      </c>
      <c r="B5" s="11" t="n">
        <v>46205</v>
      </c>
      <c r="C5" s="11" t="n">
        <v>46205</v>
      </c>
      <c r="D5" s="10">
        <f>MONTH(B5)&amp;"月"</f>
        <v/>
      </c>
      <c r="E5" s="12" t="n">
        <v>1</v>
      </c>
      <c r="F5" s="10" t="n"/>
      <c r="G5" s="10" t="inlineStr">
        <is>
          <t>AgentCoreハーネスとマネージドKBでRAG &amp; AIエージェント構築を体験！</t>
        </is>
      </c>
      <c r="H5" s="10" t="inlineStr">
        <is>
          <t>JAWS-UG東京</t>
        </is>
      </c>
      <c r="I5" s="10" t="n"/>
      <c r="J5" s="10" t="inlineStr">
        <is>
          <t>connpass</t>
        </is>
      </c>
      <c r="K5" s="10" t="inlineStr">
        <is>
          <t>オンライン</t>
        </is>
      </c>
      <c r="L5" s="10" t="inlineStr">
        <is>
          <t>Zoom</t>
        </is>
      </c>
      <c r="M5" s="10" t="inlineStr">
        <is>
          <t>技術・AI全般</t>
        </is>
      </c>
      <c r="N5" s="10" t="inlineStr">
        <is>
          <t>AIエージェント</t>
        </is>
      </c>
      <c r="O5" s="12" t="inlineStr">
        <is>
          <t>○</t>
        </is>
      </c>
      <c r="P5" s="13" t="n">
        <v>316</v>
      </c>
      <c r="Q5" s="12" t="inlineStr">
        <is>
          <t>参加者数</t>
        </is>
      </c>
      <c r="R5" s="14" t="n"/>
      <c r="S5" s="10" t="n"/>
      <c r="T5" s="10" t="n"/>
      <c r="U5" s="15" t="inlineStr">
        <is>
          <t>https://jawsug.connpass.com/event/398118/</t>
        </is>
      </c>
      <c r="V5" s="10" t="n"/>
      <c r="W5" s="10" t="inlineStr">
        <is>
          <t>タイトル一致</t>
        </is>
      </c>
      <c r="X5" s="10" t="n"/>
    </row>
    <row r="6">
      <c r="A6" s="10" t="n">
        <v>5</v>
      </c>
      <c r="B6" s="11" t="n">
        <v>46205</v>
      </c>
      <c r="C6" s="11" t="n">
        <v>46205</v>
      </c>
      <c r="D6" s="10">
        <f>MONTH(B6)&amp;"月"</f>
        <v/>
      </c>
      <c r="E6" s="12" t="n">
        <v>1</v>
      </c>
      <c r="F6" s="10" t="n"/>
      <c r="G6" s="10" t="inlineStr">
        <is>
          <t>EMLinkウェビナー開催：「AIエージェントに選ばれる」設備保全データ整備 — AI活用の成否は、データの整え方で決まる（7月2日・参加無料）</t>
        </is>
      </c>
      <c r="H6" s="10" t="inlineStr">
        <is>
          <t>EMLink（株式会社設備保全総合研究所）</t>
        </is>
      </c>
      <c r="I6" s="10" t="n"/>
      <c r="J6" s="10" t="inlineStr">
        <is>
          <t>PR TIMES</t>
        </is>
      </c>
      <c r="K6" s="10" t="inlineStr">
        <is>
          <t>online</t>
        </is>
      </c>
      <c r="L6" s="10" t="inlineStr">
        <is>
          <t>オンライン（Teamsウェビナー：事前登録制）／参加無料</t>
        </is>
      </c>
      <c r="M6" s="10" t="inlineStr">
        <is>
          <t>生産管理・製造・SCM</t>
        </is>
      </c>
      <c r="N6" s="10" t="inlineStr">
        <is>
          <t>AIエージェント</t>
        </is>
      </c>
      <c r="O6" s="12" t="inlineStr">
        <is>
          <t>◎</t>
        </is>
      </c>
      <c r="P6" s="13" t="n"/>
      <c r="Q6" s="12" t="inlineStr">
        <is>
          <t>不明</t>
        </is>
      </c>
      <c r="R6" s="14" t="n"/>
      <c r="S6" s="10" t="n"/>
      <c r="T6" s="10" t="inlineStr">
        <is>
          <t>工場・インフラ向け設備保全クラウド『EMLink』を提供する株式会社設備保全総合研究所は、ウェビナー「AIエージェントに選ばれる設備保全データ整備」を2026年7月2日（木）14:00より開催します。検索の世界で「AIに選ばれる情報設計」が注目されているように、設備保全の世界でも、AIエージェントが参照できる形にデータを整えることが、AI活用の成果を左右します。 これから生成AI・AIエージェントを保全・設備管理業務に取り入れたい方、「</t>
        </is>
      </c>
      <c r="U6" s="15" t="inlineStr">
        <is>
          <t>https://prtimes.jp/main/html/rd/p/000000032.000115057.html</t>
        </is>
      </c>
      <c r="V6" s="10" t="n"/>
      <c r="W6" s="10" t="inlineStr">
        <is>
          <t>タイトル一致</t>
        </is>
      </c>
      <c r="X6" s="10" t="n"/>
    </row>
    <row r="7">
      <c r="A7" s="10" t="n">
        <v>6</v>
      </c>
      <c r="B7" s="11" t="n">
        <v>46205</v>
      </c>
      <c r="C7" s="11" t="n">
        <v>46205</v>
      </c>
      <c r="D7" s="10">
        <f>MONTH(B7)&amp;"月"</f>
        <v/>
      </c>
      <c r="E7" s="12" t="n">
        <v>1</v>
      </c>
      <c r="F7" s="10" t="n"/>
      <c r="G7" s="10" t="inlineStr">
        <is>
          <t>Hardening Designers Conference 2026</t>
        </is>
      </c>
      <c r="H7" s="10" t="inlineStr">
        <is>
          <t>hardening</t>
        </is>
      </c>
      <c r="I7" s="10" t="n"/>
      <c r="J7" s="10" t="inlineStr">
        <is>
          <t>Doorkeeper</t>
        </is>
      </c>
      <c r="K7" s="10" t="inlineStr">
        <is>
          <t>不明</t>
        </is>
      </c>
      <c r="L7" s="10" t="n"/>
      <c r="M7" s="10" t="inlineStr">
        <is>
          <t>営業・マーケ・CS</t>
        </is>
      </c>
      <c r="N7" s="10" t="inlineStr">
        <is>
          <t>AIエージェント</t>
        </is>
      </c>
      <c r="O7" s="12" t="inlineStr">
        <is>
          <t>○</t>
        </is>
      </c>
      <c r="P7" s="13" t="n">
        <v>210</v>
      </c>
      <c r="Q7" s="12" t="inlineStr">
        <is>
          <t>参加者数</t>
        </is>
      </c>
      <c r="R7" s="14" t="n">
        <v>265</v>
      </c>
      <c r="S7" s="10" t="n"/>
      <c r="T7" s="10" t="inlineStr">
        <is>
          <t xml:space="preserve"> 📅 開催日時 DAY1 7/2(木) 10:00–17:00 ── Training Session / Micro Hardening（ マルチトラック並行開催 ） DAY2 7/3(金) 13:00–18:00 ── Conference Day｜Tech Showcase &amp; Open Mic DAY3 7/4(土) 09:00–18:00 ── Conference Day｜Deep Session 🎯 このカンファレンスで得</t>
        </is>
      </c>
      <c r="U7" s="15" t="inlineStr">
        <is>
          <t>https://hardening.doorkeeper.jp/events/196978</t>
        </is>
      </c>
      <c r="V7" s="10" t="n"/>
      <c r="W7" s="10" t="inlineStr">
        <is>
          <t>本文一致</t>
        </is>
      </c>
      <c r="X7" s="10" t="n"/>
    </row>
    <row r="8">
      <c r="A8" s="10" t="n">
        <v>7</v>
      </c>
      <c r="B8" s="11" t="n">
        <v>46205</v>
      </c>
      <c r="C8" s="11" t="n">
        <v>46205</v>
      </c>
      <c r="D8" s="10">
        <f>MONTH(B8)&amp;"月"</f>
        <v/>
      </c>
      <c r="E8" s="12" t="n">
        <v>1</v>
      </c>
      <c r="F8" s="10" t="n"/>
      <c r="G8" s="10" t="inlineStr">
        <is>
          <t>【無料オンライン】Claude Code勉強会 -入門編-</t>
        </is>
      </c>
      <c r="H8" s="10" t="inlineStr">
        <is>
          <t>株式会社ビズリンク 事務所</t>
        </is>
      </c>
      <c r="I8" s="10" t="n"/>
      <c r="J8" s="10" t="inlineStr">
        <is>
          <t>こくちーずプロ</t>
        </is>
      </c>
      <c r="K8" s="10" t="inlineStr">
        <is>
          <t>オンライン</t>
        </is>
      </c>
      <c r="L8" s="10" t="inlineStr">
        <is>
          <t>オンライン 日本</t>
        </is>
      </c>
      <c r="M8" s="10" t="inlineStr">
        <is>
          <t>開発生産性</t>
        </is>
      </c>
      <c r="N8" s="10" t="inlineStr">
        <is>
          <t>AIエージェント</t>
        </is>
      </c>
      <c r="O8" s="12" t="inlineStr">
        <is>
          <t>○</t>
        </is>
      </c>
      <c r="P8" s="13" t="n"/>
      <c r="Q8" s="12" t="inlineStr">
        <is>
          <t>不明</t>
        </is>
      </c>
      <c r="R8" s="14" t="n"/>
      <c r="S8" s="10" t="n"/>
      <c r="T8" s="10" t="inlineStr">
        <is>
          <t>【無料】「相談する」AIから「任せる」AIへ。 ─Claude Code勉強会＜入門編＞ー 導入編と実践編、参加者100名突破しました！ 経営者限定の導入編はこちら！ 【完全無料・オンライン・60分】 「ChatGPTは使っているが、仕事の速さも量も変わっていない」 「AIを活用している人との差が、なんとなく広がっている気がする」 ──そんな方のための、自律型AI「Claude Code」入門ウェビナーです。 AIに"相談する"時代から</t>
        </is>
      </c>
      <c r="U8" s="15" t="inlineStr">
        <is>
          <t>https://www.kokuchpro.com/event/a91b6275bcbfff0a1e04532f6c25ecf3/3817804/</t>
        </is>
      </c>
      <c r="V8" s="10" t="n"/>
      <c r="W8" s="10" t="inlineStr">
        <is>
          <t>タイトル一致</t>
        </is>
      </c>
      <c r="X8" s="10" t="n"/>
    </row>
    <row r="9">
      <c r="A9" s="10" t="n">
        <v>8</v>
      </c>
      <c r="B9" s="11" t="n">
        <v>46206</v>
      </c>
      <c r="C9" s="11" t="n">
        <v>46206</v>
      </c>
      <c r="D9" s="10">
        <f>MONTH(B9)&amp;"月"</f>
        <v/>
      </c>
      <c r="E9" s="12" t="n">
        <v>1</v>
      </c>
      <c r="F9" s="10" t="n"/>
      <c r="G9" s="10" t="inlineStr">
        <is>
          <t>Cursor meetup Nagoya #1</t>
        </is>
      </c>
      <c r="H9" s="10" t="inlineStr">
        <is>
          <t>AIエージェントユーザー会（AIAU）</t>
        </is>
      </c>
      <c r="I9" s="10" t="n"/>
      <c r="J9" s="10" t="inlineStr">
        <is>
          <t>connpass</t>
        </is>
      </c>
      <c r="K9" s="10" t="inlineStr">
        <is>
          <t>会場</t>
        </is>
      </c>
      <c r="L9" s="10" t="inlineStr">
        <is>
          <t>〒460-0008 愛知県名古屋市中区栄４丁目１−１</t>
        </is>
      </c>
      <c r="M9" s="10" t="inlineStr">
        <is>
          <t>開発生産性</t>
        </is>
      </c>
      <c r="N9" s="10" t="inlineStr">
        <is>
          <t>AIエージェント</t>
        </is>
      </c>
      <c r="O9" s="12" t="inlineStr">
        <is>
          <t>○</t>
        </is>
      </c>
      <c r="P9" s="13" t="n">
        <v>3</v>
      </c>
      <c r="Q9" s="12" t="inlineStr">
        <is>
          <t>参加者数</t>
        </is>
      </c>
      <c r="R9" s="14" t="n">
        <v>55</v>
      </c>
      <c r="S9" s="10" t="n"/>
      <c r="T9" s="10" t="n"/>
      <c r="U9" s="15" t="inlineStr">
        <is>
          <t>https://aiau.connpass.com/event/396073/</t>
        </is>
      </c>
      <c r="V9" s="10" t="n"/>
      <c r="W9" s="10" t="inlineStr">
        <is>
          <t>タイトル一致</t>
        </is>
      </c>
      <c r="X9" s="10" t="n"/>
    </row>
    <row r="10">
      <c r="A10" s="10" t="n">
        <v>9</v>
      </c>
      <c r="B10" s="11" t="n">
        <v>46206</v>
      </c>
      <c r="C10" s="11" t="n">
        <v>46206</v>
      </c>
      <c r="D10" s="10">
        <f>MONTH(B10)&amp;"月"</f>
        <v/>
      </c>
      <c r="E10" s="12" t="n">
        <v>1</v>
      </c>
      <c r="F10" s="10" t="n"/>
      <c r="G10" s="10" t="inlineStr">
        <is>
          <t>W&amp;B公式ハンズオン「AI Engineering Dojo」―AIエージェントの評価・改善に挑戦！</t>
        </is>
      </c>
      <c r="H10" s="10" t="inlineStr">
        <is>
          <t>ジェネラティブエージェンツ / Generative Agents</t>
        </is>
      </c>
      <c r="I10" s="10" t="n"/>
      <c r="J10" s="10" t="inlineStr">
        <is>
          <t>connpass</t>
        </is>
      </c>
      <c r="K10" s="10" t="inlineStr">
        <is>
          <t>オンライン</t>
        </is>
      </c>
      <c r="L10" s="10" t="inlineStr">
        <is>
          <t>オンライン</t>
        </is>
      </c>
      <c r="M10" s="10" t="inlineStr">
        <is>
          <t>技術・AI全般</t>
        </is>
      </c>
      <c r="N10" s="10" t="inlineStr">
        <is>
          <t>AIエージェント</t>
        </is>
      </c>
      <c r="O10" s="12" t="inlineStr">
        <is>
          <t>○</t>
        </is>
      </c>
      <c r="P10" s="13" t="n">
        <v>79</v>
      </c>
      <c r="Q10" s="12" t="inlineStr">
        <is>
          <t>参加者数</t>
        </is>
      </c>
      <c r="R10" s="14" t="n">
        <v>200</v>
      </c>
      <c r="S10" s="10" t="n"/>
      <c r="T10" s="10" t="n"/>
      <c r="U10" s="15" t="inlineStr">
        <is>
          <t>https://generative-agents.connpass.com/event/397776/</t>
        </is>
      </c>
      <c r="V10" s="10" t="n"/>
      <c r="W10" s="10" t="inlineStr">
        <is>
          <t>タイトル一致</t>
        </is>
      </c>
      <c r="X10" s="10" t="n"/>
    </row>
    <row r="11">
      <c r="A11" s="10" t="n">
        <v>10</v>
      </c>
      <c r="B11" s="11" t="n">
        <v>46206</v>
      </c>
      <c r="C11" s="11" t="n">
        <v>46206</v>
      </c>
      <c r="D11" s="10">
        <f>MONTH(B11)&amp;"月"</f>
        <v/>
      </c>
      <c r="E11" s="12" t="n">
        <v>1</v>
      </c>
      <c r="F11" s="10" t="n"/>
      <c r="G11" s="10" t="inlineStr">
        <is>
          <t>【CeeBeeDee】Claude Code使いこなせてる？　挫折しないための使いこなし術／たにぐち まこと</t>
        </is>
      </c>
      <c r="H11" s="10" t="inlineStr">
        <is>
          <t>CeeBeeDee</t>
        </is>
      </c>
      <c r="I11" s="10" t="n"/>
      <c r="J11" s="10" t="inlineStr">
        <is>
          <t>Doorkeeper</t>
        </is>
      </c>
      <c r="K11" s="10" t="inlineStr">
        <is>
          <t>不明</t>
        </is>
      </c>
      <c r="L11" s="10" t="n"/>
      <c r="M11" s="10" t="inlineStr">
        <is>
          <t>開発生産性</t>
        </is>
      </c>
      <c r="N11" s="10" t="inlineStr">
        <is>
          <t>AIエージェント</t>
        </is>
      </c>
      <c r="O11" s="12" t="inlineStr">
        <is>
          <t>○</t>
        </is>
      </c>
      <c r="P11" s="13" t="n">
        <v>608</v>
      </c>
      <c r="Q11" s="12" t="inlineStr">
        <is>
          <t>参加者数</t>
        </is>
      </c>
      <c r="R11" s="14" t="n"/>
      <c r="S11" s="10" t="n"/>
      <c r="T11" s="10" t="inlineStr">
        <is>
          <t xml:space="preserve"> 本イベントは終了しています。「アーカイブ動画を見たい方」「スライドをダウンロードしたい方」はSTORESからお求めください。 個人向け（3,300円） ※領収書なし 個人・フリーランス（5,500円） 法人向け（11,000円） 本日現在（7月3日[金]）、194本のアーカイブが見放題になる定額制（サブスク）も用意しています。 3ヶ月ごと：35ドル 12ヶ月ごと：130ドル 動画だけでなく、スライドや補足なども含まれます。 生成AIコ</t>
        </is>
      </c>
      <c r="U11" s="15" t="inlineStr">
        <is>
          <t>https://cssnite.doorkeeper.jp/events/197947</t>
        </is>
      </c>
      <c r="V11" s="10" t="n"/>
      <c r="W11" s="10" t="inlineStr">
        <is>
          <t>タイトル一致</t>
        </is>
      </c>
      <c r="X11" s="10" t="n"/>
    </row>
    <row r="12">
      <c r="A12" s="10" t="n">
        <v>11</v>
      </c>
      <c r="B12" s="11" t="n">
        <v>46206</v>
      </c>
      <c r="C12" s="11" t="n">
        <v>46206</v>
      </c>
      <c r="D12" s="10">
        <f>MONTH(B12)&amp;"月"</f>
        <v/>
      </c>
      <c r="E12" s="12" t="n">
        <v>1</v>
      </c>
      <c r="F12" s="10" t="n"/>
      <c r="G12" s="10" t="inlineStr">
        <is>
          <t>デジタル活用実践セミナー第3弾“超実践型”職場で活かせる「生成AIセミナー」応用編</t>
        </is>
      </c>
      <c r="H12" s="10" t="inlineStr">
        <is>
          <t>魚津観光まちづくり株式会社</t>
        </is>
      </c>
      <c r="I12" s="10" t="n"/>
      <c r="J12" s="10" t="inlineStr">
        <is>
          <t>こくちーずプロ</t>
        </is>
      </c>
      <c r="K12" s="10" t="inlineStr">
        <is>
          <t>オフライン（会場）</t>
        </is>
      </c>
      <c r="L12" s="10" t="inlineStr">
        <is>
          <t>魚津商工会議所5階研修室 富山県魚津市釈迦堂1丁目12-18</t>
        </is>
      </c>
      <c r="M12" s="10" t="inlineStr">
        <is>
          <t>生産性向上・業務効率化</t>
        </is>
      </c>
      <c r="N12" s="10" t="inlineStr">
        <is>
          <t>AIエージェント</t>
        </is>
      </c>
      <c r="O12" s="12" t="inlineStr">
        <is>
          <t>○</t>
        </is>
      </c>
      <c r="P12" s="13" t="n">
        <v>0</v>
      </c>
      <c r="Q12" s="12" t="inlineStr">
        <is>
          <t>イベント参加 0/40</t>
        </is>
      </c>
      <c r="R12" s="14" t="n">
        <v>40</v>
      </c>
      <c r="S12" s="10" t="n"/>
      <c r="T12" s="10" t="inlineStr">
        <is>
          <t>【プログラム】 ・AIO（AI最適化）対策への心構えと備え ・AIエージェントの業務活用と社内データ整備 ・事業者向けワンランク上のセキュリティ対策 ＋α：今後のAIトレンドについて 申し込みは以下から https://x.gd/mnuIs https://uozu-machi.com/news/4166/ 【無料個別相談会実施】 公益財団法人富山県新世紀産業機構のご協力により、富山県よろず支援拠点による無料個別相談会も実施します。講演</t>
        </is>
      </c>
      <c r="U12" s="15" t="inlineStr">
        <is>
          <t>https://www.kokuchpro.com/event/a5d256165da52d3d1c762f606d771a51/</t>
        </is>
      </c>
      <c r="V12" s="10" t="n"/>
      <c r="W12" s="10" t="inlineStr">
        <is>
          <t>本文一致</t>
        </is>
      </c>
      <c r="X12" s="10" t="n"/>
    </row>
    <row r="13">
      <c r="A13" s="10" t="n">
        <v>12</v>
      </c>
      <c r="B13" s="11" t="n">
        <v>46207</v>
      </c>
      <c r="C13" s="11" t="n">
        <v>46285</v>
      </c>
      <c r="D13" s="10">
        <f>MONTH(B13)&amp;"月"</f>
        <v/>
      </c>
      <c r="E13" s="12" t="n">
        <v>5</v>
      </c>
      <c r="F13" s="10" t="inlineStr">
        <is>
          <t>07/04、08/01、08/15、09/05、09/20</t>
        </is>
      </c>
      <c r="G13" s="10" t="inlineStr">
        <is>
          <t>Women Who Go Tokyo読書会 Goで作るセキュリティ分析LLMエージェント #11</t>
        </is>
      </c>
      <c r="H13" s="10" t="inlineStr">
        <is>
          <t>Women Who Go Tokyo</t>
        </is>
      </c>
      <c r="I13" s="10" t="n"/>
      <c r="J13" s="10" t="inlineStr">
        <is>
          <t>connpass</t>
        </is>
      </c>
      <c r="K13" s="10" t="inlineStr">
        <is>
          <t>オンライン</t>
        </is>
      </c>
      <c r="L13" s="10" t="inlineStr">
        <is>
          <t>オンライン</t>
        </is>
      </c>
      <c r="M13" s="10" t="inlineStr">
        <is>
          <t>技術・AI全般</t>
        </is>
      </c>
      <c r="N13" s="10" t="inlineStr">
        <is>
          <t>AIエージェント</t>
        </is>
      </c>
      <c r="O13" s="12" t="inlineStr">
        <is>
          <t>○</t>
        </is>
      </c>
      <c r="P13" s="13" t="n">
        <v>24</v>
      </c>
      <c r="Q13" s="12" t="inlineStr">
        <is>
          <t>参加者数</t>
        </is>
      </c>
      <c r="R13" s="14" t="n">
        <v>50</v>
      </c>
      <c r="S13" s="10" t="inlineStr">
        <is>
          <t>全5回の合計</t>
        </is>
      </c>
      <c r="T13" s="10" t="n"/>
      <c r="U13" s="15" t="inlineStr">
        <is>
          <t>https://womenwhogo-tokyo.connpass.com/event/398081/</t>
        </is>
      </c>
      <c r="V13" s="10" t="n"/>
      <c r="W13" s="10" t="inlineStr">
        <is>
          <t>タイトル一致</t>
        </is>
      </c>
      <c r="X13" s="10" t="n"/>
    </row>
    <row r="14">
      <c r="A14" s="10" t="n">
        <v>13</v>
      </c>
      <c r="B14" s="11" t="n">
        <v>46207</v>
      </c>
      <c r="C14" s="11" t="n">
        <v>46242</v>
      </c>
      <c r="D14" s="10">
        <f>MONTH(B14)&amp;"月"</f>
        <v/>
      </c>
      <c r="E14" s="12" t="n">
        <v>5</v>
      </c>
      <c r="F14" s="10" t="inlineStr">
        <is>
          <t>07/04、07/18、07/25、08/01、08/08</t>
        </is>
      </c>
      <c r="G14" s="10" t="inlineStr">
        <is>
          <t>【初心者歓迎・無料】ゼロから始めるClaude Code講座</t>
        </is>
      </c>
      <c r="H14" s="10" t="inlineStr">
        <is>
          <t>みんなのグラさんと愉快な仲間たち</t>
        </is>
      </c>
      <c r="I14" s="10" t="n"/>
      <c r="J14" s="10" t="inlineStr">
        <is>
          <t>connpass</t>
        </is>
      </c>
      <c r="K14" s="10" t="inlineStr">
        <is>
          <t>会場</t>
        </is>
      </c>
      <c r="L14" s="10" t="inlineStr">
        <is>
          <t>千代田区平河町2-7-2 VORT永田町6F</t>
        </is>
      </c>
      <c r="M14" s="10" t="inlineStr">
        <is>
          <t>開発生産性</t>
        </is>
      </c>
      <c r="N14" s="10" t="inlineStr">
        <is>
          <t>AIエージェント</t>
        </is>
      </c>
      <c r="O14" s="12" t="inlineStr">
        <is>
          <t>○</t>
        </is>
      </c>
      <c r="P14" s="13" t="n">
        <v>8</v>
      </c>
      <c r="Q14" s="12" t="inlineStr">
        <is>
          <t>参加者数</t>
        </is>
      </c>
      <c r="R14" s="14" t="n"/>
      <c r="S14" s="10" t="inlineStr">
        <is>
          <t>全5回の合計</t>
        </is>
      </c>
      <c r="T14" s="10" t="n"/>
      <c r="U14" s="15" t="inlineStr">
        <is>
          <t>https://glass-sun.connpass.com/event/397320/</t>
        </is>
      </c>
      <c r="V14" s="10" t="n"/>
      <c r="W14" s="10" t="inlineStr">
        <is>
          <t>タイトル一致</t>
        </is>
      </c>
      <c r="X14" s="10" t="n"/>
    </row>
    <row r="15">
      <c r="A15" s="10" t="n">
        <v>14</v>
      </c>
      <c r="B15" s="11" t="n">
        <v>46207</v>
      </c>
      <c r="C15" s="11" t="n">
        <v>46207</v>
      </c>
      <c r="D15" s="10">
        <f>MONTH(B15)&amp;"月"</f>
        <v/>
      </c>
      <c r="E15" s="12" t="n">
        <v>1</v>
      </c>
      <c r="F15" s="10" t="n"/>
      <c r="G15" s="10" t="inlineStr">
        <is>
          <t>【参加無料】Riding プログラミング講習会のお知らせ【7月4日(土)開催】</t>
        </is>
      </c>
      <c r="H15" s="10" t="inlineStr">
        <is>
          <t>株式会社Riding</t>
        </is>
      </c>
      <c r="I15" s="10" t="n"/>
      <c r="J15" s="10" t="inlineStr">
        <is>
          <t>こくちーずプロ</t>
        </is>
      </c>
      <c r="K15" s="10" t="inlineStr">
        <is>
          <t>オフライン（会場）</t>
        </is>
      </c>
      <c r="L15" s="10" t="inlineStr">
        <is>
          <t>株式会社Riding 東京都東京都品川区西五反田8-2-8 五反田佑気ビル 9F</t>
        </is>
      </c>
      <c r="M15" s="10" t="inlineStr">
        <is>
          <t>開発生産性</t>
        </is>
      </c>
      <c r="N15" s="10" t="inlineStr">
        <is>
          <t>AIエージェント</t>
        </is>
      </c>
      <c r="O15" s="12" t="inlineStr">
        <is>
          <t>△</t>
        </is>
      </c>
      <c r="P15" s="13" t="n">
        <v>0</v>
      </c>
      <c r="Q15" s="12" t="inlineStr">
        <is>
          <t>イベント参加 0/10</t>
        </is>
      </c>
      <c r="R15" s="14" t="n">
        <v>10</v>
      </c>
      <c r="S15" s="10" t="n"/>
      <c r="T15" s="10" t="inlineStr">
        <is>
          <t>---- 【参加無料】Riding プログラミング講習会のお知らせ【7月4日(土)開催】 こんにちは！ 第6回Riding主催のプログラミング講習会を下記のとおり開催することとなりました。 第6回目のテーマは ①「Riding研修の卒業制作発表」 ②「ゲスト LiNKCREW 山口さんによる講義」 ③「Claude Codeで始めるループエンジニアリング」 の3本立てです！ 初心者の方ももちろん大歓迎です！ プログラミングを学びながら、</t>
        </is>
      </c>
      <c r="U15" s="15" t="inlineStr">
        <is>
          <t>https://www.kokuchpro.com/event/bb34ad45cb8a954b11e51e243e031fe6/</t>
        </is>
      </c>
      <c r="V15" s="10" t="n"/>
      <c r="W15" s="10" t="inlineStr">
        <is>
          <t>本文一致</t>
        </is>
      </c>
      <c r="X15" s="10" t="n"/>
    </row>
    <row r="16">
      <c r="A16" s="10" t="n">
        <v>15</v>
      </c>
      <c r="B16" s="11" t="n">
        <v>46207</v>
      </c>
      <c r="C16" s="11" t="n">
        <v>46207</v>
      </c>
      <c r="D16" s="10">
        <f>MONTH(B16)&amp;"月"</f>
        <v/>
      </c>
      <c r="E16" s="12" t="n">
        <v>1</v>
      </c>
      <c r="F16" s="10" t="n"/>
      <c r="G16" s="10" t="inlineStr">
        <is>
          <t>ゼロからはじめるClaude Code入門講座(対面・無料)</t>
        </is>
      </c>
      <c r="H16" s="10" t="inlineStr">
        <is>
          <t>テックジム事務局</t>
        </is>
      </c>
      <c r="I16" s="10" t="n"/>
      <c r="J16" s="10" t="inlineStr">
        <is>
          <t>こくちーずプロ</t>
        </is>
      </c>
      <c r="K16" s="10" t="inlineStr">
        <is>
          <t>オフライン（会場）</t>
        </is>
      </c>
      <c r="L16" s="10" t="inlineStr">
        <is>
          <t>テックジム東京本校 東京都千代田区平河町2-7-2 VORT永田町6F</t>
        </is>
      </c>
      <c r="M16" s="10" t="inlineStr">
        <is>
          <t>開発生産性</t>
        </is>
      </c>
      <c r="N16" s="10" t="inlineStr">
        <is>
          <t>AIエージェント</t>
        </is>
      </c>
      <c r="O16" s="12" t="inlineStr">
        <is>
          <t>○</t>
        </is>
      </c>
      <c r="P16" s="13" t="n">
        <v>1</v>
      </c>
      <c r="Q16" s="12" t="inlineStr">
        <is>
          <t>イベント参加 1/3</t>
        </is>
      </c>
      <c r="R16" s="14" t="n">
        <v>3</v>
      </c>
      <c r="S16" s="10" t="n"/>
      <c r="T16" s="10" t="inlineStr">
        <is>
          <t>ゼロからはじめるClaude Code講座（対面・無料） 【会場での開催となります】 オンラインでは出来ない細やかなサポートが、リアル開催ならでは！ 初学者から年齢、性別に限らず興味がある方に受講頂いている当講座。 どなたでもお気軽にご参加ください。講座後はテックジム会員様と混ざって頂き自習室を自由にご利用ください。 入退室は自由となっております。※ノートPC持参でお願いします。 あなたの作りたいものを作る 本講座では 「その日のうちに</t>
        </is>
      </c>
      <c r="U16" s="15" t="inlineStr">
        <is>
          <t>https://www.kokuchpro.com/event/8d639521d6dab7ff6a25a9a1fff3340e/3819131/</t>
        </is>
      </c>
      <c r="V16" s="10" t="n"/>
      <c r="W16" s="10" t="inlineStr">
        <is>
          <t>タイトル一致</t>
        </is>
      </c>
      <c r="X16" s="10" t="n"/>
    </row>
    <row r="17">
      <c r="A17" s="10" t="n">
        <v>16</v>
      </c>
      <c r="B17" s="11" t="n">
        <v>46207</v>
      </c>
      <c r="C17" s="11" t="n">
        <v>46242</v>
      </c>
      <c r="D17" s="10">
        <f>MONTH(B17)&amp;"月"</f>
        <v/>
      </c>
      <c r="E17" s="12" t="n">
        <v>5</v>
      </c>
      <c r="F17" s="10" t="inlineStr">
        <is>
          <t>07/04、07/18、07/25、08/01、08/08</t>
        </is>
      </c>
      <c r="G17" s="10" t="inlineStr">
        <is>
          <t>ゼロから始めるClaude Code講座</t>
        </is>
      </c>
      <c r="H17" s="10" t="inlineStr">
        <is>
          <t>techgym</t>
        </is>
      </c>
      <c r="I17" s="10" t="n"/>
      <c r="J17" s="10" t="inlineStr">
        <is>
          <t>Doorkeeper</t>
        </is>
      </c>
      <c r="K17" s="10" t="inlineStr">
        <is>
          <t>会場</t>
        </is>
      </c>
      <c r="L17" s="10" t="inlineStr">
        <is>
          <t>テックジム東京本校 東京都千代田区平河町2-7-2 VORT永田町6F</t>
        </is>
      </c>
      <c r="M17" s="10" t="inlineStr">
        <is>
          <t>開発生産性</t>
        </is>
      </c>
      <c r="N17" s="10" t="inlineStr">
        <is>
          <t>AIエージェント</t>
        </is>
      </c>
      <c r="O17" s="12" t="inlineStr">
        <is>
          <t>○</t>
        </is>
      </c>
      <c r="P17" s="13" t="n">
        <v>2</v>
      </c>
      <c r="Q17" s="12" t="inlineStr">
        <is>
          <t>参加者数</t>
        </is>
      </c>
      <c r="R17" s="14" t="n">
        <v>25</v>
      </c>
      <c r="S17" s="10" t="inlineStr">
        <is>
          <t>全5回の合計</t>
        </is>
      </c>
      <c r="T17" s="10" t="inlineStr">
        <is>
          <t xml:space="preserve"> 【初心者歓迎・無料】ゼロから始めるClaude Code講座 〜ターミナルから始めるAIコーディング革命〜 プログラミング経験ゼロでもOK！当日その場でClaude Codeを動かしてみよう 🔥 なぜ今、Claude Codeが注目されているのか？ AIを使ったコーディング支援ツールは以前からありましたが、Claude Codeは一線を画しています。単にコードを補完するのではなく、 「自分でToDoリストを作り、自律的にタスクを遂行す</t>
        </is>
      </c>
      <c r="U17" s="15" t="inlineStr">
        <is>
          <t>https://techgym.doorkeeper.jp/events/197723</t>
        </is>
      </c>
      <c r="V17" s="10" t="n"/>
      <c r="W17" s="10" t="inlineStr">
        <is>
          <t>タイトル一致</t>
        </is>
      </c>
      <c r="X17" s="10" t="n"/>
    </row>
    <row r="18">
      <c r="A18" s="10" t="n">
        <v>17</v>
      </c>
      <c r="B18" s="11" t="n">
        <v>46208</v>
      </c>
      <c r="C18" s="11" t="n">
        <v>46208</v>
      </c>
      <c r="D18" s="10">
        <f>MONTH(B18)&amp;"月"</f>
        <v/>
      </c>
      <c r="E18" s="12" t="n">
        <v>1</v>
      </c>
      <c r="F18" s="10" t="n"/>
      <c r="G18" s="10" t="inlineStr">
        <is>
          <t>Microsoft Agent 365 の成長を見守る会</t>
        </is>
      </c>
      <c r="H18" s="10" t="inlineStr">
        <is>
          <t>Microsoft Agent 365 Japan</t>
        </is>
      </c>
      <c r="I18" s="10" t="n"/>
      <c r="J18" s="10" t="inlineStr">
        <is>
          <t>connpass</t>
        </is>
      </c>
      <c r="K18" s="10" t="inlineStr">
        <is>
          <t>オンライン</t>
        </is>
      </c>
      <c r="L18" s="10" t="inlineStr">
        <is>
          <t>オンライン</t>
        </is>
      </c>
      <c r="M18" s="10" t="inlineStr">
        <is>
          <t>技術・AI全般</t>
        </is>
      </c>
      <c r="N18" s="10" t="inlineStr">
        <is>
          <t>AIエージェント</t>
        </is>
      </c>
      <c r="O18" s="12" t="inlineStr">
        <is>
          <t>○</t>
        </is>
      </c>
      <c r="P18" s="13" t="n">
        <v>53</v>
      </c>
      <c r="Q18" s="12" t="inlineStr">
        <is>
          <t>参加者数</t>
        </is>
      </c>
      <c r="R18" s="14" t="n"/>
      <c r="S18" s="10" t="n"/>
      <c r="T18" s="10" t="n"/>
      <c r="U18" s="15" t="inlineStr">
        <is>
          <t>https://agent365jp.connpass.com/event/396638/</t>
        </is>
      </c>
      <c r="V18" s="10" t="n"/>
      <c r="W18" s="10" t="inlineStr">
        <is>
          <t>タイトル一致</t>
        </is>
      </c>
      <c r="X18" s="10" t="n"/>
    </row>
    <row r="19">
      <c r="A19" s="10" t="n">
        <v>18</v>
      </c>
      <c r="B19" s="11" t="n">
        <v>46208</v>
      </c>
      <c r="C19" s="11" t="n">
        <v>46250</v>
      </c>
      <c r="D19" s="10">
        <f>MONTH(B19)&amp;"月"</f>
        <v/>
      </c>
      <c r="E19" s="12" t="n">
        <v>3</v>
      </c>
      <c r="F19" s="10" t="inlineStr">
        <is>
          <t>07/05、08/02、08/16</t>
        </is>
      </c>
      <c r="G19" s="10" t="inlineStr">
        <is>
          <t>[秋葉原] Amazon Bedrock AgentCore 実践入門 輪読&amp;勉強会 #初回</t>
        </is>
      </c>
      <c r="H19" s="10" t="inlineStr">
        <is>
          <t>weeyble</t>
        </is>
      </c>
      <c r="I19" s="10" t="n"/>
      <c r="J19" s="10" t="inlineStr">
        <is>
          <t>Doorkeeper</t>
        </is>
      </c>
      <c r="K19" s="10" t="inlineStr">
        <is>
          <t>会場</t>
        </is>
      </c>
      <c r="L19" s="10" t="inlineStr">
        <is>
          <t>コワーキングスペース秋葉原 Weeyble 東京都千代田区神田佐久間町3-37-1 (山茂登ビル3階)</t>
        </is>
      </c>
      <c r="M19" s="10" t="inlineStr">
        <is>
          <t>開発生産性</t>
        </is>
      </c>
      <c r="N19" s="10" t="inlineStr">
        <is>
          <t>AIエージェント</t>
        </is>
      </c>
      <c r="O19" s="12" t="inlineStr">
        <is>
          <t>○</t>
        </is>
      </c>
      <c r="P19" s="13" t="n">
        <v>0</v>
      </c>
      <c r="Q19" s="12" t="inlineStr">
        <is>
          <t>参加者数</t>
        </is>
      </c>
      <c r="R19" s="14" t="n">
        <v>24</v>
      </c>
      <c r="S19" s="10" t="inlineStr">
        <is>
          <t>全3回の合計</t>
        </is>
      </c>
      <c r="T19" s="10" t="inlineStr">
        <is>
          <t xml:space="preserve"> この会について 詳細につきましては下記のリンクをご確認ください。 https://weeyble-data.connpass.com/event/398804/ 「Amazon Bedrockという名前は聞いたことがあるけれど、何ができるのかわからない」 「AIエージェントの概念を体系的に学びたい」 「これからエージェント開発を始めたい」 「本は買ったけれど、積読になっているのでこの機会に読み進めたい」 という初心者の方から実務経験者</t>
        </is>
      </c>
      <c r="U19" s="15" t="inlineStr">
        <is>
          <t>https://weeyble.doorkeeper.jp/events/198110</t>
        </is>
      </c>
      <c r="V19" s="10" t="n"/>
      <c r="W19" s="10" t="inlineStr">
        <is>
          <t>タイトル一致</t>
        </is>
      </c>
      <c r="X19" s="10" t="n"/>
    </row>
    <row r="20">
      <c r="A20" s="10" t="n">
        <v>19</v>
      </c>
      <c r="B20" s="11" t="n">
        <v>46208</v>
      </c>
      <c r="C20" s="11" t="n">
        <v>46250</v>
      </c>
      <c r="D20" s="10">
        <f>MONTH(B20)&amp;"月"</f>
        <v/>
      </c>
      <c r="E20" s="12" t="n">
        <v>4</v>
      </c>
      <c r="F20" s="10" t="inlineStr">
        <is>
          <t>07/05、07/19、08/02、08/16</t>
        </is>
      </c>
      <c r="G20" s="10" t="inlineStr">
        <is>
          <t>[秋葉原] Amazon Bedrock AgentCore 実践入門 輪読&amp;勉強会 4章ハンズオン</t>
        </is>
      </c>
      <c r="H20" s="10" t="inlineStr">
        <is>
          <t>Weeyble データサイエンス</t>
        </is>
      </c>
      <c r="I20" s="10" t="n"/>
      <c r="J20" s="10" t="inlineStr">
        <is>
          <t>connpass</t>
        </is>
      </c>
      <c r="K20" s="10" t="inlineStr">
        <is>
          <t>会場</t>
        </is>
      </c>
      <c r="L20" s="10" t="inlineStr">
        <is>
          <t>東京都千代田区神田佐久間町3丁目37-1 山茂登ビル3F Weeyble</t>
        </is>
      </c>
      <c r="M20" s="10" t="inlineStr">
        <is>
          <t>技術・AI全般</t>
        </is>
      </c>
      <c r="N20" s="10" t="inlineStr">
        <is>
          <t>AIエージェント</t>
        </is>
      </c>
      <c r="O20" s="12" t="inlineStr">
        <is>
          <t>○</t>
        </is>
      </c>
      <c r="P20" s="13" t="n">
        <v>32</v>
      </c>
      <c r="Q20" s="12" t="inlineStr">
        <is>
          <t>参加者数</t>
        </is>
      </c>
      <c r="R20" s="14" t="n">
        <v>38</v>
      </c>
      <c r="S20" s="10" t="inlineStr">
        <is>
          <t>全4回の合計</t>
        </is>
      </c>
      <c r="T20" s="10" t="n"/>
      <c r="U20" s="15" t="inlineStr">
        <is>
          <t>https://weeyble-data.connpass.com/event/398804/</t>
        </is>
      </c>
      <c r="V20" s="10" t="n"/>
      <c r="W20" s="10" t="inlineStr">
        <is>
          <t>タイトル一致</t>
        </is>
      </c>
      <c r="X20" s="10" t="n"/>
    </row>
    <row r="21">
      <c r="A21" s="10" t="n">
        <v>20</v>
      </c>
      <c r="B21" s="11" t="n">
        <v>46208</v>
      </c>
      <c r="C21" s="11" t="n">
        <v>46292</v>
      </c>
      <c r="D21" s="10">
        <f>MONTH(B21)&amp;"月"</f>
        <v/>
      </c>
      <c r="E21" s="12" t="n">
        <v>8</v>
      </c>
      <c r="F21" s="10" t="inlineStr">
        <is>
          <t>07/05、07/12、07/26、08/02、08/23、09/06、09/13、09/27</t>
        </is>
      </c>
      <c r="G21" s="10" t="inlineStr">
        <is>
          <t>「実践Claude Code入門」読書会 #4</t>
        </is>
      </c>
      <c r="H21" s="10" t="inlineStr">
        <is>
          <t>IT系勉強会</t>
        </is>
      </c>
      <c r="I21" s="10" t="n"/>
      <c r="J21" s="10" t="inlineStr">
        <is>
          <t>connpass</t>
        </is>
      </c>
      <c r="K21" s="10" t="inlineStr">
        <is>
          <t>オンライン</t>
        </is>
      </c>
      <c r="L21" s="10" t="inlineStr">
        <is>
          <t>オンライン</t>
        </is>
      </c>
      <c r="M21" s="10" t="inlineStr">
        <is>
          <t>開発生産性</t>
        </is>
      </c>
      <c r="N21" s="10" t="inlineStr">
        <is>
          <t>AIエージェント</t>
        </is>
      </c>
      <c r="O21" s="12" t="inlineStr">
        <is>
          <t>○</t>
        </is>
      </c>
      <c r="P21" s="13" t="n">
        <v>32</v>
      </c>
      <c r="Q21" s="12" t="inlineStr">
        <is>
          <t>参加者数</t>
        </is>
      </c>
      <c r="R21" s="14" t="n"/>
      <c r="S21" s="10" t="inlineStr">
        <is>
          <t>全8回の合計</t>
        </is>
      </c>
      <c r="T21" s="10" t="n"/>
      <c r="U21" s="15" t="inlineStr">
        <is>
          <t>https://study-group.connpass.com/event/398087/</t>
        </is>
      </c>
      <c r="V21" s="10" t="n"/>
      <c r="W21" s="10" t="inlineStr">
        <is>
          <t>タイトル一致</t>
        </is>
      </c>
      <c r="X21" s="10" t="n"/>
    </row>
    <row r="22">
      <c r="A22" s="10" t="n">
        <v>21</v>
      </c>
      <c r="B22" s="11" t="n">
        <v>46208</v>
      </c>
      <c r="C22" s="11" t="n">
        <v>46208</v>
      </c>
      <c r="D22" s="10">
        <f>MONTH(B22)&amp;"月"</f>
        <v/>
      </c>
      <c r="E22" s="12" t="n">
        <v>1</v>
      </c>
      <c r="F22" s="10" t="n"/>
      <c r="G22" s="10" t="inlineStr">
        <is>
          <t>【増枠】小杉湯の隣 Hermes Agent を触る会</t>
        </is>
      </c>
      <c r="H22" s="10" t="inlineStr">
        <is>
          <t>DevAI</t>
        </is>
      </c>
      <c r="I22" s="10" t="n"/>
      <c r="J22" s="10" t="inlineStr">
        <is>
          <t>connpass</t>
        </is>
      </c>
      <c r="K22" s="10" t="inlineStr">
        <is>
          <t>会場</t>
        </is>
      </c>
      <c r="L22" s="10" t="inlineStr">
        <is>
          <t>杉並区高円寺北３丁目３２−１７</t>
        </is>
      </c>
      <c r="M22" s="10" t="inlineStr">
        <is>
          <t>生産管理・製造・SCM</t>
        </is>
      </c>
      <c r="N22" s="10" t="inlineStr">
        <is>
          <t>AIエージェント</t>
        </is>
      </c>
      <c r="O22" s="12" t="inlineStr">
        <is>
          <t>◎</t>
        </is>
      </c>
      <c r="P22" s="13" t="n">
        <v>5</v>
      </c>
      <c r="Q22" s="12" t="inlineStr">
        <is>
          <t>参加者数</t>
        </is>
      </c>
      <c r="R22" s="14" t="n">
        <v>8</v>
      </c>
      <c r="S22" s="10" t="n"/>
      <c r="T22" s="10" t="n"/>
      <c r="U22" s="15" t="inlineStr">
        <is>
          <t>https://ai-developer-monetization-lab.connpass.com/event/397293/</t>
        </is>
      </c>
      <c r="V22" s="10" t="n"/>
      <c r="W22" s="10" t="inlineStr">
        <is>
          <t>タイトル一致</t>
        </is>
      </c>
      <c r="X22" s="10" t="n"/>
    </row>
    <row r="23">
      <c r="A23" s="10" t="n">
        <v>22</v>
      </c>
      <c r="B23" s="11" t="n">
        <v>46208</v>
      </c>
      <c r="C23" s="11" t="n">
        <v>46208</v>
      </c>
      <c r="D23" s="10">
        <f>MONTH(B23)&amp;"月"</f>
        <v/>
      </c>
      <c r="E23" s="12" t="n">
        <v>1</v>
      </c>
      <c r="F23" s="10" t="n"/>
      <c r="G23" s="10" t="inlineStr">
        <is>
          <t>安全に使うClaude Code</t>
        </is>
      </c>
      <c r="H23" s="10" t="inlineStr">
        <is>
          <t>デジタルレイバーズ</t>
        </is>
      </c>
      <c r="I23" s="10" t="n"/>
      <c r="J23" s="10" t="inlineStr">
        <is>
          <t>connpass</t>
        </is>
      </c>
      <c r="K23" s="10" t="inlineStr">
        <is>
          <t>オンライン</t>
        </is>
      </c>
      <c r="L23" s="10" t="inlineStr">
        <is>
          <t>オンライン</t>
        </is>
      </c>
      <c r="M23" s="10" t="inlineStr">
        <is>
          <t>開発生産性</t>
        </is>
      </c>
      <c r="N23" s="10" t="inlineStr">
        <is>
          <t>AIエージェント</t>
        </is>
      </c>
      <c r="O23" s="12" t="inlineStr">
        <is>
          <t>○</t>
        </is>
      </c>
      <c r="P23" s="13" t="n">
        <v>22</v>
      </c>
      <c r="Q23" s="12" t="inlineStr">
        <is>
          <t>参加者数</t>
        </is>
      </c>
      <c r="R23" s="14" t="n">
        <v>30</v>
      </c>
      <c r="S23" s="10" t="n"/>
      <c r="T23" s="10" t="n"/>
      <c r="U23" s="15" t="inlineStr">
        <is>
          <t>https://digital-labors.connpass.com/event/397379/</t>
        </is>
      </c>
      <c r="V23" s="10" t="n"/>
      <c r="W23" s="10" t="inlineStr">
        <is>
          <t>タイトル一致</t>
        </is>
      </c>
      <c r="X23" s="10" t="n"/>
    </row>
    <row r="24">
      <c r="A24" s="10" t="n">
        <v>23</v>
      </c>
      <c r="B24" s="11" t="n">
        <v>46208</v>
      </c>
      <c r="C24" s="11" t="n">
        <v>46243</v>
      </c>
      <c r="D24" s="10">
        <f>MONTH(B24)&amp;"月"</f>
        <v/>
      </c>
      <c r="E24" s="12" t="n">
        <v>3</v>
      </c>
      <c r="F24" s="10" t="inlineStr">
        <is>
          <t>07/05、07/31、08/09</t>
        </is>
      </c>
      <c r="G24" s="10" t="inlineStr">
        <is>
          <t>第9回Roblox×AIで、自分だけの ゲームを作ろう！</t>
        </is>
      </c>
      <c r="H24" s="10" t="inlineStr">
        <is>
          <t>gameschool</t>
        </is>
      </c>
      <c r="I24" s="10" t="n"/>
      <c r="J24" s="10" t="inlineStr">
        <is>
          <t>Doorkeeper</t>
        </is>
      </c>
      <c r="K24" s="10" t="inlineStr">
        <is>
          <t>会場</t>
        </is>
      </c>
      <c r="L24" s="10" t="inlineStr">
        <is>
          <t>路地裏GarageMarket 〒338-0013 埼玉県さいたま市中央区鈴谷７丁目７−３</t>
        </is>
      </c>
      <c r="M24" s="10" t="inlineStr">
        <is>
          <t>生産管理・製造・SCM</t>
        </is>
      </c>
      <c r="N24" s="10" t="inlineStr">
        <is>
          <t>AIエージェント</t>
        </is>
      </c>
      <c r="O24" s="12" t="inlineStr">
        <is>
          <t>○</t>
        </is>
      </c>
      <c r="P24" s="13" t="n">
        <v>6</v>
      </c>
      <c r="Q24" s="12" t="inlineStr">
        <is>
          <t>参加者数</t>
        </is>
      </c>
      <c r="R24" s="14" t="n">
        <v>27</v>
      </c>
      <c r="S24" s="10" t="inlineStr">
        <is>
          <t>全3回の合計</t>
        </is>
      </c>
      <c r="T24" s="10" t="inlineStr">
        <is>
          <t xml:space="preserve"> Robloxでのゲーム作り 🎮 あなたの想像力が、新しいゲームの世界を創る 「遊ぶだけ」から「作る喜び」へ。 Robloxは世界中で2億人以上のユーザーが楽しむゲームの広場。 好きなゲームで遊ぶのも楽しいけれど、「自分だけのゲームを作る」体験はもっと楽しい！ この特別体験イベントでは、プロのゲームクリエイターがあなたのクリエイティブな一歩を全力でサポートします。 これからの時代は、ただ遊ぶだけでなく「自分で作って届ける力」が大きな武器</t>
        </is>
      </c>
      <c r="U24" s="15" t="inlineStr">
        <is>
          <t>https://gameschool.doorkeeper.jp/events/197905</t>
        </is>
      </c>
      <c r="V24" s="10" t="n"/>
      <c r="W24" s="10" t="inlineStr">
        <is>
          <t>本文一致</t>
        </is>
      </c>
      <c r="X24" s="10" t="n"/>
    </row>
    <row r="25">
      <c r="A25" s="10" t="n">
        <v>24</v>
      </c>
      <c r="B25" s="11" t="n">
        <v>46209</v>
      </c>
      <c r="C25" s="11" t="n">
        <v>46209</v>
      </c>
      <c r="D25" s="10">
        <f>MONTH(B25)&amp;"月"</f>
        <v/>
      </c>
      <c r="E25" s="12" t="n">
        <v>1</v>
      </c>
      <c r="F25" s="10" t="n"/>
      <c r="G25" s="10" t="inlineStr">
        <is>
          <t>AIエージェントの最新動向とこれからのキャリア【Developers Online】</t>
        </is>
      </c>
      <c r="H25" s="10" t="inlineStr">
        <is>
          <t>Developers Summit</t>
        </is>
      </c>
      <c r="I25" s="10" t="n"/>
      <c r="J25" s="10" t="inlineStr">
        <is>
          <t>connpass</t>
        </is>
      </c>
      <c r="K25" s="10" t="inlineStr">
        <is>
          <t>オンライン</t>
        </is>
      </c>
      <c r="L25" s="10" t="inlineStr">
        <is>
          <t>オンライン</t>
        </is>
      </c>
      <c r="M25" s="10" t="inlineStr">
        <is>
          <t>技術・AI全般</t>
        </is>
      </c>
      <c r="N25" s="10" t="inlineStr">
        <is>
          <t>AIエージェント</t>
        </is>
      </c>
      <c r="O25" s="12" t="inlineStr">
        <is>
          <t>○</t>
        </is>
      </c>
      <c r="P25" s="13" t="n">
        <v>140</v>
      </c>
      <c r="Q25" s="12" t="inlineStr">
        <is>
          <t>参加者数</t>
        </is>
      </c>
      <c r="R25" s="14" t="n">
        <v>150</v>
      </c>
      <c r="S25" s="10" t="n"/>
      <c r="T25" s="10" t="n"/>
      <c r="U25" s="15" t="inlineStr">
        <is>
          <t>https://devsumi.connpass.com/event/396236/</t>
        </is>
      </c>
      <c r="V25" s="10" t="n"/>
      <c r="W25" s="10" t="inlineStr">
        <is>
          <t>タイトル一致</t>
        </is>
      </c>
      <c r="X25" s="10" t="n"/>
    </row>
    <row r="26">
      <c r="A26" s="10" t="n">
        <v>25</v>
      </c>
      <c r="B26" s="11" t="n">
        <v>46209</v>
      </c>
      <c r="C26" s="11" t="n">
        <v>46209</v>
      </c>
      <c r="D26" s="10">
        <f>MONTH(B26)&amp;"月"</f>
        <v/>
      </c>
      <c r="E26" s="12" t="n">
        <v>1</v>
      </c>
      <c r="F26" s="10" t="n"/>
      <c r="G26" s="10" t="inlineStr">
        <is>
          <t>AI社員を作るClaude Code入門ウェビナー|経営者向け無料セミナー</t>
        </is>
      </c>
      <c r="H26" s="10" t="inlineStr">
        <is>
          <t>AI社員を作るClaude Code入門ウェビナー|経営者向け無料セミナー事務局</t>
        </is>
      </c>
      <c r="I26" s="10" t="n"/>
      <c r="J26" s="10" t="inlineStr">
        <is>
          <t>こくちーずプロ</t>
        </is>
      </c>
      <c r="K26" s="10" t="inlineStr">
        <is>
          <t>オンライン</t>
        </is>
      </c>
      <c r="L26" s="10" t="inlineStr">
        <is>
          <t>オンライン 日本</t>
        </is>
      </c>
      <c r="M26" s="10" t="inlineStr">
        <is>
          <t>生産性向上・業務効率化</t>
        </is>
      </c>
      <c r="N26" s="10" t="inlineStr">
        <is>
          <t>AIエージェント</t>
        </is>
      </c>
      <c r="O26" s="12" t="inlineStr">
        <is>
          <t>◎</t>
        </is>
      </c>
      <c r="P26" s="13" t="n">
        <v>0</v>
      </c>
      <c r="Q26" s="12" t="inlineStr">
        <is>
          <t>イベント参加 0/30</t>
        </is>
      </c>
      <c r="R26" s="14" t="n">
        <v>30</v>
      </c>
      <c r="S26" s="10" t="n"/>
      <c r="T26" s="10" t="inlineStr">
        <is>
          <t>「Claude Code、最近よく聞くけど…正直、何ができるのかよくわからない」 そんな方のための1時間です。コードは書きません。プログラミングの知識も不要。日本語で頼むだけで何ができるのか——実演でそのまま全部お見せします。 Claude Codeを使えば、コードが書けなくても ・営業／マーケ／経理に「AI社員」を配置して、チームで仕事を回せる ・ホームページやLPを、外注せずに自分で作れる ・業務アプリを、その場で作って使い始められ</t>
        </is>
      </c>
      <c r="U26" s="15" t="inlineStr">
        <is>
          <t>https://www.kokuchpro.com/event/50d9c59588f29fcd31a0c4bba740d584/</t>
        </is>
      </c>
      <c r="V26" s="10" t="n"/>
      <c r="W26" s="10" t="inlineStr">
        <is>
          <t>タイトル一致</t>
        </is>
      </c>
      <c r="X26" s="10" t="n"/>
    </row>
    <row r="27">
      <c r="A27" s="10" t="n">
        <v>26</v>
      </c>
      <c r="B27" s="11" t="n">
        <v>46209</v>
      </c>
      <c r="C27" s="11" t="n">
        <v>46216</v>
      </c>
      <c r="D27" s="10">
        <f>MONTH(B27)&amp;"月"</f>
        <v/>
      </c>
      <c r="E27" s="12" t="n">
        <v>2</v>
      </c>
      <c r="F27" s="10" t="inlineStr">
        <is>
          <t>07/06、07/13</t>
        </is>
      </c>
      <c r="G27" s="10" t="inlineStr">
        <is>
          <t>【梅田・少人数】取り残されないための実践AI活用ワークショップ|ChatGPT以外の生成AIも使い分け</t>
        </is>
      </c>
      <c r="H27" s="10" t="inlineStr">
        <is>
          <t>merit運営事務局</t>
        </is>
      </c>
      <c r="I27" s="10" t="n"/>
      <c r="J27" s="10" t="inlineStr">
        <is>
          <t>こくちーずプロ</t>
        </is>
      </c>
      <c r="K27" s="10" t="inlineStr">
        <is>
          <t>オフライン（会場）</t>
        </is>
      </c>
      <c r="L27" s="10" t="inlineStr">
        <is>
          <t>re:Dine 大阪府大阪市北区大深町6-38 グラングリーン大阪 北館 JAM BASE 1 階</t>
        </is>
      </c>
      <c r="M27" s="10" t="inlineStr">
        <is>
          <t>生産性向上・業務効率化</t>
        </is>
      </c>
      <c r="N27" s="10" t="inlineStr">
        <is>
          <t>AIエージェント</t>
        </is>
      </c>
      <c r="O27" s="12" t="inlineStr">
        <is>
          <t>○</t>
        </is>
      </c>
      <c r="P27" s="13" t="n">
        <v>7</v>
      </c>
      <c r="Q27" s="12" t="inlineStr">
        <is>
          <t>イベント参加 3/6</t>
        </is>
      </c>
      <c r="R27" s="14" t="n">
        <v>12</v>
      </c>
      <c r="S27" s="10" t="inlineStr">
        <is>
          <t>全2回の合計</t>
        </is>
      </c>
      <c r="T27" s="10" t="inlineStr">
        <is>
          <t>※ご参加の方は、 申込完了メール より 「自己紹介シート」 の作成をお願いしております。必ずご確認頂くようお願い致します。 MERIT AI WORKSHOP AI活用ワークショップ ChatGPTだけじゃない、 主要AIの「使い分け」を90分で。 手を動かしながら、明日から使える実践スキルが身につく 「ChatGPTは使ってるけど、他のAIと何が違うの？」 「目的に合ったAIをちゃんと選べているか自信がない…」 その疑問を、 90分の</t>
        </is>
      </c>
      <c r="U27" s="15" t="inlineStr">
        <is>
          <t>https://www.kokuchpro.com/event/462c32654e8582dc98f1d8324a64443d/</t>
        </is>
      </c>
      <c r="V27" s="10" t="n"/>
      <c r="W27" s="10" t="inlineStr">
        <is>
          <t>本文一致</t>
        </is>
      </c>
      <c r="X27" s="10" t="n"/>
    </row>
    <row r="28">
      <c r="A28" s="10" t="n">
        <v>27</v>
      </c>
      <c r="B28" s="11" t="n">
        <v>46210</v>
      </c>
      <c r="C28" s="11" t="n">
        <v>46239</v>
      </c>
      <c r="D28" s="10">
        <f>MONTH(B28)&amp;"月"</f>
        <v/>
      </c>
      <c r="E28" s="12" t="n">
        <v>2</v>
      </c>
      <c r="F28" s="10" t="inlineStr">
        <is>
          <t>07/07、08/05</t>
        </is>
      </c>
      <c r="G28" s="10" t="inlineStr">
        <is>
          <t>AIセキュリティ実践！最初に見るべき4つの領域 〜ID・ネットワーク・ログ・AI資産管理から考える〜</t>
        </is>
      </c>
      <c r="H28" s="10" t="inlineStr">
        <is>
          <t>cloudace</t>
        </is>
      </c>
      <c r="I28" s="10" t="n"/>
      <c r="J28" s="10" t="inlineStr">
        <is>
          <t>Doorkeeper</t>
        </is>
      </c>
      <c r="K28" s="10" t="inlineStr">
        <is>
          <t>不明</t>
        </is>
      </c>
      <c r="L28" s="10" t="n"/>
      <c r="M28" s="10" t="inlineStr">
        <is>
          <t>営業・マーケ・CS</t>
        </is>
      </c>
      <c r="N28" s="10" t="inlineStr">
        <is>
          <t>AIエージェント</t>
        </is>
      </c>
      <c r="O28" s="12" t="inlineStr">
        <is>
          <t>○</t>
        </is>
      </c>
      <c r="P28" s="13" t="n">
        <v>0</v>
      </c>
      <c r="Q28" s="12" t="inlineStr">
        <is>
          <t>参加者数</t>
        </is>
      </c>
      <c r="R28" s="14" t="n">
        <v>60</v>
      </c>
      <c r="S28" s="10" t="inlineStr">
        <is>
          <t>全2回の合計</t>
        </is>
      </c>
      <c r="T28" s="10" t="inlineStr">
        <is>
          <t xml:space="preserve"> 【重要】本セミナーはdoorkeeperだけではお申し込み完了となりません。下記リンク先よりクラウドエースのwebサイトにてお申し込みをお願いいたします。 お申し込みはこちら https://cloud-ace.jp/event/260707/?utm_source=doorkeeper&amp;utm_medium=referral 社内で生成AIやAIアシスタント（AIエージェント）の活用が進む中、「安全に使うための仕組みづくり」に悩む担</t>
        </is>
      </c>
      <c r="U28" s="15" t="inlineStr">
        <is>
          <t>https://cloudace.doorkeeper.jp/events/197917</t>
        </is>
      </c>
      <c r="V28" s="10" t="n"/>
      <c r="W28" s="10" t="inlineStr">
        <is>
          <t>本文一致</t>
        </is>
      </c>
      <c r="X28" s="10" t="n"/>
    </row>
    <row r="29">
      <c r="A29" s="10" t="n">
        <v>28</v>
      </c>
      <c r="B29" s="11" t="n">
        <v>46210</v>
      </c>
      <c r="C29" s="11" t="n">
        <v>46210</v>
      </c>
      <c r="D29" s="10">
        <f>MONTH(B29)&amp;"月"</f>
        <v/>
      </c>
      <c r="E29" s="12" t="n">
        <v>1</v>
      </c>
      <c r="F29" s="10" t="n"/>
      <c r="G29" s="10" t="inlineStr">
        <is>
          <t>Devinの組織運用 - 開発現場での活用とガバナンス</t>
        </is>
      </c>
      <c r="H29" s="10" t="inlineStr">
        <is>
          <t>ファインディ／Findy</t>
        </is>
      </c>
      <c r="I29" s="10" t="n"/>
      <c r="J29" s="10" t="inlineStr">
        <is>
          <t>connpass</t>
        </is>
      </c>
      <c r="K29" s="10" t="inlineStr">
        <is>
          <t>オンライン</t>
        </is>
      </c>
      <c r="L29" s="10" t="inlineStr">
        <is>
          <t>オンライン</t>
        </is>
      </c>
      <c r="M29" s="10" t="inlineStr">
        <is>
          <t>開発生産性</t>
        </is>
      </c>
      <c r="N29" s="10" t="inlineStr">
        <is>
          <t>AIエージェント</t>
        </is>
      </c>
      <c r="O29" s="12" t="inlineStr">
        <is>
          <t>○</t>
        </is>
      </c>
      <c r="P29" s="13" t="n">
        <v>234</v>
      </c>
      <c r="Q29" s="12" t="inlineStr">
        <is>
          <t>参加者数</t>
        </is>
      </c>
      <c r="R29" s="14" t="n"/>
      <c r="S29" s="10" t="n"/>
      <c r="T29" s="10" t="n"/>
      <c r="U29" s="15" t="inlineStr">
        <is>
          <t>https://findy.connpass.com/event/396823/</t>
        </is>
      </c>
      <c r="V29" s="10" t="n"/>
      <c r="W29" s="10" t="inlineStr">
        <is>
          <t>タイトル一致</t>
        </is>
      </c>
      <c r="X29" s="10" t="n"/>
    </row>
    <row r="30">
      <c r="A30" s="10" t="n">
        <v>29</v>
      </c>
      <c r="B30" s="11" t="n">
        <v>46210</v>
      </c>
      <c r="C30" s="11" t="n">
        <v>46238</v>
      </c>
      <c r="D30" s="10">
        <f>MONTH(B30)&amp;"月"</f>
        <v/>
      </c>
      <c r="E30" s="12" t="n">
        <v>4</v>
      </c>
      <c r="F30" s="10" t="inlineStr">
        <is>
          <t>07/07、07/21、07/28、08/04</t>
        </is>
      </c>
      <c r="G30" s="10" t="inlineStr">
        <is>
          <t>Weekly Claude Code Live #9</t>
        </is>
      </c>
      <c r="H30" s="10" t="inlineStr">
        <is>
          <t>ジェネラティブエージェンツ / Generative Agents</t>
        </is>
      </c>
      <c r="I30" s="10" t="n"/>
      <c r="J30" s="10" t="inlineStr">
        <is>
          <t>connpass</t>
        </is>
      </c>
      <c r="K30" s="10" t="inlineStr">
        <is>
          <t>会場</t>
        </is>
      </c>
      <c r="L30" s="10" t="inlineStr">
        <is>
          <t>(場所未定)</t>
        </is>
      </c>
      <c r="M30" s="10" t="inlineStr">
        <is>
          <t>開発生産性</t>
        </is>
      </c>
      <c r="N30" s="10" t="inlineStr">
        <is>
          <t>AIエージェント</t>
        </is>
      </c>
      <c r="O30" s="12" t="inlineStr">
        <is>
          <t>○</t>
        </is>
      </c>
      <c r="P30" s="13" t="n">
        <v>93</v>
      </c>
      <c r="Q30" s="12" t="inlineStr">
        <is>
          <t>参加者数</t>
        </is>
      </c>
      <c r="R30" s="14" t="n"/>
      <c r="S30" s="10" t="inlineStr">
        <is>
          <t>全4回の合計</t>
        </is>
      </c>
      <c r="T30" s="10" t="n"/>
      <c r="U30" s="15" t="inlineStr">
        <is>
          <t>https://generative-agents.connpass.com/event/399060/</t>
        </is>
      </c>
      <c r="V30" s="10" t="n"/>
      <c r="W30" s="10" t="inlineStr">
        <is>
          <t>タイトル一致</t>
        </is>
      </c>
      <c r="X30" s="10" t="n"/>
    </row>
    <row r="31">
      <c r="A31" s="10" t="n">
        <v>30</v>
      </c>
      <c r="B31" s="11" t="n">
        <v>46210</v>
      </c>
      <c r="C31" s="11" t="n">
        <v>46210</v>
      </c>
      <c r="D31" s="10">
        <f>MONTH(B31)&amp;"月"</f>
        <v/>
      </c>
      <c r="E31" s="12" t="n">
        <v>1</v>
      </c>
      <c r="F31" s="10" t="n"/>
      <c r="G31" s="10" t="inlineStr">
        <is>
          <t>【7月7日開催｜無料ウェビナー】スマート製造における産業用AI：2026年の技術トレンドと実装課題</t>
        </is>
      </c>
      <c r="H31" s="10" t="inlineStr">
        <is>
          <t>株式会社グローバルインフォメーション</t>
        </is>
      </c>
      <c r="I31" s="10" t="n"/>
      <c r="J31" s="10" t="inlineStr">
        <is>
          <t>ZDNET Japan イベント</t>
        </is>
      </c>
      <c r="K31" s="10" t="inlineStr">
        <is>
          <t>オンライン</t>
        </is>
      </c>
      <c r="L31" s="10" t="inlineStr">
        <is>
          <t>WEB</t>
        </is>
      </c>
      <c r="M31" s="10" t="inlineStr">
        <is>
          <t>生産管理・製造・SCM</t>
        </is>
      </c>
      <c r="N31" s="10" t="inlineStr">
        <is>
          <t>AIエージェント</t>
        </is>
      </c>
      <c r="O31" s="12" t="inlineStr">
        <is>
          <t>○</t>
        </is>
      </c>
      <c r="P31" s="13" t="n"/>
      <c r="Q31" s="12" t="inlineStr">
        <is>
          <t>不明</t>
        </is>
      </c>
      <c r="R31" s="14" t="n"/>
      <c r="S31" s="10" t="n"/>
      <c r="T31" s="10" t="inlineStr">
        <is>
          <t>開催場所： WEB 開催日： 2026-07-07 市場調査レポートを販売する株式会社グローバルインフォメーションはドイツを本拠とする提携調査会社、IoT Analytics (IoTアナリティクス)社と共同で無料ウェビナー「スマート製造における産業用AI：2026年の技術トレンドと実装課題」を7月7日に開催いたします。 参加申し込み・詳細 ( リンク » ) ■セミナー概要 開催日：2026年7月7日(火) 開催時間：14:00～15</t>
        </is>
      </c>
      <c r="U31" s="15" t="inlineStr">
        <is>
          <t>https://japan.zdnet.com/event_info/30014942/</t>
        </is>
      </c>
      <c r="V31" s="10" t="n"/>
      <c r="W31" s="10" t="inlineStr">
        <is>
          <t>本文一致</t>
        </is>
      </c>
      <c r="X31" s="10" t="n"/>
    </row>
    <row r="32">
      <c r="A32" s="10" t="n">
        <v>31</v>
      </c>
      <c r="B32" s="11" t="n">
        <v>46210</v>
      </c>
      <c r="C32" s="11" t="n">
        <v>46273</v>
      </c>
      <c r="D32" s="10">
        <f>MONTH(B32)&amp;"月"</f>
        <v/>
      </c>
      <c r="E32" s="12" t="n">
        <v>3</v>
      </c>
      <c r="F32" s="10" t="inlineStr">
        <is>
          <t>07/07、08/04、09/08</t>
        </is>
      </c>
      <c r="G32" s="10" t="inlineStr">
        <is>
          <t>【生成AIベストプラクティス】上場企業15社以上で効果が!AI Agent型の導入で活用促進する施策</t>
        </is>
      </c>
      <c r="H32" s="10" t="inlineStr">
        <is>
          <t>TechWorker</t>
        </is>
      </c>
      <c r="I32" s="10" t="n"/>
      <c r="J32" s="10" t="inlineStr">
        <is>
          <t>connpass</t>
        </is>
      </c>
      <c r="K32" s="10" t="inlineStr">
        <is>
          <t>オンライン</t>
        </is>
      </c>
      <c r="L32" s="10" t="inlineStr">
        <is>
          <t>オンライン</t>
        </is>
      </c>
      <c r="M32" s="10" t="inlineStr">
        <is>
          <t>技術・AI全般</t>
        </is>
      </c>
      <c r="N32" s="10" t="inlineStr">
        <is>
          <t>AIエージェント</t>
        </is>
      </c>
      <c r="O32" s="12" t="inlineStr">
        <is>
          <t>○</t>
        </is>
      </c>
      <c r="P32" s="13" t="n">
        <v>15</v>
      </c>
      <c r="Q32" s="12" t="inlineStr">
        <is>
          <t>参加者数</t>
        </is>
      </c>
      <c r="R32" s="14" t="n"/>
      <c r="S32" s="10" t="inlineStr">
        <is>
          <t>全3回の合計</t>
        </is>
      </c>
      <c r="T32" s="10" t="n"/>
      <c r="U32" s="15" t="inlineStr">
        <is>
          <t>https://connpass.com/event/396661/</t>
        </is>
      </c>
      <c r="V32" s="10" t="n"/>
      <c r="W32" s="10" t="inlineStr">
        <is>
          <t>タイトル一致</t>
        </is>
      </c>
      <c r="X32" s="10" t="n"/>
    </row>
    <row r="33">
      <c r="A33" s="10" t="n">
        <v>32</v>
      </c>
      <c r="B33" s="11" t="n">
        <v>46210</v>
      </c>
      <c r="C33" s="11" t="n">
        <v>46210</v>
      </c>
      <c r="D33" s="10">
        <f>MONTH(B33)&amp;"月"</f>
        <v/>
      </c>
      <c r="E33" s="12" t="n">
        <v>1</v>
      </c>
      <c r="F33" s="10" t="n"/>
      <c r="G33" s="10" t="inlineStr">
        <is>
          <t>今こそ試したい Claude Cowork ⼊⾨②|AI集客を徹底解説</t>
        </is>
      </c>
      <c r="H33" s="10" t="inlineStr">
        <is>
          <t>みんなシステムズ セミナー担当</t>
        </is>
      </c>
      <c r="I33" s="10" t="n"/>
      <c r="J33" s="10" t="inlineStr">
        <is>
          <t>こくちーずプロ</t>
        </is>
      </c>
      <c r="K33" s="10" t="inlineStr">
        <is>
          <t>オンライン</t>
        </is>
      </c>
      <c r="L33" s="10" t="inlineStr">
        <is>
          <t>オンライン 日本</t>
        </is>
      </c>
      <c r="M33" s="10" t="inlineStr">
        <is>
          <t>営業・マーケ・CS</t>
        </is>
      </c>
      <c r="N33" s="10" t="inlineStr">
        <is>
          <t>AIエージェント</t>
        </is>
      </c>
      <c r="O33" s="12" t="inlineStr">
        <is>
          <t>◎</t>
        </is>
      </c>
      <c r="P33" s="13" t="n">
        <v>2</v>
      </c>
      <c r="Q33" s="12" t="inlineStr">
        <is>
          <t>イベント参加 2/30</t>
        </is>
      </c>
      <c r="R33" s="14" t="n">
        <v>30</v>
      </c>
      <c r="S33" s="10" t="n"/>
      <c r="T33" s="10" t="inlineStr">
        <is>
          <t>セミナー情報 前回、満員御礼のClaude Cowork ⼊⾨。 今回はコンテンツ制作を軸として、「Claude Cowork」の活用事例をご紹介します。 プログラミング知識は不要。 ホームページ改善、ブログ記事作成、業務実績ページ作成の事例を元にClaude Coworkの活用事例をご紹介します。 このセミナーでお話しすること Claude Coworkを活用したホームページ改善事例 Claude Cowork×Excelによるブログ</t>
        </is>
      </c>
      <c r="U33" s="15" t="inlineStr">
        <is>
          <t>https://www.kokuchpro.com/event/06a414b82ca253edd78099fa5ac8a980/</t>
        </is>
      </c>
      <c r="V33" s="10" t="n"/>
      <c r="W33" s="10" t="inlineStr">
        <is>
          <t>タイトル一致</t>
        </is>
      </c>
      <c r="X33" s="10" t="n"/>
    </row>
    <row r="34">
      <c r="A34" s="10" t="n">
        <v>33</v>
      </c>
      <c r="B34" s="11" t="n">
        <v>46210</v>
      </c>
      <c r="C34" s="11" t="n">
        <v>46210</v>
      </c>
      <c r="D34" s="10">
        <f>MONTH(B34)&amp;"月"</f>
        <v/>
      </c>
      <c r="E34" s="12" t="n">
        <v>1</v>
      </c>
      <c r="F34" s="10" t="n"/>
      <c r="G34" s="10" t="inlineStr">
        <is>
          <t>実演で理解!AI-Claudeで創る、新しい仕事のカタチ。〜『AIに任せる』、未経験からの実践AX〜</t>
        </is>
      </c>
      <c r="H34" s="10" t="inlineStr">
        <is>
          <t>（記載なし）</t>
        </is>
      </c>
      <c r="I34" s="10" t="n"/>
      <c r="J34" s="10" t="inlineStr">
        <is>
          <t>こくちーずプロ</t>
        </is>
      </c>
      <c r="K34" s="10" t="inlineStr">
        <is>
          <t>オンライン</t>
        </is>
      </c>
      <c r="L34" s="10" t="inlineStr">
        <is>
          <t>オンライン 日本</t>
        </is>
      </c>
      <c r="M34" s="10" t="inlineStr">
        <is>
          <t>営業・マーケ・CS</t>
        </is>
      </c>
      <c r="N34" s="10" t="inlineStr">
        <is>
          <t>AIエージェント</t>
        </is>
      </c>
      <c r="O34" s="12" t="inlineStr">
        <is>
          <t>○</t>
        </is>
      </c>
      <c r="P34" s="13" t="n"/>
      <c r="Q34" s="12" t="inlineStr">
        <is>
          <t>不明</t>
        </is>
      </c>
      <c r="R34" s="14" t="n"/>
      <c r="S34" s="10" t="n"/>
      <c r="T34" s="10" t="inlineStr">
        <is>
          <t>話題の生成AI「Claude」を活用してみたいけど、 難しそうで、どう活用したら良いかわからない… そんなビジネスパーソンに向けて、AI「Claude」を取り巻く市場や企業課題を提示しながら具体的な活用方法を実演（デモンストレーション）を通じて、「Claude」を体験できるウェビナーを開催します。 ▶︎詳しくは こちら 今回は、観光業や宿泊業の業界が抱える「口コミ返信」の業務課題をテーマに、「Claude」を実演。 非IT企業でも、営業</t>
        </is>
      </c>
      <c r="U34" s="15" t="inlineStr">
        <is>
          <t>https://www.kokuchpro.com/event/a79b4469b0d0538468ca8b3f0a02fe13/</t>
        </is>
      </c>
      <c r="V34" s="10" t="n"/>
      <c r="W34" s="10" t="inlineStr">
        <is>
          <t>本文一致</t>
        </is>
      </c>
      <c r="X34" s="10" t="n"/>
    </row>
    <row r="35">
      <c r="A35" s="10" t="n">
        <v>34</v>
      </c>
      <c r="B35" s="11" t="n">
        <v>46211</v>
      </c>
      <c r="C35" s="11" t="n">
        <v>46293</v>
      </c>
      <c r="D35" s="10">
        <f>MONTH(B35)&amp;"月"</f>
        <v/>
      </c>
      <c r="E35" s="12" t="n">
        <v>13</v>
      </c>
      <c r="F35" s="10" t="inlineStr">
        <is>
          <t>07/08、07/11、07/19、07/22、07/29、08/15、08/23、08/26、08/29、09/13、09/16、09/23、09/28</t>
        </is>
      </c>
      <c r="G35" s="10" t="inlineStr">
        <is>
          <t>0からのClaudeCodeによるAIエージェント入門セミナー</t>
        </is>
      </c>
      <c r="H35" s="10" t="inlineStr">
        <is>
          <t>データ分析ベーシック講座クラブ</t>
        </is>
      </c>
      <c r="I35" s="10" t="n"/>
      <c r="J35" s="10" t="inlineStr">
        <is>
          <t>connpass</t>
        </is>
      </c>
      <c r="K35" s="10" t="inlineStr">
        <is>
          <t>オンライン</t>
        </is>
      </c>
      <c r="L35" s="10" t="inlineStr">
        <is>
          <t>オンライン</t>
        </is>
      </c>
      <c r="M35" s="10" t="inlineStr">
        <is>
          <t>営業・マーケ・CS</t>
        </is>
      </c>
      <c r="N35" s="10" t="inlineStr">
        <is>
          <t>AIエージェント</t>
        </is>
      </c>
      <c r="O35" s="12" t="inlineStr">
        <is>
          <t>◎</t>
        </is>
      </c>
      <c r="P35" s="13" t="n">
        <v>36</v>
      </c>
      <c r="Q35" s="12" t="inlineStr">
        <is>
          <t>参加者数</t>
        </is>
      </c>
      <c r="R35" s="14" t="n">
        <v>130</v>
      </c>
      <c r="S35" s="10" t="inlineStr">
        <is>
          <t>全13回の合計</t>
        </is>
      </c>
      <c r="T35" s="10" t="n"/>
      <c r="U35" s="15" t="inlineStr">
        <is>
          <t>https://data-analysis-basics.connpass.com/event/399367/</t>
        </is>
      </c>
      <c r="V35" s="10" t="n"/>
      <c r="W35" s="10" t="inlineStr">
        <is>
          <t>タイトル一致</t>
        </is>
      </c>
      <c r="X35" s="10" t="n"/>
    </row>
    <row r="36">
      <c r="A36" s="10" t="n">
        <v>35</v>
      </c>
      <c r="B36" s="11" t="n">
        <v>46211</v>
      </c>
      <c r="C36" s="11" t="n">
        <v>46211</v>
      </c>
      <c r="D36" s="10">
        <f>MONTH(B36)&amp;"月"</f>
        <v/>
      </c>
      <c r="E36" s="12" t="n">
        <v>1</v>
      </c>
      <c r="F36" s="10" t="n"/>
      <c r="G36" s="10" t="inlineStr">
        <is>
          <t>AIで記録し、AIに聞く。i-Reporter×Dr.Sum×AIで変わる製造現場</t>
        </is>
      </c>
      <c r="H36" s="10" t="inlineStr">
        <is>
          <t>（記載なし）</t>
        </is>
      </c>
      <c r="I36" s="10" t="n"/>
      <c r="J36" s="10" t="inlineStr">
        <is>
          <t>ビジネス+IT</t>
        </is>
      </c>
      <c r="K36" s="10" t="inlineStr">
        <is>
          <t>online</t>
        </is>
      </c>
      <c r="L36" s="10" t="inlineStr">
        <is>
          <t>オンライン</t>
        </is>
      </c>
      <c r="M36" s="10" t="inlineStr">
        <is>
          <t>生産管理・製造・SCM</t>
        </is>
      </c>
      <c r="N36" s="10" t="inlineStr">
        <is>
          <t>MCP</t>
        </is>
      </c>
      <c r="O36" s="12" t="inlineStr">
        <is>
          <t>○</t>
        </is>
      </c>
      <c r="P36" s="13" t="n"/>
      <c r="Q36" s="12" t="inlineStr">
        <is>
          <t>不明</t>
        </is>
      </c>
      <c r="R36" s="14" t="n"/>
      <c r="S36" s="10" t="n"/>
      <c r="T36" s="10" t="inlineStr">
        <is>
          <t>日報・点検・品質記録など、製造現場には膨大なデータが生まれ続けています。i-Reporterでは、Edge AIによるOCRやバーコード読み取りを活用することで、これらの現場記録をスピーディかつ正確にデジタル化することができます。しかし、「記録はできている、でもそのデータをAIに活かせていない」という課題を感じる企業が増えているのも現実です。 本セミナーでは、MCP対応を開始したデータ分析基盤Dr.Sumを活用し、複数システムのデータ統</t>
        </is>
      </c>
      <c r="U36" s="15" t="inlineStr">
        <is>
          <t>https://www.sbbit.jp/eventinfo/89048</t>
        </is>
      </c>
      <c r="V36" s="10" t="n"/>
      <c r="W36" s="10" t="inlineStr">
        <is>
          <t>本文一致</t>
        </is>
      </c>
      <c r="X36" s="10" t="n"/>
    </row>
    <row r="37">
      <c r="A37" s="10" t="n">
        <v>36</v>
      </c>
      <c r="B37" s="11" t="n">
        <v>46211</v>
      </c>
      <c r="C37" s="11" t="n">
        <v>46246</v>
      </c>
      <c r="D37" s="10">
        <f>MONTH(B37)&amp;"月"</f>
        <v/>
      </c>
      <c r="E37" s="12" t="n">
        <v>2</v>
      </c>
      <c r="F37" s="10" t="inlineStr">
        <is>
          <t>07/08、08/12</t>
        </is>
      </c>
      <c r="G37" s="10" t="inlineStr">
        <is>
          <t>AIミーティング 2026/07/08 #AIエージェント #MCP</t>
        </is>
      </c>
      <c r="H37" s="10" t="inlineStr">
        <is>
          <t>大阪駆動開発</t>
        </is>
      </c>
      <c r="I37" s="10" t="n"/>
      <c r="J37" s="10" t="inlineStr">
        <is>
          <t>connpass</t>
        </is>
      </c>
      <c r="K37" s="10" t="inlineStr">
        <is>
          <t>オンライン</t>
        </is>
      </c>
      <c r="L37" s="10" t="inlineStr">
        <is>
          <t>オンライン</t>
        </is>
      </c>
      <c r="M37" s="10" t="inlineStr">
        <is>
          <t>開発生産性</t>
        </is>
      </c>
      <c r="N37" s="10" t="inlineStr">
        <is>
          <t>両方</t>
        </is>
      </c>
      <c r="O37" s="12" t="inlineStr">
        <is>
          <t>○</t>
        </is>
      </c>
      <c r="P37" s="13" t="n">
        <v>108</v>
      </c>
      <c r="Q37" s="12" t="inlineStr">
        <is>
          <t>参加者数</t>
        </is>
      </c>
      <c r="R37" s="14" t="n"/>
      <c r="S37" s="10" t="inlineStr">
        <is>
          <t>全2回の合計</t>
        </is>
      </c>
      <c r="T37" s="10" t="n"/>
      <c r="U37" s="15" t="inlineStr">
        <is>
          <t>https://osaka-driven-dev.connpass.com/event/396961/</t>
        </is>
      </c>
      <c r="V37" s="10" t="n"/>
      <c r="W37" s="10" t="inlineStr">
        <is>
          <t>タイトル一致</t>
        </is>
      </c>
      <c r="X37" s="10" t="n"/>
    </row>
    <row r="38">
      <c r="A38" s="10" t="n">
        <v>37</v>
      </c>
      <c r="B38" s="11" t="n">
        <v>46211</v>
      </c>
      <c r="C38" s="11" t="n">
        <v>46211</v>
      </c>
      <c r="D38" s="10">
        <f>MONTH(B38)&amp;"月"</f>
        <v/>
      </c>
      <c r="E38" s="12" t="n">
        <v>1</v>
      </c>
      <c r="F38" s="10" t="n"/>
      <c r="G38" s="10" t="inlineStr">
        <is>
          <t>Agentforce活用を成功に導くSalesforceセキュリティとAIガバナンス最前線 ～自律型AI環境で顕在化する「ファイル・URL由来のサイバー脅威」の盲点～</t>
        </is>
      </c>
      <c r="H38" s="10" t="inlineStr">
        <is>
          <t>ウィズセキュア株式会社</t>
        </is>
      </c>
      <c r="I38" s="10" t="inlineStr">
        <is>
          <t>マジセミ株式会社</t>
        </is>
      </c>
      <c r="J38" s="10" t="inlineStr">
        <is>
          <t>Doorkeeper</t>
        </is>
      </c>
      <c r="K38" s="10" t="inlineStr">
        <is>
          <t>不明</t>
        </is>
      </c>
      <c r="L38" s="10" t="n"/>
      <c r="M38" s="10" t="inlineStr">
        <is>
          <t>営業・マーケ・CS</t>
        </is>
      </c>
      <c r="N38" s="10" t="inlineStr">
        <is>
          <t>AIエージェント</t>
        </is>
      </c>
      <c r="O38" s="12" t="inlineStr">
        <is>
          <t>◎</t>
        </is>
      </c>
      <c r="P38" s="13" t="n">
        <v>5</v>
      </c>
      <c r="Q38" s="12" t="inlineStr">
        <is>
          <t>参加者数</t>
        </is>
      </c>
      <c r="R38" s="14" t="n">
        <v>8</v>
      </c>
      <c r="S38" s="10" t="n"/>
      <c r="T38"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Agentforce導入がもたらす圧倒的な業務効率化と経営メリットとは Agentforceは、Salesforceが提供する自律型AIエージェント基盤として、営業やカスタマーサポート・マーケティングな</t>
        </is>
      </c>
      <c r="U38" s="15" t="inlineStr">
        <is>
          <t>https://majisemi-security.doorkeeper.jp/events/197735</t>
        </is>
      </c>
      <c r="V38" s="10" t="n"/>
      <c r="W38" s="10" t="inlineStr">
        <is>
          <t>タイトル一致</t>
        </is>
      </c>
      <c r="X38" s="10" t="n"/>
    </row>
    <row r="39">
      <c r="A39" s="10" t="n">
        <v>38</v>
      </c>
      <c r="B39" s="11" t="n">
        <v>46211</v>
      </c>
      <c r="C39" s="11" t="n">
        <v>46211</v>
      </c>
      <c r="D39" s="10">
        <f>MONTH(B39)&amp;"月"</f>
        <v/>
      </c>
      <c r="E39" s="12" t="n">
        <v>1</v>
      </c>
      <c r="F39" s="10" t="n"/>
      <c r="G39" s="10" t="inlineStr">
        <is>
          <t>Claude Codeで開発効率をアップする！　＜第2回＞勝手な動きで壊させない！</t>
        </is>
      </c>
      <c r="H39" s="10" t="inlineStr">
        <is>
          <t>mnp-pr</t>
        </is>
      </c>
      <c r="I39" s="10" t="n"/>
      <c r="J39" s="10" t="inlineStr">
        <is>
          <t>connpass</t>
        </is>
      </c>
      <c r="K39" s="10" t="inlineStr">
        <is>
          <t>オンライン</t>
        </is>
      </c>
      <c r="L39" s="10" t="inlineStr">
        <is>
          <t>オンライン</t>
        </is>
      </c>
      <c r="M39" s="10" t="inlineStr">
        <is>
          <t>開発生産性</t>
        </is>
      </c>
      <c r="N39" s="10" t="inlineStr">
        <is>
          <t>AIエージェント</t>
        </is>
      </c>
      <c r="O39" s="12" t="inlineStr">
        <is>
          <t>○</t>
        </is>
      </c>
      <c r="P39" s="13" t="n">
        <v>37</v>
      </c>
      <c r="Q39" s="12" t="inlineStr">
        <is>
          <t>参加者数</t>
        </is>
      </c>
      <c r="R39" s="14" t="n">
        <v>50</v>
      </c>
      <c r="S39" s="10" t="n"/>
      <c r="T39" s="10" t="n"/>
      <c r="U39" s="15" t="inlineStr">
        <is>
          <t>https://connpass.com/event/399507/</t>
        </is>
      </c>
      <c r="V39" s="10" t="n"/>
      <c r="W39" s="10" t="inlineStr">
        <is>
          <t>タイトル一致</t>
        </is>
      </c>
      <c r="X39" s="10" t="n"/>
    </row>
    <row r="40">
      <c r="A40" s="10" t="n">
        <v>39</v>
      </c>
      <c r="B40" s="11" t="n">
        <v>46211</v>
      </c>
      <c r="C40" s="11" t="n">
        <v>46219</v>
      </c>
      <c r="D40" s="10">
        <f>MONTH(B40)&amp;"月"</f>
        <v/>
      </c>
      <c r="E40" s="12" t="n">
        <v>1</v>
      </c>
      <c r="F40" s="10" t="n"/>
      <c r="G40" s="10" t="inlineStr">
        <is>
          <t>「ブラウザ操作AIエージェント」で実現する、現場主導の業務効率化</t>
        </is>
      </c>
      <c r="H40" s="10" t="inlineStr">
        <is>
          <t>株式会社リンクレア</t>
        </is>
      </c>
      <c r="I40" s="10" t="n"/>
      <c r="J40" s="10" t="inlineStr">
        <is>
          <t>ビジネス+IT</t>
        </is>
      </c>
      <c r="K40" s="10" t="inlineStr">
        <is>
          <t>online</t>
        </is>
      </c>
      <c r="L40" s="10" t="inlineStr">
        <is>
          <t>オンライン</t>
        </is>
      </c>
      <c r="M40" s="10" t="inlineStr">
        <is>
          <t>生産性向上・業務効率化</t>
        </is>
      </c>
      <c r="N40" s="10" t="inlineStr">
        <is>
          <t>AIエージェント</t>
        </is>
      </c>
      <c r="O40" s="12" t="inlineStr">
        <is>
          <t>◎</t>
        </is>
      </c>
      <c r="P40" s="13" t="n"/>
      <c r="Q40" s="12" t="inlineStr">
        <is>
          <t>不明</t>
        </is>
      </c>
      <c r="R40" s="14" t="n"/>
      <c r="S40" s="10" t="n"/>
      <c r="T40" s="10" t="inlineStr">
        <is>
          <t>「AIエージェントを活用して、社内の業務効率を一気に高めたい」 「現場が自走できる、新しい自動化の仕組みを取り入れたい」 生成AIの進化により、Webブラウザ上の業務を自律的に行う「AIエージェント」の実用化に向けた検証が進んでいます。 本ウェビナーでは、最新の「ブラウザ操作特化型AIエージェント」の技術動向と、現場主導で業務変革を起こすための方法について解説します。 事例をもとに、技術的な専門知識がない現場部門でも、これからの「業務自</t>
        </is>
      </c>
      <c r="U40" s="15" t="inlineStr">
        <is>
          <t>https://www.sbbit.jp/eventinfo/89273</t>
        </is>
      </c>
      <c r="V40" s="10" t="n"/>
      <c r="W40" s="10" t="inlineStr">
        <is>
          <t>タイトル一致</t>
        </is>
      </c>
      <c r="X40" s="10" t="n"/>
    </row>
    <row r="41">
      <c r="A41" s="10" t="n">
        <v>40</v>
      </c>
      <c r="B41" s="11" t="n">
        <v>46211</v>
      </c>
      <c r="C41" s="11" t="n">
        <v>46211</v>
      </c>
      <c r="D41" s="10">
        <f>MONTH(B41)&amp;"月"</f>
        <v/>
      </c>
      <c r="E41" s="12" t="n">
        <v>1</v>
      </c>
      <c r="F41" s="10" t="n"/>
      <c r="G41" s="10" t="inlineStr">
        <is>
          <t>【エキスパート講座】AIエージェント構築｜コードゼロで業務を自動化するOpenClaw実践講座（2日間講座）</t>
        </is>
      </c>
      <c r="H41" s="10" t="inlineStr">
        <is>
          <t>一般社団法人ウェブ解析士協会 講座企画運営部（担当：沖本一生）</t>
        </is>
      </c>
      <c r="I41" s="10" t="n"/>
      <c r="J41" s="10" t="inlineStr">
        <is>
          <t>Doorkeeper</t>
        </is>
      </c>
      <c r="K41" s="10" t="inlineStr">
        <is>
          <t>不明</t>
        </is>
      </c>
      <c r="L41" s="10" t="n"/>
      <c r="M41" s="10" t="inlineStr">
        <is>
          <t>生産性向上・業務効率化</t>
        </is>
      </c>
      <c r="N41" s="10" t="inlineStr">
        <is>
          <t>AIエージェント</t>
        </is>
      </c>
      <c r="O41" s="12" t="inlineStr">
        <is>
          <t>◎</t>
        </is>
      </c>
      <c r="P41" s="13" t="n">
        <v>3</v>
      </c>
      <c r="Q41" s="12" t="inlineStr">
        <is>
          <t>参加者数</t>
        </is>
      </c>
      <c r="R41" s="14" t="n"/>
      <c r="S41" s="10" t="n"/>
      <c r="T41" s="10" t="inlineStr">
        <is>
          <t xml:space="preserve"> 講座概要 こちらの講座は、7/8（水）20:00～21:30、7/22（水）20:00～21:30 の２日間講座となります。 AIチャットは業務に活用している。でも「毎週の実績チェック」「GA4の数値確認」「クライアントへの定例レポート」等々、そういった繰り返しの作業は、まだ自分でやっていませんか？ この講座では、プログラミングなしでAIエージェントを構築できる「OpenClaw」の導入からあなたの実務に合わせた自動化ツールを完成させ</t>
        </is>
      </c>
      <c r="U41" s="15" t="inlineStr">
        <is>
          <t>https://web-mining.doorkeeper.jp/events/197628</t>
        </is>
      </c>
      <c r="V41" s="10" t="n"/>
      <c r="W41" s="10" t="inlineStr">
        <is>
          <t>タイトル一致</t>
        </is>
      </c>
      <c r="X41" s="10" t="n"/>
    </row>
    <row r="42">
      <c r="A42" s="10" t="n">
        <v>41</v>
      </c>
      <c r="B42" s="11" t="n">
        <v>46211</v>
      </c>
      <c r="C42" s="11" t="n">
        <v>46211</v>
      </c>
      <c r="D42" s="10">
        <f>MONTH(B42)&amp;"月"</f>
        <v/>
      </c>
      <c r="E42" s="12" t="n">
        <v>1</v>
      </c>
      <c r="F42" s="10" t="n"/>
      <c r="G42" s="10" t="inlineStr">
        <is>
          <t>【出版記念！ランチイベント】MastraによるAIエージェント開発運用実践入門</t>
        </is>
      </c>
      <c r="H42" s="10" t="inlineStr">
        <is>
          <t>KDDIアジャイル開発センター / KAG</t>
        </is>
      </c>
      <c r="I42" s="10" t="n"/>
      <c r="J42" s="10" t="inlineStr">
        <is>
          <t>connpass</t>
        </is>
      </c>
      <c r="K42" s="10" t="inlineStr">
        <is>
          <t>会場</t>
        </is>
      </c>
      <c r="L42" s="10" t="inlineStr">
        <is>
          <t>(場所未定)</t>
        </is>
      </c>
      <c r="M42" s="10" t="inlineStr">
        <is>
          <t>開発生産性</t>
        </is>
      </c>
      <c r="N42" s="10" t="inlineStr">
        <is>
          <t>AIエージェント</t>
        </is>
      </c>
      <c r="O42" s="12" t="inlineStr">
        <is>
          <t>○</t>
        </is>
      </c>
      <c r="P42" s="13" t="n">
        <v>57</v>
      </c>
      <c r="Q42" s="12" t="inlineStr">
        <is>
          <t>参加者数</t>
        </is>
      </c>
      <c r="R42" s="14" t="n"/>
      <c r="S42" s="10" t="n"/>
      <c r="T42" s="10" t="n"/>
      <c r="U42" s="15" t="inlineStr">
        <is>
          <t>https://kddi-agile.connpass.com/event/395678/</t>
        </is>
      </c>
      <c r="V42" s="10" t="n"/>
      <c r="W42" s="10" t="inlineStr">
        <is>
          <t>タイトル一致</t>
        </is>
      </c>
      <c r="X42" s="10" t="n"/>
    </row>
    <row r="43">
      <c r="A43" s="10" t="n">
        <v>42</v>
      </c>
      <c r="B43" s="11" t="n">
        <v>46211</v>
      </c>
      <c r="C43" s="11" t="n">
        <v>46211</v>
      </c>
      <c r="D43" s="10">
        <f>MONTH(B43)&amp;"月"</f>
        <v/>
      </c>
      <c r="E43" s="12" t="n">
        <v>1</v>
      </c>
      <c r="F43" s="10" t="n"/>
      <c r="G43" s="10" t="inlineStr">
        <is>
          <t>これからのサプライチェーンのあるべき姿を解説 キナクシス×JFEシステムズ ウェビナー</t>
        </is>
      </c>
      <c r="H43" s="10" t="inlineStr">
        <is>
          <t>キナクシス・ジャパン</t>
        </is>
      </c>
      <c r="I43" s="10" t="n"/>
      <c r="J43" s="10" t="inlineStr">
        <is>
          <t>個別調査（公式サイト・PR TIMES等）</t>
        </is>
      </c>
      <c r="K43" s="10" t="inlineStr">
        <is>
          <t>オンライン</t>
        </is>
      </c>
      <c r="L43" s="10" t="n"/>
      <c r="M43" s="10" t="inlineStr">
        <is>
          <t>生産管理・製造・SCM</t>
        </is>
      </c>
      <c r="N43" s="10" t="inlineStr">
        <is>
          <t>AIエージェント</t>
        </is>
      </c>
      <c r="O43" s="12" t="inlineStr">
        <is>
          <t>◎</t>
        </is>
      </c>
      <c r="P43" s="13" t="n"/>
      <c r="Q43" s="12" t="inlineStr">
        <is>
          <t>不明</t>
        </is>
      </c>
      <c r="R43" s="14" t="n"/>
      <c r="S43" s="10" t="n"/>
      <c r="T43" s="10" t="inlineStr">
        <is>
          <t>予測できない変化を前提に、AIエージェント技術で適応型サプライチェーンを実現する方法を、デモを交えて解説する。</t>
        </is>
      </c>
      <c r="U43" s="15" t="inlineStr">
        <is>
          <t>https://www.jfe-systems.com/press/2026/20260616_news.html</t>
        </is>
      </c>
      <c r="V43" s="10" t="n"/>
      <c r="W43" s="10" t="inlineStr">
        <is>
          <t>個別確認</t>
        </is>
      </c>
      <c r="X43" s="10" t="n"/>
    </row>
    <row r="44">
      <c r="A44" s="10" t="n">
        <v>43</v>
      </c>
      <c r="B44" s="11" t="n">
        <v>46211</v>
      </c>
      <c r="C44" s="11" t="n">
        <v>46211</v>
      </c>
      <c r="D44" s="10">
        <f>MONTH(B44)&amp;"月"</f>
        <v/>
      </c>
      <c r="E44" s="12" t="n">
        <v>1</v>
      </c>
      <c r="F44" s="10" t="n"/>
      <c r="G44" s="10" t="inlineStr">
        <is>
          <t>応募数・定着率を同時に伸ばす「攻めと守り」のDX×採用戦略【無料ウェビナー】</t>
        </is>
      </c>
      <c r="H44" s="10" t="inlineStr">
        <is>
          <t>応募数・定着率を同時に伸ばす「攻めと守り」のDX×採用戦略【無料ウェビナー】事務局</t>
        </is>
      </c>
      <c r="I44" s="10" t="n"/>
      <c r="J44" s="10" t="inlineStr">
        <is>
          <t>こくちーずプロ</t>
        </is>
      </c>
      <c r="K44" s="10" t="inlineStr">
        <is>
          <t>オンライン</t>
        </is>
      </c>
      <c r="L44" s="10" t="inlineStr">
        <is>
          <t>オンライン 日本</t>
        </is>
      </c>
      <c r="M44" s="10" t="inlineStr">
        <is>
          <t>生産性向上・業務効率化</t>
        </is>
      </c>
      <c r="N44" s="10" t="inlineStr">
        <is>
          <t>AIエージェント</t>
        </is>
      </c>
      <c r="O44" s="12" t="inlineStr">
        <is>
          <t>○</t>
        </is>
      </c>
      <c r="P44" s="13" t="n">
        <v>0</v>
      </c>
      <c r="Q44" s="12" t="inlineStr">
        <is>
          <t>イベント参加 0/20</t>
        </is>
      </c>
      <c r="R44" s="14" t="n">
        <v>20</v>
      </c>
      <c r="S44" s="10" t="n"/>
      <c r="T44" s="10" t="inlineStr">
        <is>
          <t>「攻めと守り」のDX×採用戦略 〜内部効率化 × 採用ブランディングで応募数・定着率を同時に伸ばす攻守一体戦略〜 【このようなお悩みはありませんか？】 多くの企業が直面している「人手不足」という経営課題。 人材確保や業務効率化、組織の生産性向上は、いま多くの企業にとって重要なテーマとなっています。 その解決には、「DXによる業務の標準化・省力化」といった社内基盤の強化に加え、求職者の検索行動を踏まえた「風評被害対策・採用ブランディング」</t>
        </is>
      </c>
      <c r="U44" s="15" t="inlineStr">
        <is>
          <t>https://www.kokuchpro.com/event/cde4ce2c4b7294f0c83ee873f871ae9c/</t>
        </is>
      </c>
      <c r="V44" s="10" t="n"/>
      <c r="W44" s="10" t="inlineStr">
        <is>
          <t>本文一致</t>
        </is>
      </c>
      <c r="X44" s="10" t="n"/>
    </row>
    <row r="45">
      <c r="A45" s="10" t="n">
        <v>44</v>
      </c>
      <c r="B45" s="11" t="n">
        <v>46211</v>
      </c>
      <c r="C45" s="11" t="n">
        <v>46211</v>
      </c>
      <c r="D45" s="10">
        <f>MONTH(B45)&amp;"月"</f>
        <v/>
      </c>
      <c r="E45" s="12" t="n">
        <v>1</v>
      </c>
      <c r="F45" s="10" t="n"/>
      <c r="G45" s="10" t="inlineStr">
        <is>
          <t>金融機関における外部委託先管理・サードパーティリスク管理とITガバナンス・リスクの最前線</t>
        </is>
      </c>
      <c r="H45" s="10" t="inlineStr">
        <is>
          <t>株式会社セミナーインフォ（講師: DiGRIT Technologies株式会社 代表 鬼塚 智義 氏）</t>
        </is>
      </c>
      <c r="I45" s="10" t="n"/>
      <c r="J45" s="10" t="inlineStr">
        <is>
          <t>セミナー情報.com</t>
        </is>
      </c>
      <c r="K45" s="10" t="inlineStr">
        <is>
          <t>会場 / オンライン</t>
        </is>
      </c>
      <c r="L45" s="10" t="n"/>
      <c r="M45" s="10" t="inlineStr">
        <is>
          <t>生産性向上・業務効率化</t>
        </is>
      </c>
      <c r="N45" s="10" t="inlineStr">
        <is>
          <t>AIエージェント</t>
        </is>
      </c>
      <c r="O45" s="12" t="inlineStr">
        <is>
          <t>○</t>
        </is>
      </c>
      <c r="P45" s="13" t="n"/>
      <c r="Q45" s="12" t="inlineStr">
        <is>
          <t>不明</t>
        </is>
      </c>
      <c r="R45" s="14" t="n"/>
      <c r="S45" s="10" t="n"/>
      <c r="T45" s="10" t="inlineStr">
        <is>
          <t>(詳細ページは再配信ページへ転送: https://seminar-info.jp/entry/seminars/view/3/6886) ※本セミナーは2026/7/8に開催・収録したセミナーの リバイバル配信 です。 【本セミナーで得られること】 （例） ・金融機関に求められるITガバナンスの全体像と最新動向の体系的理解 ・サードパーティリスク管理（TPRM）の設計・運用ポイント ・AI・クラウド・PQCなど新興リスク領域への具体的</t>
        </is>
      </c>
      <c r="U45" s="15" t="inlineStr">
        <is>
          <t>https://www.seminar-info.jp/entry/seminars/view/3/6845</t>
        </is>
      </c>
      <c r="V45" s="10" t="n"/>
      <c r="W45" s="10" t="inlineStr">
        <is>
          <t>本文一致</t>
        </is>
      </c>
      <c r="X45" s="10" t="n"/>
    </row>
    <row r="46">
      <c r="A46" s="10" t="n">
        <v>45</v>
      </c>
      <c r="B46" s="11" t="n">
        <v>46212</v>
      </c>
      <c r="C46" s="11" t="n">
        <v>46212</v>
      </c>
      <c r="D46" s="10">
        <f>MONTH(B46)&amp;"月"</f>
        <v/>
      </c>
      <c r="E46" s="12" t="n">
        <v>1</v>
      </c>
      <c r="F46" s="10" t="n"/>
      <c r="G46" s="10" t="inlineStr">
        <is>
          <t>Instagram・Threads×Claude Codeセミナー</t>
        </is>
      </c>
      <c r="H46" s="10" t="inlineStr">
        <is>
          <t>AIの学校 AI Crew事務局</t>
        </is>
      </c>
      <c r="I46" s="10" t="n"/>
      <c r="J46" s="10" t="inlineStr">
        <is>
          <t>こくちーずプロ</t>
        </is>
      </c>
      <c r="K46" s="10" t="inlineStr">
        <is>
          <t>オンライン</t>
        </is>
      </c>
      <c r="L46" s="10" t="inlineStr">
        <is>
          <t>オンライン 日本</t>
        </is>
      </c>
      <c r="M46" s="10" t="inlineStr">
        <is>
          <t>開発生産性</t>
        </is>
      </c>
      <c r="N46" s="10" t="inlineStr">
        <is>
          <t>AIエージェント</t>
        </is>
      </c>
      <c r="O46" s="12" t="inlineStr">
        <is>
          <t>○</t>
        </is>
      </c>
      <c r="P46" s="13" t="n"/>
      <c r="Q46" s="12" t="inlineStr">
        <is>
          <t>不明</t>
        </is>
      </c>
      <c r="R46" s="14" t="n"/>
      <c r="S46" s="10" t="n"/>
      <c r="T46" s="10" t="inlineStr">
        <is>
          <t xml:space="preserve">Instagram・Threads×Claude Code 業界激震セミナー Welcome to 新時代。 Instagram・Threads発信者の皆さま、お待たせしました。 これまで一人で頑張ってきたSNS運用を、これからは「AIチーム」と一緒に進める時代です。 今回のセミナーでは、みやっち‍が実際にInstagram・Threads運用をどのようにClaude Codeで自動化・仕組み化しているのかを、初めて一気に公開します。 </t>
        </is>
      </c>
      <c r="U46" s="15" t="inlineStr">
        <is>
          <t>https://www.kokuchpro.com/event/260709_claudecode/</t>
        </is>
      </c>
      <c r="V46" s="10" t="n"/>
      <c r="W46" s="10" t="inlineStr">
        <is>
          <t>タイトル一致</t>
        </is>
      </c>
      <c r="X46" s="10" t="n"/>
    </row>
    <row r="47">
      <c r="A47" s="10" t="n">
        <v>46</v>
      </c>
      <c r="B47" s="11" t="n">
        <v>46212</v>
      </c>
      <c r="C47" s="11" t="n">
        <v>46289</v>
      </c>
      <c r="D47" s="10">
        <f>MONTH(B47)&amp;"月"</f>
        <v/>
      </c>
      <c r="E47" s="12" t="n">
        <v>10</v>
      </c>
      <c r="F47" s="10" t="inlineStr">
        <is>
          <t>07/09、07/16、07/23、07/30、08/13、08/20、08/27、09/03、09/17、09/24</t>
        </is>
      </c>
      <c r="G47" s="10" t="inlineStr">
        <is>
          <t>なんもわからん人の論文読み会（AIエージェントの未来：Foundation Agents）#41</t>
        </is>
      </c>
      <c r="H47" s="10" t="inlineStr">
        <is>
          <t>なんもわからん人の論文、書籍読み会</t>
        </is>
      </c>
      <c r="I47" s="10" t="n"/>
      <c r="J47" s="10" t="inlineStr">
        <is>
          <t>connpass</t>
        </is>
      </c>
      <c r="K47" s="10" t="inlineStr">
        <is>
          <t>オンライン</t>
        </is>
      </c>
      <c r="L47" s="10" t="inlineStr">
        <is>
          <t>オンライン</t>
        </is>
      </c>
      <c r="M47" s="10" t="inlineStr">
        <is>
          <t>技術・AI全般</t>
        </is>
      </c>
      <c r="N47" s="10" t="inlineStr">
        <is>
          <t>AIエージェント</t>
        </is>
      </c>
      <c r="O47" s="12" t="inlineStr">
        <is>
          <t>○</t>
        </is>
      </c>
      <c r="P47" s="13" t="n">
        <v>68</v>
      </c>
      <c r="Q47" s="12" t="inlineStr">
        <is>
          <t>参加者数</t>
        </is>
      </c>
      <c r="R47" s="14" t="n"/>
      <c r="S47" s="10" t="inlineStr">
        <is>
          <t>全10回の合計</t>
        </is>
      </c>
      <c r="T47" s="10" t="n"/>
      <c r="U47" s="15" t="inlineStr">
        <is>
          <t>https://wakaran-reading.connpass.com/event/398586/</t>
        </is>
      </c>
      <c r="V47" s="10" t="n"/>
      <c r="W47" s="10" t="inlineStr">
        <is>
          <t>タイトル一致</t>
        </is>
      </c>
      <c r="X47" s="10" t="n"/>
    </row>
    <row r="48">
      <c r="A48" s="10" t="n">
        <v>47</v>
      </c>
      <c r="B48" s="11" t="n">
        <v>46212</v>
      </c>
      <c r="C48" s="11" t="n">
        <v>46212</v>
      </c>
      <c r="D48" s="10">
        <f>MONTH(B48)&amp;"月"</f>
        <v/>
      </c>
      <c r="E48" s="12" t="n">
        <v>1</v>
      </c>
      <c r="F48" s="10" t="n"/>
      <c r="G48" s="10" t="inlineStr">
        <is>
          <t>松尾研はこうAIを制御するのか AIエージェントの精度を担保・改善する仕組みエージェントハーネスとは</t>
        </is>
      </c>
      <c r="H48" s="10" t="inlineStr">
        <is>
          <t>#Offers_DeepDive / オファーズ</t>
        </is>
      </c>
      <c r="I48" s="10" t="n"/>
      <c r="J48" s="10" t="inlineStr">
        <is>
          <t>connpass</t>
        </is>
      </c>
      <c r="K48" s="10" t="inlineStr">
        <is>
          <t>オンライン</t>
        </is>
      </c>
      <c r="L48" s="10" t="inlineStr">
        <is>
          <t>オンライン</t>
        </is>
      </c>
      <c r="M48" s="10" t="inlineStr">
        <is>
          <t>技術・AI全般</t>
        </is>
      </c>
      <c r="N48" s="10" t="inlineStr">
        <is>
          <t>AIエージェント</t>
        </is>
      </c>
      <c r="O48" s="12" t="inlineStr">
        <is>
          <t>○</t>
        </is>
      </c>
      <c r="P48" s="13" t="n">
        <v>305</v>
      </c>
      <c r="Q48" s="12" t="inlineStr">
        <is>
          <t>参加者数</t>
        </is>
      </c>
      <c r="R48" s="14" t="n"/>
      <c r="S48" s="10" t="n"/>
      <c r="T48" s="10" t="n"/>
      <c r="U48" s="15" t="inlineStr">
        <is>
          <t>https://offers-jp.connpass.com/event/396197/</t>
        </is>
      </c>
      <c r="V48" s="10" t="n"/>
      <c r="W48" s="10" t="inlineStr">
        <is>
          <t>タイトル一致</t>
        </is>
      </c>
      <c r="X48" s="10" t="n"/>
    </row>
    <row r="49">
      <c r="A49" s="10" t="n">
        <v>48</v>
      </c>
      <c r="B49" s="11" t="n">
        <v>46212</v>
      </c>
      <c r="C49" s="11" t="n">
        <v>46213</v>
      </c>
      <c r="D49" s="10">
        <f>MONTH(B49)&amp;"月"</f>
        <v/>
      </c>
      <c r="E49" s="12" t="n">
        <v>1</v>
      </c>
      <c r="F49" s="10" t="n"/>
      <c r="G49" s="10" t="inlineStr">
        <is>
          <t>製造業DXサミット2026〜AIとデータの時代へ動き始めた製造業の未来像〜</t>
        </is>
      </c>
      <c r="H49" s="10" t="inlineStr">
        <is>
          <t>日経クロステック（日経BP）</t>
        </is>
      </c>
      <c r="I49" s="10" t="n"/>
      <c r="J49" s="10" t="inlineStr">
        <is>
          <t>個別調査（公式サイト・PR TIMES等）</t>
        </is>
      </c>
      <c r="K49" s="10" t="inlineStr">
        <is>
          <t>オンライン</t>
        </is>
      </c>
      <c r="L49" s="10" t="n"/>
      <c r="M49" s="10" t="inlineStr">
        <is>
          <t>生産管理・製造・SCM</t>
        </is>
      </c>
      <c r="N49" s="10" t="inlineStr">
        <is>
          <t>AIエージェント</t>
        </is>
      </c>
      <c r="O49" s="12" t="inlineStr">
        <is>
          <t>◎</t>
        </is>
      </c>
      <c r="P49" s="13" t="n"/>
      <c r="Q49" s="12" t="inlineStr">
        <is>
          <t>不明</t>
        </is>
      </c>
      <c r="R49" s="14" t="n"/>
      <c r="S49" s="10" t="n"/>
      <c r="T49" s="10" t="inlineStr">
        <is>
          <t>データとAIの活用による製造業DXがテーマ。システムをまたいで業務を支援するAIエージェントや、フィジカルAIのセッションがある。</t>
        </is>
      </c>
      <c r="U49" s="15" t="inlineStr">
        <is>
          <t>https://events.nikkeibp.co.jp/event/2026/nxt0709/</t>
        </is>
      </c>
      <c r="V49" s="10" t="n"/>
      <c r="W49" s="10" t="inlineStr">
        <is>
          <t>個別確認</t>
        </is>
      </c>
      <c r="X49" s="10" t="n"/>
    </row>
    <row r="50">
      <c r="A50" s="10" t="n">
        <v>49</v>
      </c>
      <c r="B50" s="11" t="n">
        <v>46213</v>
      </c>
      <c r="C50" s="11" t="n">
        <v>46213</v>
      </c>
      <c r="D50" s="10">
        <f>MONTH(B50)&amp;"月"</f>
        <v/>
      </c>
      <c r="E50" s="12" t="n">
        <v>1</v>
      </c>
      <c r="F50" s="10" t="n"/>
      <c r="G50" s="10" t="inlineStr">
        <is>
          <t>7/10(金)今からキャッチアップ「SalesforceインプリをAgentとやるってどんな感じ？」</t>
        </is>
      </c>
      <c r="H50" s="10" t="inlineStr">
        <is>
          <t>namespace</t>
        </is>
      </c>
      <c r="I50" s="10" t="n"/>
      <c r="J50" s="10" t="inlineStr">
        <is>
          <t>connpass</t>
        </is>
      </c>
      <c r="K50" s="10" t="inlineStr">
        <is>
          <t>会場</t>
        </is>
      </c>
      <c r="L50" s="10" t="inlineStr">
        <is>
          <t>東京都江東区常盤2-5-2 常盤マンション1階テナント</t>
        </is>
      </c>
      <c r="M50" s="10" t="inlineStr">
        <is>
          <t>営業・マーケ・CS</t>
        </is>
      </c>
      <c r="N50" s="10" t="inlineStr">
        <is>
          <t>AIエージェント</t>
        </is>
      </c>
      <c r="O50" s="12" t="inlineStr">
        <is>
          <t>◎</t>
        </is>
      </c>
      <c r="P50" s="13" t="n"/>
      <c r="Q50" s="12" t="inlineStr">
        <is>
          <t>不明</t>
        </is>
      </c>
      <c r="R50" s="14" t="n"/>
      <c r="S50" s="10" t="n"/>
      <c r="T50" s="10" t="n"/>
      <c r="U50" s="15" t="inlineStr">
        <is>
          <t>https://namespace.connpass.com/event/395095/</t>
        </is>
      </c>
      <c r="V50" s="10" t="n"/>
      <c r="W50" s="10" t="inlineStr">
        <is>
          <t>タイトル一致</t>
        </is>
      </c>
      <c r="X50" s="10" t="n"/>
    </row>
    <row r="51">
      <c r="A51" s="10" t="n">
        <v>50</v>
      </c>
      <c r="B51" s="11" t="n">
        <v>46213</v>
      </c>
      <c r="C51" s="11" t="n">
        <v>46213</v>
      </c>
      <c r="D51" s="10">
        <f>MONTH(B51)&amp;"月"</f>
        <v/>
      </c>
      <c r="E51" s="12" t="n">
        <v>1</v>
      </c>
      <c r="F51" s="10" t="n"/>
      <c r="G51" s="10" t="inlineStr">
        <is>
          <t>AIエージェントキャッチアップ #83 - AgentSpace</t>
        </is>
      </c>
      <c r="H51" s="10" t="inlineStr">
        <is>
          <t>ジェネラティブエージェンツ / Generative Agents</t>
        </is>
      </c>
      <c r="I51" s="10" t="n"/>
      <c r="J51" s="10" t="inlineStr">
        <is>
          <t>connpass</t>
        </is>
      </c>
      <c r="K51" s="10" t="inlineStr">
        <is>
          <t>オンライン</t>
        </is>
      </c>
      <c r="L51" s="10" t="inlineStr">
        <is>
          <t>オンライン</t>
        </is>
      </c>
      <c r="M51" s="10" t="inlineStr">
        <is>
          <t>技術・AI全般</t>
        </is>
      </c>
      <c r="N51" s="10" t="inlineStr">
        <is>
          <t>AIエージェント</t>
        </is>
      </c>
      <c r="O51" s="12" t="inlineStr">
        <is>
          <t>○</t>
        </is>
      </c>
      <c r="P51" s="13" t="n">
        <v>64</v>
      </c>
      <c r="Q51" s="12" t="inlineStr">
        <is>
          <t>参加者数</t>
        </is>
      </c>
      <c r="R51" s="14" t="n">
        <v>200</v>
      </c>
      <c r="S51" s="10" t="n"/>
      <c r="T51" s="10" t="n"/>
      <c r="U51" s="15" t="inlineStr">
        <is>
          <t>https://generative-agents.connpass.com/event/398435/</t>
        </is>
      </c>
      <c r="V51" s="10" t="n"/>
      <c r="W51" s="10" t="inlineStr">
        <is>
          <t>タイトル一致</t>
        </is>
      </c>
      <c r="X51" s="10" t="n"/>
    </row>
    <row r="52">
      <c r="A52" s="10" t="n">
        <v>51</v>
      </c>
      <c r="B52" s="11" t="n">
        <v>46213</v>
      </c>
      <c r="C52" s="11" t="n">
        <v>46213</v>
      </c>
      <c r="D52" s="10">
        <f>MONTH(B52)&amp;"月"</f>
        <v/>
      </c>
      <c r="E52" s="12" t="n">
        <v>1</v>
      </c>
      <c r="F52" s="10" t="n"/>
      <c r="G52" s="10" t="inlineStr">
        <is>
          <t>Claude Code開発ノウハウ大公開スペシャル by クラスメソッド</t>
        </is>
      </c>
      <c r="H52" s="10" t="inlineStr">
        <is>
          <t>クラスメソッド株式会社</t>
        </is>
      </c>
      <c r="I52" s="10" t="n"/>
      <c r="J52" s="10" t="inlineStr">
        <is>
          <t>connpass</t>
        </is>
      </c>
      <c r="K52" s="10" t="inlineStr">
        <is>
          <t>会場</t>
        </is>
      </c>
      <c r="L52" s="10" t="inlineStr">
        <is>
          <t>大阪府大阪市中央区伏見町3-6-3 三菱UFJ信託銀行大阪ビル8階</t>
        </is>
      </c>
      <c r="M52" s="10" t="inlineStr">
        <is>
          <t>開発生産性</t>
        </is>
      </c>
      <c r="N52" s="10" t="inlineStr">
        <is>
          <t>AIエージェント</t>
        </is>
      </c>
      <c r="O52" s="12" t="inlineStr">
        <is>
          <t>○</t>
        </is>
      </c>
      <c r="P52" s="13" t="n">
        <v>520</v>
      </c>
      <c r="Q52" s="12" t="inlineStr">
        <is>
          <t>参加者数</t>
        </is>
      </c>
      <c r="R52" s="14" t="n"/>
      <c r="S52" s="10" t="n"/>
      <c r="T52" s="10" t="n"/>
      <c r="U52" s="15" t="inlineStr">
        <is>
          <t>https://classmethod.connpass.com/event/395374/</t>
        </is>
      </c>
      <c r="V52" s="10" t="n"/>
      <c r="W52" s="10" t="inlineStr">
        <is>
          <t>タイトル一致</t>
        </is>
      </c>
      <c r="X52" s="10" t="n"/>
    </row>
    <row r="53">
      <c r="A53" s="10" t="n">
        <v>52</v>
      </c>
      <c r="B53" s="11" t="n">
        <v>46213</v>
      </c>
      <c r="C53" s="11" t="n">
        <v>46260</v>
      </c>
      <c r="D53" s="10">
        <f>MONTH(B53)&amp;"月"</f>
        <v/>
      </c>
      <c r="E53" s="12" t="n">
        <v>2</v>
      </c>
      <c r="F53" s="10" t="inlineStr">
        <is>
          <t>07/10、08/26</t>
        </is>
      </c>
      <c r="G53" s="10" t="inlineStr">
        <is>
          <t>ClaudeCodeMeetupOsaka vol.2</t>
        </is>
      </c>
      <c r="H53" s="10" t="inlineStr">
        <is>
          <t>AIエージェントユーザー会（AIAU）</t>
        </is>
      </c>
      <c r="I53" s="10" t="n"/>
      <c r="J53" s="10" t="inlineStr">
        <is>
          <t>connpass</t>
        </is>
      </c>
      <c r="K53" s="10" t="inlineStr">
        <is>
          <t>会場</t>
        </is>
      </c>
      <c r="L53" s="10" t="inlineStr">
        <is>
          <t>〒530-0001 大阪府大阪市北区梅田3丁目1番3号 ノースゲートビルディング</t>
        </is>
      </c>
      <c r="M53" s="10" t="inlineStr">
        <is>
          <t>営業・マーケ・CS</t>
        </is>
      </c>
      <c r="N53" s="10" t="inlineStr">
        <is>
          <t>AIエージェント</t>
        </is>
      </c>
      <c r="O53" s="12" t="inlineStr">
        <is>
          <t>◎</t>
        </is>
      </c>
      <c r="P53" s="13" t="n">
        <v>116</v>
      </c>
      <c r="Q53" s="12" t="inlineStr">
        <is>
          <t>参加者数</t>
        </is>
      </c>
      <c r="R53" s="14" t="n">
        <v>137</v>
      </c>
      <c r="S53" s="10" t="inlineStr">
        <is>
          <t>全2回の合計</t>
        </is>
      </c>
      <c r="T53" s="10" t="n"/>
      <c r="U53" s="15" t="inlineStr">
        <is>
          <t>https://aiau.connpass.com/event/394831/</t>
        </is>
      </c>
      <c r="V53" s="10" t="n"/>
      <c r="W53" s="10" t="inlineStr">
        <is>
          <t>タイトル一致</t>
        </is>
      </c>
      <c r="X53" s="10" t="n"/>
    </row>
    <row r="54">
      <c r="A54" s="10" t="n">
        <v>53</v>
      </c>
      <c r="B54" s="11" t="n">
        <v>46213</v>
      </c>
      <c r="C54" s="11" t="n">
        <v>46213</v>
      </c>
      <c r="D54" s="10">
        <f>MONTH(B54)&amp;"月"</f>
        <v/>
      </c>
      <c r="E54" s="12" t="n">
        <v>1</v>
      </c>
      <c r="F54" s="10" t="n"/>
      <c r="G54" s="10" t="inlineStr">
        <is>
          <t>RAGの限界を超える!MCPで実現する正確なAIデータ活用</t>
        </is>
      </c>
      <c r="H54" s="10" t="inlineStr">
        <is>
          <t>スノーリーズ株式会社 セミナー事務局</t>
        </is>
      </c>
      <c r="I54" s="10" t="n"/>
      <c r="J54" s="10" t="inlineStr">
        <is>
          <t>こくちーずプロ</t>
        </is>
      </c>
      <c r="K54" s="10" t="inlineStr">
        <is>
          <t>オンライン</t>
        </is>
      </c>
      <c r="L54" s="10" t="inlineStr">
        <is>
          <t>オンライン 日本</t>
        </is>
      </c>
      <c r="M54" s="10" t="inlineStr">
        <is>
          <t>生産管理・製造・SCM</t>
        </is>
      </c>
      <c r="N54" s="10" t="inlineStr">
        <is>
          <t>MCP</t>
        </is>
      </c>
      <c r="O54" s="12" t="inlineStr">
        <is>
          <t>◎</t>
        </is>
      </c>
      <c r="P54" s="13" t="n"/>
      <c r="Q54" s="12" t="inlineStr">
        <is>
          <t>不明</t>
        </is>
      </c>
      <c r="R54" s="14" t="n"/>
      <c r="S54" s="10" t="n"/>
      <c r="T54" s="10" t="inlineStr">
        <is>
          <t>AI活用は、いま大きな転換期を迎えています。 「AIを入れたのに、結局Excelで集計している」——そのままでいいですか？ 生成AIを試した多くの企業が、こんな現実に直面しています。 RAGを導入したが、数値の回答が信用できず人手でチェックが発生 レポート作成のためにシステムからデータを抽出する作業が毎月続く AIに社内データを連携させたいが、やり方がわからず止まっている その原因は、ツールの問題ではなくAIとデータの"つなぎ方"にあり</t>
        </is>
      </c>
      <c r="U54" s="15" t="inlineStr">
        <is>
          <t>https://www.kokuchpro.com/event/74c3aed9a16d9d1838ba976b1b7a5170/3830827/</t>
        </is>
      </c>
      <c r="V54" s="10" t="n"/>
      <c r="W54" s="10" t="inlineStr">
        <is>
          <t>タイトル一致</t>
        </is>
      </c>
      <c r="X54" s="10" t="n"/>
    </row>
    <row r="55">
      <c r="A55" s="10" t="n">
        <v>54</v>
      </c>
      <c r="B55" s="11" t="n">
        <v>46213</v>
      </c>
      <c r="C55" s="11" t="n">
        <v>46213</v>
      </c>
      <c r="D55" s="10">
        <f>MONTH(B55)&amp;"月"</f>
        <v/>
      </c>
      <c r="E55" s="12" t="n">
        <v>1</v>
      </c>
      <c r="F55" s="10" t="n"/>
      <c r="G55" s="10" t="inlineStr">
        <is>
          <t>【エキスパート講座】実務で差がつく！生成AIアウトプット実践・比較マスター講座（2日間講座）</t>
        </is>
      </c>
      <c r="H55" s="10" t="inlineStr">
        <is>
          <t>一般社団法人ウェブ解析士協会 講座企画運営部（担当：沖本一生）</t>
        </is>
      </c>
      <c r="I55" s="10" t="n"/>
      <c r="J55" s="10" t="inlineStr">
        <is>
          <t>Doorkeeper</t>
        </is>
      </c>
      <c r="K55" s="10" t="inlineStr">
        <is>
          <t>不明</t>
        </is>
      </c>
      <c r="L55" s="10" t="n"/>
      <c r="M55" s="10" t="inlineStr">
        <is>
          <t>営業・マーケ・CS</t>
        </is>
      </c>
      <c r="N55" s="10" t="inlineStr">
        <is>
          <t>AIエージェント</t>
        </is>
      </c>
      <c r="O55" s="12" t="inlineStr">
        <is>
          <t>○</t>
        </is>
      </c>
      <c r="P55" s="13" t="n">
        <v>0</v>
      </c>
      <c r="Q55" s="12" t="inlineStr">
        <is>
          <t>参加者数</t>
        </is>
      </c>
      <c r="R55" s="14" t="n"/>
      <c r="S55" s="10" t="n"/>
      <c r="T55" s="10" t="inlineStr">
        <is>
          <t xml:space="preserve"> 講座概要 こちらの講座は、7/10（金）13:00～14:30、7/17（金）13:00～14:30 の２日間講座となります。 本講座は、生成AIを単なる「検索ツール」や「要約ツール」としてではなく、Webマーケティング実務における「優秀なアシスタント」としてフル活用するための実践型ワークショップです。 世の中には多数の生成AI（ChatGPT、Claude、Geminiなど）が存在しますが、実はそれぞれ「得意なアウトプット」が異なり</t>
        </is>
      </c>
      <c r="U55" s="15" t="inlineStr">
        <is>
          <t>https://web-mining.doorkeeper.jp/events/197927</t>
        </is>
      </c>
      <c r="V55" s="10" t="n"/>
      <c r="W55" s="10" t="inlineStr">
        <is>
          <t>本文一致</t>
        </is>
      </c>
      <c r="X55" s="10" t="n"/>
    </row>
    <row r="56">
      <c r="A56" s="10" t="n">
        <v>55</v>
      </c>
      <c r="B56" s="11" t="n">
        <v>46213</v>
      </c>
      <c r="C56" s="11" t="n">
        <v>46213</v>
      </c>
      <c r="D56" s="10">
        <f>MONTH(B56)&amp;"月"</f>
        <v/>
      </c>
      <c r="E56" s="12" t="n">
        <v>1</v>
      </c>
      <c r="F56" s="10" t="n"/>
      <c r="G56" s="10" t="inlineStr">
        <is>
          <t>【大阪・北浜】SES×AI活用開発交流会|案件を探す会社・人材を探す会社・開発を依頼したい会社が集まる交流会</t>
        </is>
      </c>
      <c r="H56" s="10" t="inlineStr">
        <is>
          <t>株式会社ユニオン</t>
        </is>
      </c>
      <c r="I56" s="10" t="n"/>
      <c r="J56" s="10" t="inlineStr">
        <is>
          <t>こくちーずプロ</t>
        </is>
      </c>
      <c r="K56" s="10" t="inlineStr">
        <is>
          <t>オフライン（会場）</t>
        </is>
      </c>
      <c r="L56" s="10" t="inlineStr">
        <is>
          <t>北浜BASE 大阪府大阪市中央区伏見町2-2-10 谷ビル5F</t>
        </is>
      </c>
      <c r="M56" s="10" t="inlineStr">
        <is>
          <t>開発生産性</t>
        </is>
      </c>
      <c r="N56" s="10" t="inlineStr">
        <is>
          <t>AIエージェント</t>
        </is>
      </c>
      <c r="O56" s="12" t="inlineStr">
        <is>
          <t>△</t>
        </is>
      </c>
      <c r="P56" s="13" t="n"/>
      <c r="Q56" s="12" t="inlineStr">
        <is>
          <t>不明</t>
        </is>
      </c>
      <c r="R56" s="14" t="n"/>
      <c r="S56" s="10" t="n"/>
      <c r="T56" s="10" t="inlineStr">
        <is>
          <t xml:space="preserve">いま、AIの急速な進化により、システム開発業界は大きな転換期を迎えています。 そして、多くの企業も次のような課題を抱えています。 開発案件はあるが開発人材が足りない 優秀なエンジニア人材はいるが案件が不足している システムやAIを導入したいが、誰に相談すればよいかわからない 信頼できる開発会社や協業先を探している AIを活用した新しいビジネスを模索している そこで今回、 「案件を探す会社」 「人材を探す会社」 「開発を発注したい会社」 </t>
        </is>
      </c>
      <c r="U56" s="15" t="inlineStr">
        <is>
          <t>https://www.kokuchpro.com/event/union710/</t>
        </is>
      </c>
      <c r="V56" s="10" t="n"/>
      <c r="W56" s="10" t="inlineStr">
        <is>
          <t>本文一致</t>
        </is>
      </c>
      <c r="X56" s="10" t="n"/>
    </row>
    <row r="57">
      <c r="A57" s="10" t="n">
        <v>56</v>
      </c>
      <c r="B57" s="11" t="n">
        <v>46213</v>
      </c>
      <c r="C57" s="11" t="n">
        <v>46213</v>
      </c>
      <c r="D57" s="10">
        <f>MONTH(B57)&amp;"月"</f>
        <v/>
      </c>
      <c r="E57" s="12" t="n">
        <v>1</v>
      </c>
      <c r="F57" s="10" t="n"/>
      <c r="G57" s="10" t="inlineStr">
        <is>
          <t>インフラ作業を生成AI（ClaudeCode）にどこまで任せるか</t>
        </is>
      </c>
      <c r="H57" s="10" t="inlineStr">
        <is>
          <t>Scalar</t>
        </is>
      </c>
      <c r="I57" s="10" t="n"/>
      <c r="J57" s="10" t="inlineStr">
        <is>
          <t>connpass</t>
        </is>
      </c>
      <c r="K57" s="10" t="inlineStr">
        <is>
          <t>オンライン</t>
        </is>
      </c>
      <c r="L57" s="10" t="inlineStr">
        <is>
          <t>オンライン</t>
        </is>
      </c>
      <c r="M57" s="10" t="inlineStr">
        <is>
          <t>営業・マーケ・CS</t>
        </is>
      </c>
      <c r="N57" s="10" t="inlineStr">
        <is>
          <t>AIエージェント</t>
        </is>
      </c>
      <c r="O57" s="12" t="inlineStr">
        <is>
          <t>◎</t>
        </is>
      </c>
      <c r="P57" s="13" t="n">
        <v>28</v>
      </c>
      <c r="Q57" s="12" t="inlineStr">
        <is>
          <t>参加者数</t>
        </is>
      </c>
      <c r="R57" s="14" t="n">
        <v>100</v>
      </c>
      <c r="S57" s="10" t="n"/>
      <c r="T57" s="10" t="n"/>
      <c r="U57" s="15" t="inlineStr">
        <is>
          <t>https://scalar.connpass.com/event/399339/</t>
        </is>
      </c>
      <c r="V57" s="10" t="n"/>
      <c r="W57" s="10" t="inlineStr">
        <is>
          <t>タイトル一致</t>
        </is>
      </c>
      <c r="X57" s="10" t="n"/>
    </row>
    <row r="58">
      <c r="A58" s="10" t="n">
        <v>57</v>
      </c>
      <c r="B58" s="11" t="n">
        <v>46213</v>
      </c>
      <c r="C58" s="11" t="n">
        <v>46213</v>
      </c>
      <c r="D58" s="10">
        <f>MONTH(B58)&amp;"月"</f>
        <v/>
      </c>
      <c r="E58" s="12" t="n">
        <v>1</v>
      </c>
      <c r="F58" s="10" t="n"/>
      <c r="G58" s="10" t="inlineStr">
        <is>
          <t>ランサムに狙われるVPN、パッチ対応を少人数情シスで抱え続けるのはもう限界？ 〜VPNとZTNAの併存運用で、業務を止めずに段階的に手放す方法〜</t>
        </is>
      </c>
      <c r="H58" s="10" t="inlineStr">
        <is>
          <t>三信電気株式会社 シスコシステムズ合同会社</t>
        </is>
      </c>
      <c r="I58" s="10" t="inlineStr">
        <is>
          <t>三信電気株式会社 シスコシステムズ合同会社</t>
        </is>
      </c>
      <c r="J58" s="10" t="inlineStr">
        <is>
          <t>Doorkeeper</t>
        </is>
      </c>
      <c r="K58" s="10" t="inlineStr">
        <is>
          <t>不明</t>
        </is>
      </c>
      <c r="L58" s="10" t="n"/>
      <c r="M58" s="10" t="inlineStr">
        <is>
          <t>生産性向上・業務効率化</t>
        </is>
      </c>
      <c r="N58" s="10" t="inlineStr">
        <is>
          <t>AIエージェント</t>
        </is>
      </c>
      <c r="O58" s="12" t="inlineStr">
        <is>
          <t>○</t>
        </is>
      </c>
      <c r="P58" s="13" t="n">
        <v>0</v>
      </c>
      <c r="Q58" s="12" t="inlineStr">
        <is>
          <t>参加者数</t>
        </is>
      </c>
      <c r="R58" s="14" t="n"/>
      <c r="S58" s="10" t="n"/>
      <c r="T58"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ランサム攻撃で狙われるVPN機器 ランサムウェア被害が深刻化する今、多くの企業で最大の「侵入経路」となっているのがVPN機器です。クラウド活用が進む一方で、「社内システムへのアクセスのために、古いオンプ</t>
        </is>
      </c>
      <c r="U58" s="15" t="inlineStr">
        <is>
          <t>https://majisemi-security.doorkeeper.jp/events/197789</t>
        </is>
      </c>
      <c r="V58" s="10" t="n"/>
      <c r="W58" s="10" t="inlineStr">
        <is>
          <t>本文一致</t>
        </is>
      </c>
      <c r="X58" s="10" t="n"/>
    </row>
    <row r="59">
      <c r="A59" s="10" t="n">
        <v>58</v>
      </c>
      <c r="B59" s="11" t="n">
        <v>46213</v>
      </c>
      <c r="C59" s="11" t="n">
        <v>46213</v>
      </c>
      <c r="D59" s="10">
        <f>MONTH(B59)&amp;"月"</f>
        <v/>
      </c>
      <c r="E59" s="12" t="n">
        <v>1</v>
      </c>
      <c r="F59" s="10" t="n"/>
      <c r="G59" s="10" t="inlineStr">
        <is>
          <t>社内システム × AI連携「MCP」入門 今日から使える業務効率化の新常識</t>
        </is>
      </c>
      <c r="H59" s="10" t="inlineStr">
        <is>
          <t>スノーリーズ株式会社 セミナー事務局</t>
        </is>
      </c>
      <c r="I59" s="10" t="n"/>
      <c r="J59" s="10" t="inlineStr">
        <is>
          <t>こくちーずプロ</t>
        </is>
      </c>
      <c r="K59" s="10" t="inlineStr">
        <is>
          <t>オンライン</t>
        </is>
      </c>
      <c r="L59" s="10" t="inlineStr">
        <is>
          <t>オンライン 日本</t>
        </is>
      </c>
      <c r="M59" s="10" t="inlineStr">
        <is>
          <t>生産性向上・業務効率化</t>
        </is>
      </c>
      <c r="N59" s="10" t="inlineStr">
        <is>
          <t>両方</t>
        </is>
      </c>
      <c r="O59" s="12" t="inlineStr">
        <is>
          <t>◎</t>
        </is>
      </c>
      <c r="P59" s="13" t="n"/>
      <c r="Q59" s="12" t="inlineStr">
        <is>
          <t>不明</t>
        </is>
      </c>
      <c r="R59" s="14" t="n"/>
      <c r="S59" s="10" t="n"/>
      <c r="T59" s="10" t="inlineStr">
        <is>
          <t>「また同じ質問が来た」「どこに情報があるかわからない」 その日常、実は仕組みで解決できます。 人手不足の今、問合せ対応に課題を抱えている企業は多い！ 問い合わせ対応の現場では、膨大な履歴・散在する情報・担当者ごとの回答のバラつきが積み重なり、日々の業務を圧迫しています。 その根本原因は、社内の情報がAIとつながっていないことにあります。 本セミナーでは、「AIエージェント＋MCP連携」という最新アプローチにより、社内データと生成AIをつ</t>
        </is>
      </c>
      <c r="U59" s="15" t="inlineStr">
        <is>
          <t>https://www.kokuchpro.com/event/30e777371171a23e6946ba9b829e6469/3830837/</t>
        </is>
      </c>
      <c r="V59" s="10" t="n"/>
      <c r="W59" s="10" t="inlineStr">
        <is>
          <t>タイトル一致</t>
        </is>
      </c>
      <c r="X59" s="10" t="n"/>
    </row>
    <row r="60">
      <c r="A60" s="10" t="n">
        <v>59</v>
      </c>
      <c r="B60" s="11" t="n">
        <v>46213</v>
      </c>
      <c r="C60" s="11" t="n">
        <v>46241</v>
      </c>
      <c r="D60" s="10">
        <f>MONTH(B60)&amp;"月"</f>
        <v/>
      </c>
      <c r="E60" s="12" t="n">
        <v>2</v>
      </c>
      <c r="F60" s="10" t="inlineStr">
        <is>
          <t>07/10、08/07</t>
        </is>
      </c>
      <c r="G60" s="10" t="inlineStr">
        <is>
          <t>第2回 やさしいClaude Code LT大会</t>
        </is>
      </c>
      <c r="H60" s="10" t="inlineStr">
        <is>
          <t>やさしいAI駆動社会クリエイターズ</t>
        </is>
      </c>
      <c r="I60" s="10" t="n"/>
      <c r="J60" s="10" t="inlineStr">
        <is>
          <t>connpass</t>
        </is>
      </c>
      <c r="K60" s="10" t="inlineStr">
        <is>
          <t>オンライン</t>
        </is>
      </c>
      <c r="L60" s="10" t="inlineStr">
        <is>
          <t>オンライン</t>
        </is>
      </c>
      <c r="M60" s="10" t="inlineStr">
        <is>
          <t>開発生産性</t>
        </is>
      </c>
      <c r="N60" s="10" t="inlineStr">
        <is>
          <t>AIエージェント</t>
        </is>
      </c>
      <c r="O60" s="12" t="inlineStr">
        <is>
          <t>○</t>
        </is>
      </c>
      <c r="P60" s="13" t="n">
        <v>135</v>
      </c>
      <c r="Q60" s="12" t="inlineStr">
        <is>
          <t>参加者数</t>
        </is>
      </c>
      <c r="R60" s="14" t="n"/>
      <c r="S60" s="10" t="inlineStr">
        <is>
          <t>全2回の合計</t>
        </is>
      </c>
      <c r="T60" s="10" t="n"/>
      <c r="U60" s="15" t="inlineStr">
        <is>
          <t>https://biosbootcamp.connpass.com/event/396378/</t>
        </is>
      </c>
      <c r="V60" s="10" t="n"/>
      <c r="W60" s="10" t="inlineStr">
        <is>
          <t>タイトル一致</t>
        </is>
      </c>
      <c r="X60" s="10" t="n"/>
    </row>
    <row r="61">
      <c r="A61" s="10" t="n">
        <v>60</v>
      </c>
      <c r="B61" s="11" t="n">
        <v>46213</v>
      </c>
      <c r="C61" s="11" t="n">
        <v>46213</v>
      </c>
      <c r="D61" s="10">
        <f>MONTH(B61)&amp;"月"</f>
        <v/>
      </c>
      <c r="E61" s="12" t="n">
        <v>1</v>
      </c>
      <c r="F61" s="10" t="n"/>
      <c r="G61" s="10" t="inlineStr">
        <is>
          <t>＜金融AI2026＞自律型AI時代の金融実務再設計と組織の処方箋～失敗の本質とX世代再活性化によるAIベストプラクティス～</t>
        </is>
      </c>
      <c r="H61" s="10" t="inlineStr">
        <is>
          <t>（記載なし）</t>
        </is>
      </c>
      <c r="I61" s="10" t="n"/>
      <c r="J61" s="10" t="inlineStr">
        <is>
          <t>セミナー情報.com</t>
        </is>
      </c>
      <c r="K61" s="10" t="inlineStr">
        <is>
          <t>会場 / オンライン</t>
        </is>
      </c>
      <c r="L61" s="10" t="n"/>
      <c r="M61" s="10" t="inlineStr">
        <is>
          <t>技術・AI全般</t>
        </is>
      </c>
      <c r="N61" s="10" t="inlineStr">
        <is>
          <t>AIエージェント</t>
        </is>
      </c>
      <c r="O61" s="12" t="inlineStr">
        <is>
          <t>○</t>
        </is>
      </c>
      <c r="P61" s="13" t="n"/>
      <c r="Q61" s="12" t="inlineStr">
        <is>
          <t>不明</t>
        </is>
      </c>
      <c r="R61" s="14" t="n"/>
      <c r="S61" s="10" t="n"/>
      <c r="T61" s="10" t="n"/>
      <c r="U61" s="15" t="inlineStr">
        <is>
          <t>https://www.seminar-info.jp/entry/seminars/view/3/6868</t>
        </is>
      </c>
      <c r="V61" s="10" t="n"/>
      <c r="W61" s="10" t="inlineStr">
        <is>
          <t>タイトル一致</t>
        </is>
      </c>
      <c r="X61" s="10" t="n"/>
    </row>
    <row r="62">
      <c r="A62" s="10" t="n">
        <v>61</v>
      </c>
      <c r="B62" s="11" t="n">
        <v>46214</v>
      </c>
      <c r="C62" s="11" t="n">
        <v>46214</v>
      </c>
      <c r="D62" s="10">
        <f>MONTH(B62)&amp;"月"</f>
        <v/>
      </c>
      <c r="E62" s="12" t="n">
        <v>1</v>
      </c>
      <c r="F62" s="10" t="n"/>
      <c r="G62" s="10" t="inlineStr">
        <is>
          <t>AIの力で技術負債を解消しよう 〜仕様書ゼロのレガシーコードを、Claude+Tsumikiでどう攻略する?〜</t>
        </is>
      </c>
      <c r="H62" s="10" t="inlineStr">
        <is>
          <t>株式会社くすりの窓口</t>
        </is>
      </c>
      <c r="I62" s="10" t="n"/>
      <c r="J62" s="10" t="inlineStr">
        <is>
          <t>こくちーずプロ</t>
        </is>
      </c>
      <c r="K62" s="10" t="inlineStr">
        <is>
          <t>オンライン</t>
        </is>
      </c>
      <c r="L62" s="10" t="inlineStr">
        <is>
          <t>オンライン 日本</t>
        </is>
      </c>
      <c r="M62" s="10" t="inlineStr">
        <is>
          <t>開発生産性</t>
        </is>
      </c>
      <c r="N62" s="10" t="inlineStr">
        <is>
          <t>AIエージェント</t>
        </is>
      </c>
      <c r="O62" s="12" t="inlineStr">
        <is>
          <t>△</t>
        </is>
      </c>
      <c r="P62" s="13" t="n">
        <v>0</v>
      </c>
      <c r="Q62" s="12" t="inlineStr">
        <is>
          <t>イベント参加 0/30</t>
        </is>
      </c>
      <c r="R62" s="14" t="n">
        <v>30</v>
      </c>
      <c r="S62" s="10" t="n"/>
      <c r="T62" s="10" t="inlineStr">
        <is>
          <t xml:space="preserve">こんなコード、開くのが怖くなっていませんか？ 触ると壊れそうで、誰も手をつけられない「秘伝のタレ」化したコード 書いた本人はもういない。仕様書は、ない。 「たぶんこう動いてるはず…」で運用され続けているシステム 技術負債の中でも一番やっかいなのが、 仕様書が存在しないコード です。直したいけど、何が正解かわからない。だから触れない。そして負債は静かに膨らみ続けます。 この勉強会でやること そんな「仕様書なき技術負債」に、 Claude </t>
        </is>
      </c>
      <c r="U62" s="15" t="inlineStr">
        <is>
          <t>https://www.kokuchpro.com/event/09fe58cc413dfc3c4119f2cac5aa35bc/</t>
        </is>
      </c>
      <c r="V62" s="10" t="n"/>
      <c r="W62" s="10" t="inlineStr">
        <is>
          <t>本文一致</t>
        </is>
      </c>
      <c r="X62" s="10" t="n"/>
    </row>
    <row r="63">
      <c r="A63" s="10" t="n">
        <v>62</v>
      </c>
      <c r="B63" s="11" t="n">
        <v>46214</v>
      </c>
      <c r="C63" s="11" t="n">
        <v>46214</v>
      </c>
      <c r="D63" s="10">
        <f>MONTH(B63)&amp;"月"</f>
        <v/>
      </c>
      <c r="E63" s="12" t="n">
        <v>1</v>
      </c>
      <c r="F63" s="10" t="n"/>
      <c r="G63" s="10" t="inlineStr">
        <is>
          <t>Claude Coworkで作る"自由に編集できる"スライド作成</t>
        </is>
      </c>
      <c r="H63" s="10" t="inlineStr">
        <is>
          <t>デジタルレイバーズ</t>
        </is>
      </c>
      <c r="I63" s="10" t="n"/>
      <c r="J63" s="10" t="inlineStr">
        <is>
          <t>connpass</t>
        </is>
      </c>
      <c r="K63" s="10" t="inlineStr">
        <is>
          <t>オンライン</t>
        </is>
      </c>
      <c r="L63" s="10" t="inlineStr">
        <is>
          <t>オンライン</t>
        </is>
      </c>
      <c r="M63" s="10" t="inlineStr">
        <is>
          <t>技術・AI全般</t>
        </is>
      </c>
      <c r="N63" s="10" t="inlineStr">
        <is>
          <t>AIエージェント</t>
        </is>
      </c>
      <c r="O63" s="12" t="inlineStr">
        <is>
          <t>○</t>
        </is>
      </c>
      <c r="P63" s="13" t="n">
        <v>26</v>
      </c>
      <c r="Q63" s="12" t="inlineStr">
        <is>
          <t>参加者数</t>
        </is>
      </c>
      <c r="R63" s="14" t="n">
        <v>30</v>
      </c>
      <c r="S63" s="10" t="n"/>
      <c r="T63" s="10" t="n"/>
      <c r="U63" s="15" t="inlineStr">
        <is>
          <t>https://digital-labors.connpass.com/event/398250/</t>
        </is>
      </c>
      <c r="V63" s="10" t="n"/>
      <c r="W63" s="10" t="inlineStr">
        <is>
          <t>タイトル一致</t>
        </is>
      </c>
      <c r="X63" s="10" t="n"/>
    </row>
    <row r="64">
      <c r="A64" s="10" t="n">
        <v>63</v>
      </c>
      <c r="B64" s="11" t="n">
        <v>46214</v>
      </c>
      <c r="C64" s="11" t="n">
        <v>46214</v>
      </c>
      <c r="D64" s="10">
        <f>MONTH(B64)&amp;"月"</f>
        <v/>
      </c>
      <c r="E64" s="12" t="n">
        <v>1</v>
      </c>
      <c r="F64" s="10" t="n"/>
      <c r="G64" s="10" t="inlineStr">
        <is>
          <t>ゼロから学べる!AI活用術(実践編)</t>
        </is>
      </c>
      <c r="H64" s="10" t="inlineStr">
        <is>
          <t>株式会社タスクールPlus</t>
        </is>
      </c>
      <c r="I64" s="10" t="n"/>
      <c r="J64" s="10" t="inlineStr">
        <is>
          <t>こくちーずプロ</t>
        </is>
      </c>
      <c r="K64" s="10" t="inlineStr">
        <is>
          <t>オフライン（会場）</t>
        </is>
      </c>
      <c r="L64" s="10" t="inlineStr">
        <is>
          <t>タスクール 愛知県名古屋市千種区千種通7-25-1 サンライズ千種502</t>
        </is>
      </c>
      <c r="M64" s="10" t="inlineStr">
        <is>
          <t>生産性向上・業務効率化</t>
        </is>
      </c>
      <c r="N64" s="10" t="inlineStr">
        <is>
          <t>AIエージェント</t>
        </is>
      </c>
      <c r="O64" s="12" t="inlineStr">
        <is>
          <t>○</t>
        </is>
      </c>
      <c r="P64" s="13" t="n">
        <v>0</v>
      </c>
      <c r="Q64" s="12" t="inlineStr">
        <is>
          <t>イベント参加 0/10</t>
        </is>
      </c>
      <c r="R64" s="14" t="n">
        <v>10</v>
      </c>
      <c r="S64" s="10" t="n"/>
      <c r="T64" s="10" t="inlineStr">
        <is>
          <t>【7/11（土）開催｜ゼロから学べる！AI活用術 実践編】 「ChatGPTは少し使えるようになった」 「でも、仕事にどう活かせばいいのか分からない」 「毎回プロンプトを書くのが面倒で、結局続かない」 「AIを使っているつもりだけど、成果につながっている実感がない」 そんな方に向けて、AI活用講座の実践編を開催します。 今回のテーマは、AIを“思考の伴走者”から“業務の共同作業者”へ育てること。 入門編では、ChatGPTを中心に、AI</t>
        </is>
      </c>
      <c r="U64" s="15" t="inlineStr">
        <is>
          <t>https://www.kokuchpro.com/event/7fa5a272404e3a707e160fa8264c6f28/</t>
        </is>
      </c>
      <c r="V64" s="10" t="n"/>
      <c r="W64" s="10" t="inlineStr">
        <is>
          <t>本文一致</t>
        </is>
      </c>
      <c r="X64" s="10" t="n"/>
    </row>
    <row r="65">
      <c r="A65" s="10" t="n">
        <v>64</v>
      </c>
      <c r="B65" s="11" t="n">
        <v>46215</v>
      </c>
      <c r="C65" s="11" t="n">
        <v>46215</v>
      </c>
      <c r="D65" s="10">
        <f>MONTH(B65)&amp;"月"</f>
        <v/>
      </c>
      <c r="E65" s="12" t="n">
        <v>1</v>
      </c>
      <c r="F65" s="10" t="n"/>
      <c r="G65" s="10" t="inlineStr">
        <is>
          <t>Claude Codeで考える AI駆動開発のしくみづくりワークショップ</t>
        </is>
      </c>
      <c r="H65" s="10" t="inlineStr">
        <is>
          <t>AI駆動開発(AI-Driven Development)</t>
        </is>
      </c>
      <c r="I65" s="10" t="n"/>
      <c r="J65" s="10" t="inlineStr">
        <is>
          <t>connpass</t>
        </is>
      </c>
      <c r="K65" s="10" t="inlineStr">
        <is>
          <t>会場</t>
        </is>
      </c>
      <c r="L65" s="10" t="inlineStr">
        <is>
          <t>〒160-0023 東京都新宿区西新宿7-20-1住友不動産西新宿ビル 32F</t>
        </is>
      </c>
      <c r="M65" s="10" t="inlineStr">
        <is>
          <t>開発生産性</t>
        </is>
      </c>
      <c r="N65" s="10" t="inlineStr">
        <is>
          <t>AIエージェント</t>
        </is>
      </c>
      <c r="O65" s="12" t="inlineStr">
        <is>
          <t>○</t>
        </is>
      </c>
      <c r="P65" s="13" t="n"/>
      <c r="Q65" s="12" t="inlineStr">
        <is>
          <t>不明</t>
        </is>
      </c>
      <c r="R65" s="14" t="n"/>
      <c r="S65" s="10" t="n"/>
      <c r="T65" s="10" t="n"/>
      <c r="U65" s="15" t="inlineStr">
        <is>
          <t>https://aid.connpass.com/event/397707/</t>
        </is>
      </c>
      <c r="V65" s="10" t="n"/>
      <c r="W65" s="10" t="inlineStr">
        <is>
          <t>タイトル一致</t>
        </is>
      </c>
      <c r="X65" s="10" t="n"/>
    </row>
    <row r="66">
      <c r="A66" s="10" t="n">
        <v>65</v>
      </c>
      <c r="B66" s="11" t="n">
        <v>46215</v>
      </c>
      <c r="C66" s="11" t="n">
        <v>46215</v>
      </c>
      <c r="D66" s="10">
        <f>MONTH(B66)&amp;"月"</f>
        <v/>
      </c>
      <c r="E66" s="12" t="n">
        <v>1</v>
      </c>
      <c r="F66" s="10" t="n"/>
      <c r="G66" s="10" t="inlineStr">
        <is>
          <t>Claude Code勉強会 @STATION Ai 名古屋</t>
        </is>
      </c>
      <c r="H66" s="10" t="inlineStr">
        <is>
          <t>anzi_kosaka</t>
        </is>
      </c>
      <c r="I66" s="10" t="n"/>
      <c r="J66" s="10" t="inlineStr">
        <is>
          <t>connpass</t>
        </is>
      </c>
      <c r="K66" s="10" t="inlineStr">
        <is>
          <t>会場</t>
        </is>
      </c>
      <c r="L66" s="10" t="inlineStr">
        <is>
          <t>(場所未定)</t>
        </is>
      </c>
      <c r="M66" s="10" t="inlineStr">
        <is>
          <t>開発生産性</t>
        </is>
      </c>
      <c r="N66" s="10" t="inlineStr">
        <is>
          <t>AIエージェント</t>
        </is>
      </c>
      <c r="O66" s="12" t="inlineStr">
        <is>
          <t>○</t>
        </is>
      </c>
      <c r="P66" s="13" t="n">
        <v>5</v>
      </c>
      <c r="Q66" s="12" t="inlineStr">
        <is>
          <t>参加者数</t>
        </is>
      </c>
      <c r="R66" s="14" t="n"/>
      <c r="S66" s="10" t="n"/>
      <c r="T66" s="10" t="n"/>
      <c r="U66" s="15" t="inlineStr">
        <is>
          <t>https://connpass.com/event/399282/</t>
        </is>
      </c>
      <c r="V66" s="10" t="n"/>
      <c r="W66" s="10" t="inlineStr">
        <is>
          <t>タイトル一致</t>
        </is>
      </c>
      <c r="X66" s="10" t="n"/>
    </row>
    <row r="67">
      <c r="A67" s="10" t="n">
        <v>66</v>
      </c>
      <c r="B67" s="11" t="n">
        <v>46215</v>
      </c>
      <c r="C67" s="11" t="n">
        <v>46215</v>
      </c>
      <c r="D67" s="10">
        <f>MONTH(B67)&amp;"月"</f>
        <v/>
      </c>
      <c r="E67" s="12" t="n">
        <v>1</v>
      </c>
      <c r="F67" s="10" t="n"/>
      <c r="G67" s="10" t="inlineStr">
        <is>
          <t>【無料】非エンジニアのためのClaude Code活用超入門</t>
        </is>
      </c>
      <c r="H67" s="10" t="inlineStr">
        <is>
          <t>和から株式会社 オンラインセミナー事務局</t>
        </is>
      </c>
      <c r="I67" s="10" t="n"/>
      <c r="J67" s="10" t="inlineStr">
        <is>
          <t>こくちーずプロ</t>
        </is>
      </c>
      <c r="K67" s="10" t="inlineStr">
        <is>
          <t>オンライン</t>
        </is>
      </c>
      <c r="L67" s="10" t="inlineStr">
        <is>
          <t>オンライン 日本</t>
        </is>
      </c>
      <c r="M67" s="10" t="inlineStr">
        <is>
          <t>生産性向上・業務効率化</t>
        </is>
      </c>
      <c r="N67" s="10" t="inlineStr">
        <is>
          <t>AIエージェント</t>
        </is>
      </c>
      <c r="O67" s="12" t="inlineStr">
        <is>
          <t>◎</t>
        </is>
      </c>
      <c r="P67" s="13" t="n"/>
      <c r="Q67" s="12" t="inlineStr">
        <is>
          <t>不明</t>
        </is>
      </c>
      <c r="R67" s="14" t="n"/>
      <c r="S67" s="10" t="n"/>
      <c r="T67" s="10" t="inlineStr">
        <is>
          <t>Claude Codeはあなたの業務でも使えます 「Claude Codeが話題らしい」「なんか便利そう」——そう聞いて気になってはいるものの、 「どうせエンジニア向けのツールでしょ」「プログラミングができない自分には関係ない」 と一歩引いていませんか。 Claude Codeとは、ファイルの作成・整理・編集といった作業を自動でこなしてくれるAIツールです。ふだん使っているChatGPTやGeminiが「質問に答えてくれるAI」だとすれ</t>
        </is>
      </c>
      <c r="U67" s="15" t="inlineStr">
        <is>
          <t>https://www.kokuchpro.com/event/5af304de6430448c361a5042372b1c6d/3830201/</t>
        </is>
      </c>
      <c r="V67" s="10" t="n"/>
      <c r="W67" s="10" t="inlineStr">
        <is>
          <t>タイトル一致</t>
        </is>
      </c>
      <c r="X67" s="10" t="n"/>
    </row>
    <row r="68">
      <c r="A68" s="10" t="n">
        <v>67</v>
      </c>
      <c r="B68" s="11" t="n">
        <v>46216</v>
      </c>
      <c r="C68" s="11" t="n">
        <v>46216</v>
      </c>
      <c r="D68" s="10">
        <f>MONTH(B68)&amp;"月"</f>
        <v/>
      </c>
      <c r="E68" s="12" t="n">
        <v>1</v>
      </c>
      <c r="F68" s="10" t="n"/>
      <c r="G68" s="10" t="inlineStr">
        <is>
          <t>Claude Codeで「AI社員」を採用・配置する方法|経営者向け無料セミナー</t>
        </is>
      </c>
      <c r="H68" s="10" t="inlineStr">
        <is>
          <t>Claude Codeで「AI社員」を採用・配置する方法|経営者向け無料セミナー事務局</t>
        </is>
      </c>
      <c r="I68" s="10" t="n"/>
      <c r="J68" s="10" t="inlineStr">
        <is>
          <t>こくちーずプロ</t>
        </is>
      </c>
      <c r="K68" s="10" t="inlineStr">
        <is>
          <t>オンライン</t>
        </is>
      </c>
      <c r="L68" s="10" t="inlineStr">
        <is>
          <t>オンライン 日本</t>
        </is>
      </c>
      <c r="M68" s="10" t="inlineStr">
        <is>
          <t>生産性向上・業務効率化</t>
        </is>
      </c>
      <c r="N68" s="10" t="inlineStr">
        <is>
          <t>AIエージェント</t>
        </is>
      </c>
      <c r="O68" s="12" t="inlineStr">
        <is>
          <t>◎</t>
        </is>
      </c>
      <c r="P68" s="13" t="n">
        <v>4</v>
      </c>
      <c r="Q68" s="12" t="inlineStr">
        <is>
          <t>イベント参加 4/30</t>
        </is>
      </c>
      <c r="R68" s="14" t="n">
        <v>30</v>
      </c>
      <c r="S68" s="10" t="n"/>
      <c r="T68" s="10" t="inlineStr">
        <is>
          <t>「あと1人いれば回るのに」——そう思ったこと、ありませんか？ 採用すれば年間300〜500万円。派遣を頼んでも月20〜30万円。でも、そこまでの余裕はない。 Claude Codeなら、月3000円からで「AI社員」を配置できます。営業・マーケ・経理——それぞれの業務に特化したAIを、自分で作って、自分で育てる。今回は、そのAI社員を実際にゼロから作る過程をライブでお見せします。 ■こんなこと、ありませんか？ ・「AI社員」「AIエージ</t>
        </is>
      </c>
      <c r="U68" s="15" t="inlineStr">
        <is>
          <t>https://www.kokuchpro.com/event/53069532975ddcdbf3d1a3e8d44d7350/</t>
        </is>
      </c>
      <c r="V68" s="10" t="n"/>
      <c r="W68" s="10" t="inlineStr">
        <is>
          <t>タイトル一致</t>
        </is>
      </c>
      <c r="X68" s="10" t="n"/>
    </row>
    <row r="69">
      <c r="A69" s="10" t="n">
        <v>68</v>
      </c>
      <c r="B69" s="11" t="n">
        <v>46216</v>
      </c>
      <c r="C69" s="11" t="n">
        <v>46216</v>
      </c>
      <c r="D69" s="10">
        <f>MONTH(B69)&amp;"月"</f>
        <v/>
      </c>
      <c r="E69" s="12" t="n">
        <v>1</v>
      </c>
      <c r="F69" s="10" t="n"/>
      <c r="G69" s="10" t="inlineStr">
        <is>
          <t>【Flashセミナー Vol.154】｢人だけ｣の参加お断り 『Claude Code』がEC施策を学ぶ60分</t>
        </is>
      </c>
      <c r="H69" s="10" t="inlineStr">
        <is>
          <t>web-mining</t>
        </is>
      </c>
      <c r="I69" s="10" t="n"/>
      <c r="J69" s="10" t="inlineStr">
        <is>
          <t>Doorkeeper</t>
        </is>
      </c>
      <c r="K69" s="10" t="inlineStr">
        <is>
          <t>不明</t>
        </is>
      </c>
      <c r="L69" s="10" t="n"/>
      <c r="M69" s="10" t="inlineStr">
        <is>
          <t>営業・マーケ・CS</t>
        </is>
      </c>
      <c r="N69" s="10" t="inlineStr">
        <is>
          <t>AIエージェント</t>
        </is>
      </c>
      <c r="O69" s="12" t="inlineStr">
        <is>
          <t>◎</t>
        </is>
      </c>
      <c r="P69" s="13" t="n">
        <v>116</v>
      </c>
      <c r="Q69" s="12" t="inlineStr">
        <is>
          <t>参加者数</t>
        </is>
      </c>
      <c r="R69" s="14" t="n">
        <v>250</v>
      </c>
      <c r="S69" s="10" t="n"/>
      <c r="T69" s="10" t="inlineStr">
        <is>
          <t xml:space="preserve"> こちらのセミナーは「参加要件」がございます。 必ずお読みください。 セミナー内容 ECの改善、計測も、商品ページも、SEOも、ぜんぶ自分。気づけば施策はやりっ放し——多くのEC担当者がこんな状況に陥っているのではないでしょうか。 なぜなら、施策を進めるのも自分、学ぶのも自分。なんなら発送だって自分が担当。 もう“自分自分”なEC運営、やめませんか？ このセミナーでご紹介するのは、食品・お酒・製造業など、業種の異なる複数のECサイトで、</t>
        </is>
      </c>
      <c r="U69" s="15" t="inlineStr">
        <is>
          <t>https://web-mining.doorkeeper.jp/events/198040</t>
        </is>
      </c>
      <c r="V69" s="10" t="n"/>
      <c r="W69" s="10" t="inlineStr">
        <is>
          <t>タイトル一致</t>
        </is>
      </c>
      <c r="X69" s="10" t="n"/>
    </row>
    <row r="70">
      <c r="A70" s="10" t="n">
        <v>69</v>
      </c>
      <c r="B70" s="11" t="n">
        <v>46216</v>
      </c>
      <c r="C70" s="11" t="n">
        <v>46216</v>
      </c>
      <c r="D70" s="10">
        <f>MONTH(B70)&amp;"月"</f>
        <v/>
      </c>
      <c r="E70" s="12" t="n">
        <v>1</v>
      </c>
      <c r="F70" s="10" t="n"/>
      <c r="G70" s="10" t="inlineStr">
        <is>
          <t>【与信DX】公開情報が少ない企業も、AIエージェントが見抜く時代へ</t>
        </is>
      </c>
      <c r="H70" s="10" t="inlineStr">
        <is>
          <t>Baseconnect株式会社（協力：マジセミ株式会社）</t>
        </is>
      </c>
      <c r="I70" s="10" t="n"/>
      <c r="J70" s="10" t="inlineStr">
        <is>
          <t>マジセミ</t>
        </is>
      </c>
      <c r="K70" s="10" t="inlineStr">
        <is>
          <t>online</t>
        </is>
      </c>
      <c r="L70" s="10" t="inlineStr">
        <is>
          <t>オンライン</t>
        </is>
      </c>
      <c r="M70" s="10" t="inlineStr">
        <is>
          <t>生産性向上・業務効率化</t>
        </is>
      </c>
      <c r="N70" s="10" t="inlineStr">
        <is>
          <t>AIエージェント</t>
        </is>
      </c>
      <c r="O70" s="12" t="inlineStr">
        <is>
          <t>◎</t>
        </is>
      </c>
      <c r="P70" s="13" t="n"/>
      <c r="Q70" s="12" t="inlineStr">
        <is>
          <t>不明</t>
        </is>
      </c>
      <c r="R70" s="14" t="n"/>
      <c r="S70" s="10" t="n"/>
      <c r="T70" s="10" t="inlineStr">
        <is>
          <t>■中小・零細企業の与信判断が難しくなる 企業間取引では、新規取引先の信用力や反社・コンプライアンス上の懸念を確認したうえで、取引可否を判断することが求められます。ところが、中小・零細企業は公開されている財務情報やニュース、信用情報が限られることも多く、判断材料が十分に揃わないケースがあります。取引先の裾野が広がるほど確認対象も増えるため、限られた情報の中でいかに公平で再現性のある与信判断を行うかが、企業にとって大きな課題になっています。</t>
        </is>
      </c>
      <c r="U70" s="15" t="inlineStr">
        <is>
          <t>https://prtimes.jp/main/html/rd/p/000005369.000054842.html</t>
        </is>
      </c>
      <c r="V70" s="10" t="n"/>
      <c r="W70" s="10" t="inlineStr">
        <is>
          <t>タイトル一致</t>
        </is>
      </c>
      <c r="X70" s="10" t="n"/>
    </row>
    <row r="71">
      <c r="A71" s="10" t="n">
        <v>70</v>
      </c>
      <c r="B71" s="11" t="n">
        <v>46216</v>
      </c>
      <c r="C71" s="11" t="n">
        <v>46216</v>
      </c>
      <c r="D71" s="10">
        <f>MONTH(B71)&amp;"月"</f>
        <v/>
      </c>
      <c r="E71" s="12" t="n">
        <v>1</v>
      </c>
      <c r="F71" s="10" t="n"/>
      <c r="G71" s="10" t="inlineStr">
        <is>
          <t>【与信DX】公開情報が少ない企業も、AIエージェントが見抜く時代へ 〜540万社の与信DB×AIで、与信からコンプライアンスチェックまで一気通貫の与信DXへ〜</t>
        </is>
      </c>
      <c r="H71" s="10" t="inlineStr">
        <is>
          <t>Baseconnect株式会社</t>
        </is>
      </c>
      <c r="I71" s="10" t="n"/>
      <c r="J71" s="10" t="inlineStr">
        <is>
          <t>マジセミ</t>
        </is>
      </c>
      <c r="K71" s="10" t="inlineStr">
        <is>
          <t>オンライン（Webセミナー）</t>
        </is>
      </c>
      <c r="L71" s="10" t="inlineStr">
        <is>
          <t>オンライン</t>
        </is>
      </c>
      <c r="M71" s="10" t="inlineStr">
        <is>
          <t>生産性向上・業務効率化</t>
        </is>
      </c>
      <c r="N71" s="10" t="inlineStr">
        <is>
          <t>AIエージェント</t>
        </is>
      </c>
      <c r="O71" s="12" t="inlineStr">
        <is>
          <t>◎</t>
        </is>
      </c>
      <c r="P71" s="13" t="n"/>
      <c r="Q71" s="12" t="inlineStr">
        <is>
          <t>不明</t>
        </is>
      </c>
      <c r="R71" s="14" t="n"/>
      <c r="S71" s="10" t="n"/>
      <c r="T71" s="10" t="inlineStr">
        <is>
          <t>本セミナーはWebセミナーです ツールはZoomを使います。URLは直前にメールにてご連絡いたします。 なお、「osslabo.com」「majisemi.com」からのメールが迷惑メールとならないよう、メールの設定をご確認ください。 中小・零細企業の与信判断が難しくなる 企業間取引では、新規取引先の信用力や反社・コンプライアンス上の懸念を確認したうえで、取引可否を判断することが求められます。ところが、中小・零細企業は公開されている財務</t>
        </is>
      </c>
      <c r="U71" s="15" t="inlineStr">
        <is>
          <t>https://majisemi.com/e/c/baseconnect-20260713</t>
        </is>
      </c>
      <c r="V71" s="10" t="n"/>
      <c r="W71" s="10" t="inlineStr">
        <is>
          <t>タイトル一致</t>
        </is>
      </c>
      <c r="X71" s="10" t="n"/>
    </row>
    <row r="72">
      <c r="A72" s="10" t="n">
        <v>71</v>
      </c>
      <c r="B72" s="11" t="n">
        <v>46217</v>
      </c>
      <c r="C72" s="11" t="n">
        <v>46217</v>
      </c>
      <c r="D72" s="10">
        <f>MONTH(B72)&amp;"月"</f>
        <v/>
      </c>
      <c r="E72" s="12" t="n">
        <v>1</v>
      </c>
      <c r="F72" s="10" t="n"/>
      <c r="G72" s="10" t="inlineStr">
        <is>
          <t>Alteryx on Tour : Tokyo</t>
        </is>
      </c>
      <c r="H72" s="10" t="inlineStr">
        <is>
          <t>アルテリックス・ジャパン合同会社</t>
        </is>
      </c>
      <c r="I72" s="10" t="n"/>
      <c r="J72" s="10" t="inlineStr">
        <is>
          <t>ビジネス+IT</t>
        </is>
      </c>
      <c r="K72" s="10" t="inlineStr">
        <is>
          <t>offline</t>
        </is>
      </c>
      <c r="L72" s="10" t="inlineStr">
        <is>
          <t>東京都</t>
        </is>
      </c>
      <c r="M72" s="10" t="inlineStr">
        <is>
          <t>生産性向上・業務効率化</t>
        </is>
      </c>
      <c r="N72" s="10" t="inlineStr">
        <is>
          <t>AIエージェント</t>
        </is>
      </c>
      <c r="O72" s="12" t="inlineStr">
        <is>
          <t>○</t>
        </is>
      </c>
      <c r="P72" s="13" t="n"/>
      <c r="Q72" s="12" t="inlineStr">
        <is>
          <t>不明</t>
        </is>
      </c>
      <c r="R72" s="14" t="n"/>
      <c r="S72" s="10" t="n"/>
      <c r="T72" s="10" t="inlineStr">
        <is>
          <t>AI活用が活発になる中、その成果を左右するのはAIそのものではなく、信頼できるデータです。Alteryx on Tour : Tokyo では、 "Agentic Analytics Starts Here ~エージェンティック・アナリティクスが導くAI時代のデータ活用~" をテーマに、データの質を確保しながら、どのようにガバナンスを確立すべきか。そして、ビジネス部門が主体的に「データ活用」「自動化」「AI実装」にチャレンジするための環</t>
        </is>
      </c>
      <c r="U72" s="15" t="inlineStr">
        <is>
          <t>https://www.sbbit.jp/eventinfo/88821</t>
        </is>
      </c>
      <c r="V72" s="10" t="n"/>
      <c r="W72" s="10" t="inlineStr">
        <is>
          <t>本文一致</t>
        </is>
      </c>
      <c r="X72" s="10" t="n"/>
    </row>
    <row r="73">
      <c r="A73" s="10" t="n">
        <v>72</v>
      </c>
      <c r="B73" s="11" t="n">
        <v>46217</v>
      </c>
      <c r="C73" s="11" t="n">
        <v>46217</v>
      </c>
      <c r="D73" s="10">
        <f>MONTH(B73)&amp;"月"</f>
        <v/>
      </c>
      <c r="E73" s="12" t="n">
        <v>1</v>
      </c>
      <c r="F73" s="10" t="n"/>
      <c r="G73" s="10" t="inlineStr">
        <is>
          <t>SoftBank World 2026「AX for Japan」</t>
        </is>
      </c>
      <c r="H73" s="10" t="inlineStr">
        <is>
          <t>ソフトバンク</t>
        </is>
      </c>
      <c r="I73" s="10" t="n"/>
      <c r="J73" s="10" t="inlineStr">
        <is>
          <t>個別調査（公式サイト・PR TIMES等）</t>
        </is>
      </c>
      <c r="K73" s="10" t="inlineStr">
        <is>
          <t>ハイブリッド</t>
        </is>
      </c>
      <c r="L73" s="10" t="inlineStr">
        <is>
          <t>ライブ配信・会場展示（オンデマンド配信は7/21〜8/31）</t>
        </is>
      </c>
      <c r="M73" s="10" t="inlineStr">
        <is>
          <t>大型カンファレンス・展示会</t>
        </is>
      </c>
      <c r="N73" s="10" t="inlineStr">
        <is>
          <t>AIエージェント</t>
        </is>
      </c>
      <c r="O73" s="12" t="inlineStr">
        <is>
          <t>◎</t>
        </is>
      </c>
      <c r="P73" s="13" t="n"/>
      <c r="Q73" s="12" t="inlineStr">
        <is>
          <t>不明</t>
        </is>
      </c>
      <c r="R73" s="14" t="n"/>
      <c r="S73" s="10" t="n"/>
      <c r="T73" s="10" t="inlineStr">
        <is>
          <t>孫正義氏が「2040年に100兆個のAIエージェント」と講演した。自律型AIやフィジカルAIを紹介し、安川電機のロボットを展示した。</t>
        </is>
      </c>
      <c r="U73" s="15" t="inlineStr">
        <is>
          <t>https://www.softbank.jp/corp/news/press/sbkk/2026/20260518_01/</t>
        </is>
      </c>
      <c r="V73" s="15" t="inlineStr">
        <is>
          <t>https://k-tai.watch.impress.co.jp/docs/news/2109522.html</t>
        </is>
      </c>
      <c r="W73" s="10" t="inlineStr">
        <is>
          <t>個別確認</t>
        </is>
      </c>
      <c r="X73" s="10" t="n"/>
    </row>
    <row r="74">
      <c r="A74" s="10" t="n">
        <v>73</v>
      </c>
      <c r="B74" s="11" t="n">
        <v>46217</v>
      </c>
      <c r="C74" s="11" t="n">
        <v>46217</v>
      </c>
      <c r="D74" s="10">
        <f>MONTH(B74)&amp;"月"</f>
        <v/>
      </c>
      <c r="E74" s="12" t="n">
        <v>1</v>
      </c>
      <c r="F74" s="10" t="n"/>
      <c r="G74" s="10" t="inlineStr">
        <is>
          <t>TypeScriptで開発するAIエージェントの裏側 〜KAG社の実践知から学ぶMastra〜</t>
        </is>
      </c>
      <c r="H74" s="10" t="inlineStr">
        <is>
          <t>ファインディ／Findy</t>
        </is>
      </c>
      <c r="I74" s="10" t="n"/>
      <c r="J74" s="10" t="inlineStr">
        <is>
          <t>connpass</t>
        </is>
      </c>
      <c r="K74" s="10" t="inlineStr">
        <is>
          <t>オンライン</t>
        </is>
      </c>
      <c r="L74" s="10" t="inlineStr">
        <is>
          <t>オンライン</t>
        </is>
      </c>
      <c r="M74" s="10" t="inlineStr">
        <is>
          <t>開発生産性</t>
        </is>
      </c>
      <c r="N74" s="10" t="inlineStr">
        <is>
          <t>AIエージェント</t>
        </is>
      </c>
      <c r="O74" s="12" t="inlineStr">
        <is>
          <t>○</t>
        </is>
      </c>
      <c r="P74" s="13" t="n">
        <v>273</v>
      </c>
      <c r="Q74" s="12" t="inlineStr">
        <is>
          <t>参加者数</t>
        </is>
      </c>
      <c r="R74" s="14" t="n"/>
      <c r="S74" s="10" t="n"/>
      <c r="T74" s="10" t="n"/>
      <c r="U74" s="15" t="inlineStr">
        <is>
          <t>https://findy.connpass.com/event/396881/</t>
        </is>
      </c>
      <c r="V74" s="10" t="n"/>
      <c r="W74" s="10" t="inlineStr">
        <is>
          <t>タイトル一致</t>
        </is>
      </c>
      <c r="X74" s="10" t="n"/>
    </row>
    <row r="75">
      <c r="A75" s="10" t="n">
        <v>74</v>
      </c>
      <c r="B75" s="11" t="n">
        <v>46217</v>
      </c>
      <c r="C75" s="11" t="n">
        <v>46217</v>
      </c>
      <c r="D75" s="10">
        <f>MONTH(B75)&amp;"月"</f>
        <v/>
      </c>
      <c r="E75" s="12" t="n">
        <v>1</v>
      </c>
      <c r="F75" s="10" t="n"/>
      <c r="G75" s="10" t="inlineStr">
        <is>
          <t>※NTTDATA、三菱UFJ銀行登壇!【データ活用に関する大規模カンファレンスを赤坂で開催します!】Alteryx on tour2025</t>
        </is>
      </c>
      <c r="H75" s="10" t="inlineStr">
        <is>
          <t>アルテリックスジャパン</t>
        </is>
      </c>
      <c r="I75" s="10" t="n"/>
      <c r="J75" s="10" t="inlineStr">
        <is>
          <t>こくちーずプロ</t>
        </is>
      </c>
      <c r="K75" s="10" t="inlineStr">
        <is>
          <t>オフライン（会場）</t>
        </is>
      </c>
      <c r="L75" s="10" t="inlineStr">
        <is>
          <t>赤坂インターシティコンファレンス 東京都東京都港区赤坂1-8-1 赤坂インターシティAIR 3F・4F</t>
        </is>
      </c>
      <c r="M75" s="10" t="inlineStr">
        <is>
          <t>技術・AI全般</t>
        </is>
      </c>
      <c r="N75" s="10" t="inlineStr">
        <is>
          <t>AIエージェント</t>
        </is>
      </c>
      <c r="O75" s="12" t="inlineStr">
        <is>
          <t>△</t>
        </is>
      </c>
      <c r="P75" s="13" t="n">
        <v>0</v>
      </c>
      <c r="Q75" s="12" t="inlineStr">
        <is>
          <t>イベント参加 0/800</t>
        </is>
      </c>
      <c r="R75" s="14" t="n">
        <v>800</v>
      </c>
      <c r="S75" s="10" t="n"/>
      <c r="T75" s="10" t="inlineStr">
        <is>
          <t>Alteryx on Tour Tokyo 7/14（火）10:00より、赤坂インターシティコンファレンスにて開催いたします。 今回は "Agentic Analytics Starts Here" をテーマに、 AGC、出光興産、大日本印刷、日揮グローバル、日本触媒、三井住友銀行、三菱UFJ銀行等、各社の事例登壇や野口竜司氏による特別講演がございます。 全セッション終了後にネットワーキングタイムがございますので登壇者の方や参加者の皆様</t>
        </is>
      </c>
      <c r="U75" s="15" t="inlineStr">
        <is>
          <t>https://www.kokuchpro.com/event/1699adb0baf47e1ec210c620530b609e/3820023/</t>
        </is>
      </c>
      <c r="V75" s="10" t="n"/>
      <c r="W75" s="10" t="inlineStr">
        <is>
          <t>本文一致</t>
        </is>
      </c>
      <c r="X75" s="10" t="n"/>
    </row>
    <row r="76">
      <c r="A76" s="10" t="n">
        <v>75</v>
      </c>
      <c r="B76" s="11" t="n">
        <v>46217</v>
      </c>
      <c r="C76" s="11" t="n">
        <v>46217</v>
      </c>
      <c r="D76" s="10">
        <f>MONTH(B76)&amp;"月"</f>
        <v/>
      </c>
      <c r="E76" s="12" t="n">
        <v>1</v>
      </c>
      <c r="F76" s="10" t="n"/>
      <c r="G76" s="10" t="inlineStr">
        <is>
          <t>【2026年版】人事DXの壁を突破!「AIエージェント、何に使うべき?」を解決 人事業務を変える鍵は「ワークフロー×AI」</t>
        </is>
      </c>
      <c r="H76" s="10" t="inlineStr">
        <is>
          <t>ヒューマンリソシア株式会社 DXセミナー事務局</t>
        </is>
      </c>
      <c r="I76" s="10" t="n"/>
      <c r="J76" s="10" t="inlineStr">
        <is>
          <t>こくちーずプロ</t>
        </is>
      </c>
      <c r="K76" s="10" t="inlineStr">
        <is>
          <t>オンライン</t>
        </is>
      </c>
      <c r="L76" s="10" t="inlineStr">
        <is>
          <t>オンライン 日本</t>
        </is>
      </c>
      <c r="M76" s="10" t="inlineStr">
        <is>
          <t>生産性向上・業務効率化</t>
        </is>
      </c>
      <c r="N76" s="10" t="inlineStr">
        <is>
          <t>AIエージェント</t>
        </is>
      </c>
      <c r="O76" s="12" t="inlineStr">
        <is>
          <t>◎</t>
        </is>
      </c>
      <c r="P76" s="13" t="n"/>
      <c r="Q76" s="12" t="inlineStr">
        <is>
          <t>不明</t>
        </is>
      </c>
      <c r="R76" s="14" t="n"/>
      <c r="S76" s="10" t="n"/>
      <c r="T76" s="10" t="inlineStr">
        <is>
          <t>「生成AIを導入したのに、思ったほど業務が減らない」 「RPAは入れたが、結局“人がつなぐ作業”が残っている」 多くの企業では、ChatGPTなどの生成AI活用が “メール作成”や“文章要約”など個人作業の効率化に留まり、 採用・労務・社内問い合わせ対応といった人事全体の業務改革にはつながっていません。 特に、人事各種システム、媒体、チャット、カレンダーなど 複数ツールをまたぐ作業や関係者との調整などは、 依然として人手に依存し、人事部</t>
        </is>
      </c>
      <c r="U76" s="15" t="inlineStr">
        <is>
          <t>https://www.kokuchpro.com/event/tunagiai_260714/</t>
        </is>
      </c>
      <c r="V76" s="10" t="n"/>
      <c r="W76" s="10" t="inlineStr">
        <is>
          <t>タイトル一致</t>
        </is>
      </c>
      <c r="X76" s="10" t="n"/>
    </row>
    <row r="77">
      <c r="A77" s="10" t="n">
        <v>76</v>
      </c>
      <c r="B77" s="11" t="n">
        <v>46217</v>
      </c>
      <c r="C77" s="11" t="n">
        <v>46217</v>
      </c>
      <c r="D77" s="10">
        <f>MONTH(B77)&amp;"月"</f>
        <v/>
      </c>
      <c r="E77" s="12" t="n">
        <v>1</v>
      </c>
      <c r="F77" s="10" t="n"/>
      <c r="G77" s="10" t="inlineStr">
        <is>
          <t>【エキスパート講座】非エンジニアのためのCodex業務自動化・実践講座（2日間講座）</t>
        </is>
      </c>
      <c r="H77" s="10" t="inlineStr">
        <is>
          <t>一般社団法人ウェブ解析士協会 講座企画運営部（担当：沖本一生）</t>
        </is>
      </c>
      <c r="I77" s="10" t="n"/>
      <c r="J77" s="10" t="inlineStr">
        <is>
          <t>Doorkeeper</t>
        </is>
      </c>
      <c r="K77" s="10" t="inlineStr">
        <is>
          <t>不明</t>
        </is>
      </c>
      <c r="L77" s="10" t="n"/>
      <c r="M77" s="10" t="inlineStr">
        <is>
          <t>生産性向上・業務効率化</t>
        </is>
      </c>
      <c r="N77" s="10" t="inlineStr">
        <is>
          <t>AIエージェント</t>
        </is>
      </c>
      <c r="O77" s="12" t="inlineStr">
        <is>
          <t>◎</t>
        </is>
      </c>
      <c r="P77" s="13" t="n">
        <v>7</v>
      </c>
      <c r="Q77" s="12" t="inlineStr">
        <is>
          <t>参加者数</t>
        </is>
      </c>
      <c r="R77" s="14" t="n"/>
      <c r="S77" s="10" t="n"/>
      <c r="T77" s="10" t="inlineStr">
        <is>
          <t xml:space="preserve"> 講座概要 こちらの講座は、7/14（火）14:00～15:30、7/21（火）14:00～15:30 の２日間講座となります。 本講座は、AIを「チャット（対話）」として使う段階から卒業し、自律的に動く「エージェント（実行）」として使いこなすための実践型プログラムです。 最新のCodexを優秀なデジタルアシスタントとして迎え入れ、スライド作成、データ分析、コンテンツの量産、さらにはWebサイトの構築までを「自然言語の指示（プロンプト）</t>
        </is>
      </c>
      <c r="U77" s="15" t="inlineStr">
        <is>
          <t>https://web-mining.doorkeeper.jp/events/197998</t>
        </is>
      </c>
      <c r="V77" s="10" t="n"/>
      <c r="W77" s="10" t="inlineStr">
        <is>
          <t>タイトル一致</t>
        </is>
      </c>
      <c r="X77" s="10" t="n"/>
    </row>
    <row r="78">
      <c r="A78" s="10" t="n">
        <v>77</v>
      </c>
      <c r="B78" s="11" t="n">
        <v>46217</v>
      </c>
      <c r="C78" s="11" t="n">
        <v>46217</v>
      </c>
      <c r="D78" s="10">
        <f>MONTH(B78)&amp;"月"</f>
        <v/>
      </c>
      <c r="E78" s="12" t="n">
        <v>1</v>
      </c>
      <c r="F78" s="10" t="n"/>
      <c r="G78" s="10" t="inlineStr">
        <is>
          <t>改めて理解する「CrowdStrike」とは？ ～1つのプラットフォームで実現する最高峰のセキュリティ～</t>
        </is>
      </c>
      <c r="H78" s="10" t="inlineStr">
        <is>
          <t>株式会社マクニカ</t>
        </is>
      </c>
      <c r="I78" s="10" t="n"/>
      <c r="J78" s="10" t="inlineStr">
        <is>
          <t>ZDNET Japan イベント</t>
        </is>
      </c>
      <c r="K78" s="10" t="inlineStr">
        <is>
          <t>オンライン</t>
        </is>
      </c>
      <c r="L78" s="10" t="inlineStr">
        <is>
          <t>WEB</t>
        </is>
      </c>
      <c r="M78" s="10" t="inlineStr">
        <is>
          <t>技術・AI全般</t>
        </is>
      </c>
      <c r="N78" s="10" t="inlineStr">
        <is>
          <t>AIエージェント</t>
        </is>
      </c>
      <c r="O78" s="12" t="inlineStr">
        <is>
          <t>△</t>
        </is>
      </c>
      <c r="P78" s="13" t="n"/>
      <c r="Q78" s="12" t="inlineStr">
        <is>
          <t>不明</t>
        </is>
      </c>
      <c r="R78" s="14" t="n"/>
      <c r="S78" s="10" t="n"/>
      <c r="T78" s="10" t="inlineStr">
        <is>
          <t>開催場所： WEB 開催日： 2026-07-14 「ランサムウェアや未知の攻撃に、今の対策で本当に大丈夫か不安」 「セキュリティ製品が増えすぎて、管理が追いつかない」 これらの課題を解決するのが、1エージェント・1コンソールで業界最高峰のセキュリティを実現する次世代EDR「CrowdStrike」です。 本セミナーでは、2013年より10年以上、CrowdStrike社の国内No.1*代理店として活動しているマクニカが、製品の全体像か</t>
        </is>
      </c>
      <c r="U78" s="15" t="inlineStr">
        <is>
          <t>https://japan.zdnet.com/event_info/30014951/</t>
        </is>
      </c>
      <c r="V78" s="10" t="n"/>
      <c r="W78" s="10" t="inlineStr">
        <is>
          <t>本文一致</t>
        </is>
      </c>
      <c r="X78" s="10" t="n"/>
    </row>
    <row r="79">
      <c r="A79" s="10" t="n">
        <v>78</v>
      </c>
      <c r="B79" s="11" t="n">
        <v>46218</v>
      </c>
      <c r="C79" s="11" t="n">
        <v>46218</v>
      </c>
      <c r="D79" s="10">
        <f>MONTH(B79)&amp;"月"</f>
        <v/>
      </c>
      <c r="E79" s="12" t="n">
        <v>1</v>
      </c>
      <c r="F79" s="10" t="n"/>
      <c r="G79" s="10" t="inlineStr">
        <is>
          <t>7/15(水) 16:00-【大好評セミナーを再配信！】 Copilot Studio活用の壁は「役割分担」で越える。 現場任せにせず、PoCを実務レベルへ引き上げる成功法則ポイント</t>
        </is>
      </c>
      <c r="H79" s="10" t="inlineStr">
        <is>
          <t>skillupai</t>
        </is>
      </c>
      <c r="I79" s="10" t="n"/>
      <c r="J79" s="10" t="inlineStr">
        <is>
          <t>Doorkeeper</t>
        </is>
      </c>
      <c r="K79" s="10" t="inlineStr">
        <is>
          <t>オンライン</t>
        </is>
      </c>
      <c r="L79" s="10" t="n"/>
      <c r="M79" s="10" t="inlineStr">
        <is>
          <t>生産性向上・業務効率化</t>
        </is>
      </c>
      <c r="N79" s="10" t="inlineStr">
        <is>
          <t>AIエージェント</t>
        </is>
      </c>
      <c r="O79" s="12" t="inlineStr">
        <is>
          <t>◎</t>
        </is>
      </c>
      <c r="P79" s="13" t="n">
        <v>0</v>
      </c>
      <c r="Q79" s="12" t="inlineStr">
        <is>
          <t>参加者数</t>
        </is>
      </c>
      <c r="R79" s="14" t="n">
        <v>30</v>
      </c>
      <c r="S79" s="10" t="n"/>
      <c r="T79" s="10" t="inlineStr">
        <is>
          <t xml:space="preserve"> ■ プログラム概要 多くの企業がMicrosoft 365 Copilotを導入し、Copilot StudioによるPoCに取り組み始めています。しかし、いざ実務に投入しようとすると「期待した回答が返ってこない」「社内システムとの連携がうまくいかない」といった壁に直面し、プロジェクトが停滞してしまうケースが少なくありません。 本セミナーでは、AIエージェントを「PoC」で終わらせず、「実務の即戦力」へと引き上げるためのポイントを解説</t>
        </is>
      </c>
      <c r="U79" s="15" t="inlineStr">
        <is>
          <t>https://skillupai.doorkeeper.jp/events/197871</t>
        </is>
      </c>
      <c r="V79" s="10" t="n"/>
      <c r="W79" s="10" t="inlineStr">
        <is>
          <t>タイトル一致</t>
        </is>
      </c>
      <c r="X79" s="10" t="n"/>
    </row>
    <row r="80">
      <c r="A80" s="10" t="n">
        <v>79</v>
      </c>
      <c r="B80" s="11" t="n">
        <v>46218</v>
      </c>
      <c r="C80" s="11" t="n">
        <v>46218</v>
      </c>
      <c r="D80" s="10">
        <f>MONTH(B80)&amp;"月"</f>
        <v/>
      </c>
      <c r="E80" s="12" t="n">
        <v>1</v>
      </c>
      <c r="F80" s="10" t="n"/>
      <c r="G80" s="10" t="inlineStr">
        <is>
          <t>AIが脆弱性を見つける時代、何を優先的に守るべきか？ ～攻撃者視点でリスクを見て、防御対象を見極める～</t>
        </is>
      </c>
      <c r="H80" s="10" t="inlineStr">
        <is>
          <t>KELA株式会社</t>
        </is>
      </c>
      <c r="I80" s="10" t="inlineStr">
        <is>
          <t>マジセミ株式会社</t>
        </is>
      </c>
      <c r="J80" s="10" t="inlineStr">
        <is>
          <t>Doorkeeper</t>
        </is>
      </c>
      <c r="K80" s="10" t="inlineStr">
        <is>
          <t>不明</t>
        </is>
      </c>
      <c r="L80" s="10" t="n"/>
      <c r="M80" s="10" t="inlineStr">
        <is>
          <t>営業・マーケ・CS</t>
        </is>
      </c>
      <c r="N80" s="10" t="inlineStr">
        <is>
          <t>AIエージェント</t>
        </is>
      </c>
      <c r="O80" s="12" t="inlineStr">
        <is>
          <t>○</t>
        </is>
      </c>
      <c r="P80" s="13" t="n">
        <v>0</v>
      </c>
      <c r="Q80" s="12" t="inlineStr">
        <is>
          <t>参加者数</t>
        </is>
      </c>
      <c r="R80" s="14" t="n"/>
      <c r="S80" s="10" t="n"/>
      <c r="T80"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AIによって脆弱性発見が加速し、攻撃対象の発見も加速している現実 近年、生成AIやAIエージェントの進化により、脆弱性の発見や調査はかつてないスピードで行われるようになりました。 しかし、本当に警戒すべ</t>
        </is>
      </c>
      <c r="U80" s="15" t="inlineStr">
        <is>
          <t>https://majisemi-security.doorkeeper.jp/events/197893</t>
        </is>
      </c>
      <c r="V80" s="10" t="n"/>
      <c r="W80" s="10" t="inlineStr">
        <is>
          <t>本文一致</t>
        </is>
      </c>
      <c r="X80" s="10" t="n"/>
    </row>
    <row r="81">
      <c r="A81" s="10" t="n">
        <v>80</v>
      </c>
      <c r="B81" s="11" t="n">
        <v>46218</v>
      </c>
      <c r="C81" s="11" t="n">
        <v>46219</v>
      </c>
      <c r="D81" s="10">
        <f>MONTH(B81)&amp;"月"</f>
        <v/>
      </c>
      <c r="E81" s="12" t="n">
        <v>1</v>
      </c>
      <c r="F81" s="10" t="n"/>
      <c r="G81" s="10" t="inlineStr">
        <is>
          <t>CC AI BENCHMARK 2026（2Daysオンラインカンファレンス）</t>
        </is>
      </c>
      <c r="H81" s="10" t="inlineStr">
        <is>
          <t>株式会社Edge Works</t>
        </is>
      </c>
      <c r="I81" s="10" t="inlineStr">
        <is>
          <t>コンタクトセンター向けAI企業20社</t>
        </is>
      </c>
      <c r="J81" s="10" t="inlineStr">
        <is>
          <t>個別調査（公式サイト・PR TIMES等）</t>
        </is>
      </c>
      <c r="K81" s="10" t="inlineStr">
        <is>
          <t>オンライン</t>
        </is>
      </c>
      <c r="L81" s="10" t="inlineStr">
        <is>
          <t>Zoom Webinar</t>
        </is>
      </c>
      <c r="M81" s="10" t="inlineStr">
        <is>
          <t>営業・マーケ・CS</t>
        </is>
      </c>
      <c r="N81" s="10" t="inlineStr">
        <is>
          <t>AIエージェント</t>
        </is>
      </c>
      <c r="O81" s="12" t="inlineStr">
        <is>
          <t>◎</t>
        </is>
      </c>
      <c r="P81" s="13" t="n">
        <v>500</v>
      </c>
      <c r="Q81" s="12" t="inlineStr">
        <is>
          <t>申込数</t>
        </is>
      </c>
      <c r="R81" s="14" t="n"/>
      <c r="S81" s="10" t="inlineStr">
        <is>
          <t>告知時点で「申込500名突破」（各日の定員は1,000名）</t>
        </is>
      </c>
      <c r="T81" s="10" t="inlineStr">
        <is>
          <t>コンタクトセンター向けAIサービス20社を2日間で比較する無料カンファレンス。ベンチマークレポートの配布もある。</t>
        </is>
      </c>
      <c r="U81" s="15" t="inlineStr">
        <is>
          <t>https://prtimes.jp/main/html/rd/p/000000006.000163625.html</t>
        </is>
      </c>
      <c r="V81" s="10" t="n"/>
      <c r="W81" s="10" t="inlineStr">
        <is>
          <t>個別確認</t>
        </is>
      </c>
      <c r="X81" s="10" t="inlineStr">
        <is>
          <t>CS・コンタクトセンター領域</t>
        </is>
      </c>
    </row>
    <row r="82">
      <c r="A82" s="10" t="n">
        <v>81</v>
      </c>
      <c r="B82" s="11" t="n">
        <v>46218</v>
      </c>
      <c r="C82" s="11" t="n">
        <v>46219</v>
      </c>
      <c r="D82" s="10">
        <f>MONTH(B82)&amp;"月"</f>
        <v/>
      </c>
      <c r="E82" s="12" t="n">
        <v>1</v>
      </c>
      <c r="F82" s="10" t="n"/>
      <c r="G82" s="10" t="inlineStr">
        <is>
          <t>Fujitsu Experience Day 2026</t>
        </is>
      </c>
      <c r="H82" s="10" t="inlineStr">
        <is>
          <t>富士通</t>
        </is>
      </c>
      <c r="I82" s="10" t="n"/>
      <c r="J82" s="10" t="inlineStr">
        <is>
          <t>個別調査（公式サイト・PR TIMES等）</t>
        </is>
      </c>
      <c r="K82" s="10" t="inlineStr">
        <is>
          <t>会場</t>
        </is>
      </c>
      <c r="L82" s="10" t="inlineStr">
        <is>
          <t>TAKANAWA GATEWAY Convention Center</t>
        </is>
      </c>
      <c r="M82" s="10" t="inlineStr">
        <is>
          <t>大型カンファレンス・展示会</t>
        </is>
      </c>
      <c r="N82" s="10" t="inlineStr">
        <is>
          <t>AIエージェント</t>
        </is>
      </c>
      <c r="O82" s="12" t="inlineStr">
        <is>
          <t>◎</t>
        </is>
      </c>
      <c r="P82" s="13" t="n"/>
      <c r="Q82" s="12" t="inlineStr">
        <is>
          <t>不明</t>
        </is>
      </c>
      <c r="R82" s="14" t="n"/>
      <c r="S82" s="10" t="n"/>
      <c r="T82" s="10" t="inlineStr">
        <is>
          <t>自己進化型マルチAIエージェントや、店舗・在庫向けのAIエージェントなど、44の技術・ソリューションを展示した。</t>
        </is>
      </c>
      <c r="U82" s="15" t="inlineStr">
        <is>
          <t>https://cloud.watch.impress.co.jp/docs/event/2125529.html</t>
        </is>
      </c>
      <c r="V82" s="10" t="n"/>
      <c r="W82" s="10" t="inlineStr">
        <is>
          <t>個別確認</t>
        </is>
      </c>
      <c r="X82" s="10" t="n"/>
    </row>
    <row r="83">
      <c r="A83" s="10" t="n">
        <v>82</v>
      </c>
      <c r="B83" s="11" t="n">
        <v>46218</v>
      </c>
      <c r="C83" s="11" t="n">
        <v>46220</v>
      </c>
      <c r="D83" s="10">
        <f>MONTH(B83)&amp;"月"</f>
        <v/>
      </c>
      <c r="E83" s="12" t="n">
        <v>1</v>
      </c>
      <c r="F83" s="10" t="n"/>
      <c r="G83" s="10" t="inlineStr">
        <is>
          <t>TECHNO-FRONTIER 2026（製造業向け生成AI展を新設）</t>
        </is>
      </c>
      <c r="H83" s="10" t="inlineStr">
        <is>
          <t>日本能率協会</t>
        </is>
      </c>
      <c r="I83" s="10" t="n"/>
      <c r="J83" s="10" t="inlineStr">
        <is>
          <t>個別調査（公式サイト・PR TIMES等）</t>
        </is>
      </c>
      <c r="K83" s="10" t="inlineStr">
        <is>
          <t>会場</t>
        </is>
      </c>
      <c r="L83" s="10" t="inlineStr">
        <is>
          <t>東京ビッグサイト西展示棟</t>
        </is>
      </c>
      <c r="M83" s="10" t="inlineStr">
        <is>
          <t>生産管理・製造・SCM</t>
        </is>
      </c>
      <c r="N83" s="10" t="inlineStr">
        <is>
          <t>AIエージェント（生成AI中心）</t>
        </is>
      </c>
      <c r="O83" s="12" t="inlineStr">
        <is>
          <t>◎</t>
        </is>
      </c>
      <c r="P83" s="13" t="n">
        <v>33637</v>
      </c>
      <c r="Q83" s="12" t="inlineStr">
        <is>
          <t>来場者数</t>
        </is>
      </c>
      <c r="R83" s="14" t="n"/>
      <c r="S83" s="10" t="n"/>
      <c r="T83" s="10" t="inlineStr">
        <is>
          <t>生成AI、スマートファクトリーDX、FA・ロボット、OTセキュリティなどを展示した。出展は440社・842小間。</t>
        </is>
      </c>
      <c r="U83" s="15" t="inlineStr">
        <is>
          <t>https://jma-news.com/archives/7037</t>
        </is>
      </c>
      <c r="V83" s="10" t="n"/>
      <c r="W83" s="10" t="inlineStr">
        <is>
          <t>個別確認</t>
        </is>
      </c>
      <c r="X83" s="10" t="inlineStr">
        <is>
          <t>AIエージェントとしての打ち出しは弱い</t>
        </is>
      </c>
    </row>
    <row r="84">
      <c r="A84" s="10" t="n">
        <v>83</v>
      </c>
      <c r="B84" s="11" t="n">
        <v>46218</v>
      </c>
      <c r="C84" s="11" t="n">
        <v>46218</v>
      </c>
      <c r="D84" s="10">
        <f>MONTH(B84)&amp;"月"</f>
        <v/>
      </c>
      <c r="E84" s="12" t="n">
        <v>1</v>
      </c>
      <c r="F84" s="10" t="n"/>
      <c r="G84" s="10" t="inlineStr">
        <is>
          <t>【7/15開催】仕事を減らして成果を増やす「AI社員」の作り方 入門|つながる交流勉強会</t>
        </is>
      </c>
      <c r="H84" s="10" t="inlineStr">
        <is>
          <t>クロストーク</t>
        </is>
      </c>
      <c r="I84" s="10" t="n"/>
      <c r="J84" s="10" t="inlineStr">
        <is>
          <t>こくちーずプロ</t>
        </is>
      </c>
      <c r="K84" s="10" t="inlineStr">
        <is>
          <t>オフライン（会場）</t>
        </is>
      </c>
      <c r="L84" s="10" t="inlineStr">
        <is>
          <t>Moccoハナレ2階セミナールーム 兵庫県姫路市南町33 2F</t>
        </is>
      </c>
      <c r="M84" s="10" t="inlineStr">
        <is>
          <t>生産性向上・業務効率化</t>
        </is>
      </c>
      <c r="N84" s="10" t="inlineStr">
        <is>
          <t>AIエージェント</t>
        </is>
      </c>
      <c r="O84" s="12" t="inlineStr">
        <is>
          <t>○</t>
        </is>
      </c>
      <c r="P84" s="13" t="n">
        <v>18</v>
      </c>
      <c r="Q84" s="12" t="inlineStr">
        <is>
          <t>イベント参加 18/20</t>
        </is>
      </c>
      <c r="R84" s="14" t="n">
        <v>20</v>
      </c>
      <c r="S84" s="10" t="n"/>
      <c r="T84" s="10" t="inlineStr">
        <is>
          <t>ChatGPTなどのチャットAIを使ってみたものの、 「結局、質問するだけで終わっている」 「業務効率化にどうつなげればいいかわからない」 「AIエージェントって最近よく聞くけど、何が違うの？」 そんな方に向けた、初心者にもわかりやすいAI活用入門セミナーです。 今回のテーマは、 “相談相手としてのAI”から、“業務を任せるAI社員”へ。 ChatGPTなどのチャットAIと、Claude Code / CodexなどのAIエージェントの</t>
        </is>
      </c>
      <c r="U84" s="15" t="inlineStr">
        <is>
          <t>https://www.kokuchpro.com/event/ffd85486629ca5f8cedca3e74e382492/</t>
        </is>
      </c>
      <c r="V84" s="10" t="n"/>
      <c r="W84" s="10" t="inlineStr">
        <is>
          <t>本文一致</t>
        </is>
      </c>
      <c r="X84" s="10" t="n"/>
    </row>
    <row r="85">
      <c r="A85" s="10" t="n">
        <v>84</v>
      </c>
      <c r="B85" s="11" t="n">
        <v>46218</v>
      </c>
      <c r="C85" s="11" t="n">
        <v>46218</v>
      </c>
      <c r="D85" s="10">
        <f>MONTH(B85)&amp;"月"</f>
        <v/>
      </c>
      <c r="E85" s="12" t="n">
        <v>1</v>
      </c>
      <c r="F85" s="10" t="n"/>
      <c r="G85" s="10" t="inlineStr">
        <is>
          <t>【7月15日（水）無料オンラインセミナー】「バズ狙い」はもう終わり？ マーケティング担当者のためのAIエージェント活用</t>
        </is>
      </c>
      <c r="H85" s="10" t="inlineStr">
        <is>
          <t>ソニーネットワークコミュニケーションズ株式会社、ＡＲアドバンストテクノロジ株式会社</t>
        </is>
      </c>
      <c r="I85" s="10" t="n"/>
      <c r="J85" s="10" t="inlineStr">
        <is>
          <t>PR TIMES</t>
        </is>
      </c>
      <c r="K85" s="10" t="inlineStr">
        <is>
          <t>online</t>
        </is>
      </c>
      <c r="L85" s="10" t="inlineStr">
        <is>
          <t>オンライン（Zoom）</t>
        </is>
      </c>
      <c r="M85" s="10" t="inlineStr">
        <is>
          <t>営業・マーケ・CS</t>
        </is>
      </c>
      <c r="N85" s="10" t="inlineStr">
        <is>
          <t>AIエージェント</t>
        </is>
      </c>
      <c r="O85" s="12" t="inlineStr">
        <is>
          <t>◎</t>
        </is>
      </c>
      <c r="P85" s="13" t="n"/>
      <c r="Q85" s="12" t="inlineStr">
        <is>
          <t>不明</t>
        </is>
      </c>
      <c r="R85" s="14" t="n"/>
      <c r="S85" s="10" t="n"/>
      <c r="T85" s="10" t="inlineStr">
        <is>
          <t>ＡＲアドバンストテクノロジ株式会社（本社：東京都渋谷区、代表取締役社長：武内 寿憲、以下ARI）とソニーネットワークコミュニケーションズ株式会社（本社：東京都品川区）は、2026年7月15日（水）、無料Webセミナー「「バズ狙い」はもう終わり？マーケティング担当者のためのAIエージェント活用〜ファンの熱量を資産に変える仕組みとは？〜」を共催いたします。 新規顧客獲得コストが高騰し、広告やバズ頼みの施策だけでは持続的な成長が難しくなってい</t>
        </is>
      </c>
      <c r="U85" s="15" t="inlineStr">
        <is>
          <t>https://prtimes.jp/main/html/rd/p/000000124.000066765.html</t>
        </is>
      </c>
      <c r="V85" s="10" t="n"/>
      <c r="W85" s="10" t="inlineStr">
        <is>
          <t>タイトル一致</t>
        </is>
      </c>
      <c r="X85" s="10" t="n"/>
    </row>
    <row r="86">
      <c r="A86" s="10" t="n">
        <v>85</v>
      </c>
      <c r="B86" s="11" t="n">
        <v>46218</v>
      </c>
      <c r="C86" s="11" t="n">
        <v>46218</v>
      </c>
      <c r="D86" s="10">
        <f>MONTH(B86)&amp;"月"</f>
        <v/>
      </c>
      <c r="E86" s="12" t="n">
        <v>1</v>
      </c>
      <c r="F86" s="10" t="n"/>
      <c r="G86" s="10" t="inlineStr">
        <is>
          <t>【Claude Code】並行開発、どう回してる？ 鹿野さんに聞く 私の推しの並行開発環境 大公開</t>
        </is>
      </c>
      <c r="H86" s="10" t="inlineStr">
        <is>
          <t>#Offers_DeepDive / オファーズ</t>
        </is>
      </c>
      <c r="I86" s="10" t="n"/>
      <c r="J86" s="10" t="inlineStr">
        <is>
          <t>connpass</t>
        </is>
      </c>
      <c r="K86" s="10" t="inlineStr">
        <is>
          <t>オンライン</t>
        </is>
      </c>
      <c r="L86" s="10" t="inlineStr">
        <is>
          <t>オンライン</t>
        </is>
      </c>
      <c r="M86" s="10" t="inlineStr">
        <is>
          <t>開発生産性</t>
        </is>
      </c>
      <c r="N86" s="10" t="inlineStr">
        <is>
          <t>AIエージェント</t>
        </is>
      </c>
      <c r="O86" s="12" t="inlineStr">
        <is>
          <t>○</t>
        </is>
      </c>
      <c r="P86" s="13" t="n">
        <v>488</v>
      </c>
      <c r="Q86" s="12" t="inlineStr">
        <is>
          <t>参加者数</t>
        </is>
      </c>
      <c r="R86" s="14" t="n"/>
      <c r="S86" s="10" t="n"/>
      <c r="T86" s="10" t="n"/>
      <c r="U86" s="15" t="inlineStr">
        <is>
          <t>https://offers-jp.connpass.com/event/395255/</t>
        </is>
      </c>
      <c r="V86" s="10" t="n"/>
      <c r="W86" s="10" t="inlineStr">
        <is>
          <t>タイトル一致</t>
        </is>
      </c>
      <c r="X86" s="10" t="n"/>
    </row>
    <row r="87">
      <c r="A87" s="10" t="n">
        <v>86</v>
      </c>
      <c r="B87" s="11" t="n">
        <v>46218</v>
      </c>
      <c r="C87" s="11" t="n">
        <v>46218</v>
      </c>
      <c r="D87" s="10">
        <f>MONTH(B87)&amp;"月"</f>
        <v/>
      </c>
      <c r="E87" s="12" t="n">
        <v>1</v>
      </c>
      <c r="F87" s="10" t="n"/>
      <c r="G87" s="10" t="inlineStr">
        <is>
          <t>【Flashセミナー Vol.156】AIは「道具」から「チームメイト」へ ひとりユニコーン経営</t>
        </is>
      </c>
      <c r="H87" s="10" t="inlineStr">
        <is>
          <t>web-mining</t>
        </is>
      </c>
      <c r="I87" s="10" t="n"/>
      <c r="J87" s="10" t="inlineStr">
        <is>
          <t>Doorkeeper</t>
        </is>
      </c>
      <c r="K87" s="10" t="inlineStr">
        <is>
          <t>不明</t>
        </is>
      </c>
      <c r="L87" s="10" t="n"/>
      <c r="M87" s="10" t="inlineStr">
        <is>
          <t>生産性向上・業務効率化</t>
        </is>
      </c>
      <c r="N87" s="10" t="inlineStr">
        <is>
          <t>MCP</t>
        </is>
      </c>
      <c r="O87" s="12" t="inlineStr">
        <is>
          <t>○</t>
        </is>
      </c>
      <c r="P87" s="13" t="n">
        <v>96</v>
      </c>
      <c r="Q87" s="12" t="inlineStr">
        <is>
          <t>参加者数</t>
        </is>
      </c>
      <c r="R87" s="14" t="n">
        <v>250</v>
      </c>
      <c r="S87" s="10" t="n"/>
      <c r="T87" s="10" t="inlineStr">
        <is>
          <t xml:space="preserve"> こちらのセミナーは「参加要件」がございます。 必ずお読みください。 セミナー内容 2026年、生成AIは便利な道具から「自ら考え、計画し、実行する同僚」へと進化しました。Claude Cowork、ChatGPT Codex、Google Antigravityの3大プラットフォームが整い、AIに業務をまるごと任せる経営が現実になりつつあります。 一方で多くの経営者は、どのプラットフォームを、何から使うかの入り口で足を止めています。 </t>
        </is>
      </c>
      <c r="U87" s="15" t="inlineStr">
        <is>
          <t>https://web-mining.doorkeeper.jp/events/197930</t>
        </is>
      </c>
      <c r="V87" s="10" t="n"/>
      <c r="W87" s="10" t="inlineStr">
        <is>
          <t>本文一致</t>
        </is>
      </c>
      <c r="X87" s="10" t="n"/>
    </row>
    <row r="88">
      <c r="A88" s="10" t="n">
        <v>87</v>
      </c>
      <c r="B88" s="11" t="n">
        <v>46218</v>
      </c>
      <c r="C88" s="11" t="n">
        <v>46218</v>
      </c>
      <c r="D88" s="10">
        <f>MONTH(B88)&amp;"月"</f>
        <v/>
      </c>
      <c r="E88" s="12" t="n">
        <v>1</v>
      </c>
      <c r="F88" s="10" t="n"/>
      <c r="G88" s="10" t="inlineStr">
        <is>
          <t>【再放送】今起きているサービス遅延の原因箇所まで、そのままドリルダウンできますか？ ～全トランザクションを常時自動記録し、AI分析で実行中のボトルネックを可視化～</t>
        </is>
      </c>
      <c r="H88" s="10" t="inlineStr">
        <is>
          <t>ワタップ・ジャパン株式会社</t>
        </is>
      </c>
      <c r="I88" s="10" t="inlineStr">
        <is>
          <t>マジセミ株式会社</t>
        </is>
      </c>
      <c r="J88" s="10" t="inlineStr">
        <is>
          <t>Doorkeeper</t>
        </is>
      </c>
      <c r="K88" s="10" t="inlineStr">
        <is>
          <t>不明</t>
        </is>
      </c>
      <c r="L88" s="10" t="n"/>
      <c r="M88" s="10" t="inlineStr">
        <is>
          <t>開発生産性</t>
        </is>
      </c>
      <c r="N88" s="10" t="inlineStr">
        <is>
          <t>AIエージェント</t>
        </is>
      </c>
      <c r="O88" s="12" t="inlineStr">
        <is>
          <t>△</t>
        </is>
      </c>
      <c r="P88" s="13" t="n">
        <v>0</v>
      </c>
      <c r="Q88" s="12" t="inlineStr">
        <is>
          <t>参加者数</t>
        </is>
      </c>
      <c r="R88" s="14" t="n"/>
      <c r="S88" s="10" t="n"/>
      <c r="T88" s="10" t="inlineStr">
        <is>
          <t xml:space="preserve"> 本セミナーはWebセミナーです ツールはSPEAKERSを使います。URLは直前にメールにてご連絡いたします。 なお、「osslabo.com」「majisemi.com」からのメールが迷惑メールとならないよう、メールの設定をご確認ください。 本セミナーは2026年5月20日に開催されたセミナーの再放送です。 多くのご要望をいただきましたので、再放送の開催が決まりました。 サービス遅延の原因把握が難しくなる背景 クラウド活用やマイクロ</t>
        </is>
      </c>
      <c r="U88" s="15" t="inlineStr">
        <is>
          <t>https://majisemi-operation.doorkeeper.jp/events/197891</t>
        </is>
      </c>
      <c r="V88" s="10" t="n"/>
      <c r="W88" s="10" t="inlineStr">
        <is>
          <t>本文一致</t>
        </is>
      </c>
      <c r="X88" s="10" t="n"/>
    </row>
    <row r="89">
      <c r="A89" s="10" t="n">
        <v>88</v>
      </c>
      <c r="B89" s="11" t="n">
        <v>46218</v>
      </c>
      <c r="C89" s="11" t="n">
        <v>46218</v>
      </c>
      <c r="D89" s="10">
        <f>MONTH(B89)&amp;"月"</f>
        <v/>
      </c>
      <c r="E89" s="12" t="n">
        <v>1</v>
      </c>
      <c r="F89" s="10" t="n"/>
      <c r="G89" s="10" t="inlineStr">
        <is>
          <t>【水曜のDX道場】AIが資料を見落とすのはなぜ？ DifyとGeminiで体験する</t>
        </is>
      </c>
      <c r="H89" s="10" t="inlineStr">
        <is>
          <t>水曜のDX道場</t>
        </is>
      </c>
      <c r="I89" s="10" t="n"/>
      <c r="J89" s="10" t="inlineStr">
        <is>
          <t>connpass</t>
        </is>
      </c>
      <c r="K89" s="10" t="inlineStr">
        <is>
          <t>会場</t>
        </is>
      </c>
      <c r="L89" s="10" t="inlineStr">
        <is>
          <t>大阪市北区本庄東１−１８−８</t>
        </is>
      </c>
      <c r="M89" s="10" t="inlineStr">
        <is>
          <t>生産性向上・業務効率化</t>
        </is>
      </c>
      <c r="N89" s="10" t="inlineStr">
        <is>
          <t>AIエージェント</t>
        </is>
      </c>
      <c r="O89" s="12" t="inlineStr">
        <is>
          <t>◎</t>
        </is>
      </c>
      <c r="P89" s="13" t="n">
        <v>5</v>
      </c>
      <c r="Q89" s="12" t="inlineStr">
        <is>
          <t>参加者数</t>
        </is>
      </c>
      <c r="R89" s="14" t="n">
        <v>12</v>
      </c>
      <c r="S89" s="10" t="n"/>
      <c r="T89" s="10" t="n"/>
      <c r="U89" s="15" t="inlineStr">
        <is>
          <t>https://dxdojo.connpass.com/event/400043/</t>
        </is>
      </c>
      <c r="V89" s="10" t="n"/>
      <c r="W89" s="10" t="inlineStr">
        <is>
          <t>タイトル一致</t>
        </is>
      </c>
      <c r="X89" s="10" t="n"/>
    </row>
    <row r="90">
      <c r="A90" s="10" t="n">
        <v>89</v>
      </c>
      <c r="B90" s="11" t="n">
        <v>46218</v>
      </c>
      <c r="C90" s="11" t="n">
        <v>46218</v>
      </c>
      <c r="D90" s="10">
        <f>MONTH(B90)&amp;"月"</f>
        <v/>
      </c>
      <c r="E90" s="12" t="n">
        <v>1</v>
      </c>
      <c r="F90" s="10" t="n"/>
      <c r="G90" s="10" t="inlineStr">
        <is>
          <t>【社長限定】いまさら聞けない!ClaudeCode活用術社長がまず使う8つの場面を徹底解説!</t>
        </is>
      </c>
      <c r="H90" s="10" t="inlineStr">
        <is>
          <t>給与アップ研究所セミナー事務局</t>
        </is>
      </c>
      <c r="I90" s="10" t="n"/>
      <c r="J90" s="10" t="inlineStr">
        <is>
          <t>こくちーずプロ</t>
        </is>
      </c>
      <c r="K90" s="10" t="inlineStr">
        <is>
          <t>オンライン</t>
        </is>
      </c>
      <c r="L90" s="10" t="inlineStr">
        <is>
          <t>オンライン 日本</t>
        </is>
      </c>
      <c r="M90" s="10" t="inlineStr">
        <is>
          <t>営業・マーケ・CS</t>
        </is>
      </c>
      <c r="N90" s="10" t="inlineStr">
        <is>
          <t>AIエージェント</t>
        </is>
      </c>
      <c r="O90" s="12" t="inlineStr">
        <is>
          <t>◎</t>
        </is>
      </c>
      <c r="P90" s="13" t="n">
        <v>1</v>
      </c>
      <c r="Q90" s="12" t="inlineStr">
        <is>
          <t>イベント参加 1/100</t>
        </is>
      </c>
      <c r="R90" s="14" t="n">
        <v>100</v>
      </c>
      <c r="S90" s="10" t="n"/>
      <c r="T90" s="10" t="inlineStr">
        <is>
          <t>【社長限定】いまさら聞けない！Claude Code活用術 ～社長がまず使う8つの場面を徹底解説～ ━━━━━━━━━━━━━━━━━━ ■開催概要 ━━━━━━━━━━━━━━━━━━ 日時 2026年7月15日（水）12:00～13:00 形式 オンライン（Zoom） 参加費 無料 ━━━━━━━━━━━━━━━━━━ ■こんなお悩みはありませんか？ ━━━━━━━━━━━━━━━━━━ ChatGPTは触ったことがあるけど、その先</t>
        </is>
      </c>
      <c r="U90" s="15" t="inlineStr">
        <is>
          <t>https://www.kokuchpro.com/event/5a90e9ce3378e22b2b7efdec4b2b699d/</t>
        </is>
      </c>
      <c r="V90" s="10" t="n"/>
      <c r="W90" s="10" t="inlineStr">
        <is>
          <t>タイトル一致</t>
        </is>
      </c>
      <c r="X90" s="10" t="n"/>
    </row>
    <row r="91">
      <c r="A91" s="10" t="n">
        <v>90</v>
      </c>
      <c r="B91" s="11" t="n">
        <v>46218</v>
      </c>
      <c r="C91" s="11" t="n">
        <v>46218</v>
      </c>
      <c r="D91" s="10">
        <f>MONTH(B91)&amp;"月"</f>
        <v/>
      </c>
      <c r="E91" s="12" t="n">
        <v>1</v>
      </c>
      <c r="F91" s="10" t="n"/>
      <c r="G91" s="10" t="inlineStr">
        <is>
          <t>クラウド食堂 #9 ~AIエージェント活用 LT会~</t>
        </is>
      </c>
      <c r="H91" s="10" t="inlineStr">
        <is>
          <t>クラウド食堂</t>
        </is>
      </c>
      <c r="I91" s="10" t="n"/>
      <c r="J91" s="10" t="inlineStr">
        <is>
          <t>connpass</t>
        </is>
      </c>
      <c r="K91" s="10" t="inlineStr">
        <is>
          <t>会場</t>
        </is>
      </c>
      <c r="L91" s="10" t="inlineStr">
        <is>
          <t>東京都港区虎ノ門1-17-1（虎ノ門ヒルズ ビジネスタワー 29F）</t>
        </is>
      </c>
      <c r="M91" s="10" t="inlineStr">
        <is>
          <t>技術・AI全般</t>
        </is>
      </c>
      <c r="N91" s="10" t="inlineStr">
        <is>
          <t>AIエージェント</t>
        </is>
      </c>
      <c r="O91" s="12" t="inlineStr">
        <is>
          <t>○</t>
        </is>
      </c>
      <c r="P91" s="13" t="n">
        <v>50</v>
      </c>
      <c r="Q91" s="12" t="inlineStr">
        <is>
          <t>参加者数</t>
        </is>
      </c>
      <c r="R91" s="14" t="n">
        <v>67</v>
      </c>
      <c r="S91" s="10" t="n"/>
      <c r="T91" s="10" t="n"/>
      <c r="U91" s="15" t="inlineStr">
        <is>
          <t>https://cloud-shokudo.connpass.com/event/394462/</t>
        </is>
      </c>
      <c r="V91" s="10" t="n"/>
      <c r="W91" s="10" t="inlineStr">
        <is>
          <t>タイトル一致</t>
        </is>
      </c>
      <c r="X91" s="10" t="n"/>
    </row>
    <row r="92">
      <c r="A92" s="10" t="n">
        <v>91</v>
      </c>
      <c r="B92" s="11" t="n">
        <v>46218</v>
      </c>
      <c r="C92" s="11" t="n">
        <v>46218</v>
      </c>
      <c r="D92" s="10">
        <f>MONTH(B92)&amp;"月"</f>
        <v/>
      </c>
      <c r="E92" s="12" t="n">
        <v>1</v>
      </c>
      <c r="F92" s="10" t="n"/>
      <c r="G92" s="10" t="inlineStr">
        <is>
          <t>株式会社homulaと共催WEBセミナー「AIエージェント時代の意思決定変革 — 人的資本をデータ駆動で動かす『意思決定OS』と『MCPソリューション』の最前線」 （録画配信）</t>
        </is>
      </c>
      <c r="H92" s="10" t="inlineStr">
        <is>
          <t>株式会社デリバリーコンサルティング、株式会社homula</t>
        </is>
      </c>
      <c r="I92" s="10" t="n"/>
      <c r="J92" s="10" t="inlineStr">
        <is>
          <t>PR TIMES</t>
        </is>
      </c>
      <c r="K92" s="10" t="inlineStr">
        <is>
          <t>online</t>
        </is>
      </c>
      <c r="L92" s="10" t="inlineStr">
        <is>
          <t>オンライン（ZOOM）</t>
        </is>
      </c>
      <c r="M92" s="10" t="inlineStr">
        <is>
          <t>生産性向上・業務効率化</t>
        </is>
      </c>
      <c r="N92" s="10" t="inlineStr">
        <is>
          <t>両方</t>
        </is>
      </c>
      <c r="O92" s="12" t="inlineStr">
        <is>
          <t>◎</t>
        </is>
      </c>
      <c r="P92" s="13" t="n"/>
      <c r="Q92" s="12" t="inlineStr">
        <is>
          <t>定員</t>
        </is>
      </c>
      <c r="R92" s="14" t="n">
        <v>100</v>
      </c>
      <c r="S92" s="10" t="n"/>
      <c r="T92" s="10" t="inlineStr">
        <is>
          <t>データリテラシーの向上を通じてデータドリブンカンパニーへの変革を支援する株式会社デリバリーコンサルティング（本社：東京都港区、取締役CEO：内藤 秀治郎）は、エンタープライズ向けAIエージェント導入支援を手がける株式会社homula（本社：東京都港区、代表取締役：福地峻）と共催でWEBセミナーを開催いたします。 ■テーマ AIエージェント時代の意思決定変革 — 人的資本をデータ駆動で動かす『意思決定OS』と『MCPソリューション』の最前</t>
        </is>
      </c>
      <c r="U92" s="15" t="inlineStr">
        <is>
          <t>https://prtimes.jp/main/html/rd/p/000000108.000108457.html</t>
        </is>
      </c>
      <c r="V92" s="10" t="n"/>
      <c r="W92" s="10" t="inlineStr">
        <is>
          <t>タイトル一致</t>
        </is>
      </c>
      <c r="X92" s="10" t="n"/>
    </row>
    <row r="93">
      <c r="A93" s="10" t="n">
        <v>92</v>
      </c>
      <c r="B93" s="11" t="n">
        <v>46218</v>
      </c>
      <c r="C93" s="11" t="n">
        <v>46218</v>
      </c>
      <c r="D93" s="10">
        <f>MONTH(B93)&amp;"月"</f>
        <v/>
      </c>
      <c r="E93" s="12" t="n">
        <v>1</v>
      </c>
      <c r="F93" s="10" t="n"/>
      <c r="G93" s="10" t="inlineStr">
        <is>
          <t>連続セミナー2026第3回、第4回：AIエージェントの現在地と展望～技術発展、産業創出、そして信頼される社会実装へ～(7月15日)</t>
        </is>
      </c>
      <c r="H93" s="10" t="inlineStr">
        <is>
          <t>情報処理学会</t>
        </is>
      </c>
      <c r="I93" s="10" t="n"/>
      <c r="J93" s="10" t="inlineStr">
        <is>
          <t>Peatix</t>
        </is>
      </c>
      <c r="K93" s="10" t="inlineStr">
        <is>
          <t>会場+オンライン</t>
        </is>
      </c>
      <c r="L93" s="10" t="n"/>
      <c r="M93" s="10" t="inlineStr">
        <is>
          <t>開発生産性</t>
        </is>
      </c>
      <c r="N93" s="10" t="inlineStr">
        <is>
          <t>AIエージェント</t>
        </is>
      </c>
      <c r="O93" s="12" t="inlineStr">
        <is>
          <t>○</t>
        </is>
      </c>
      <c r="P93" s="13" t="n"/>
      <c r="Q93" s="12" t="inlineStr">
        <is>
          <t>不明</t>
        </is>
      </c>
      <c r="R93" s="14" t="n"/>
      <c r="S93" s="10" t="n"/>
      <c r="T93" s="10" t="inlineStr">
        <is>
          <t>2026年7月15日10:00-16:00</t>
        </is>
      </c>
      <c r="U93" s="15" t="inlineStr">
        <is>
          <t>https://peatix.com/event/5007284</t>
        </is>
      </c>
      <c r="V93" s="10" t="n"/>
      <c r="W93" s="10" t="inlineStr">
        <is>
          <t>タイトル一致</t>
        </is>
      </c>
      <c r="X93" s="10" t="n"/>
    </row>
    <row r="94">
      <c r="A94" s="10" t="n">
        <v>93</v>
      </c>
      <c r="B94" s="11" t="n">
        <v>46219</v>
      </c>
      <c r="C94" s="11" t="n">
        <v>46219</v>
      </c>
      <c r="D94" s="10">
        <f>MONTH(B94)&amp;"月"</f>
        <v/>
      </c>
      <c r="E94" s="12" t="n">
        <v>1</v>
      </c>
      <c r="F94" s="10" t="n"/>
      <c r="G94" s="10" t="inlineStr">
        <is>
          <t>AIコーティングエージェントを安全に利用する、Dockerの新アプローチ</t>
        </is>
      </c>
      <c r="H94" s="10" t="inlineStr">
        <is>
          <t>Docker オフィシャル</t>
        </is>
      </c>
      <c r="I94" s="10" t="n"/>
      <c r="J94" s="10" t="inlineStr">
        <is>
          <t>connpass</t>
        </is>
      </c>
      <c r="K94" s="10" t="inlineStr">
        <is>
          <t>オンライン</t>
        </is>
      </c>
      <c r="L94" s="10" t="inlineStr">
        <is>
          <t>オンライン</t>
        </is>
      </c>
      <c r="M94" s="10" t="inlineStr">
        <is>
          <t>技術・AI全般</t>
        </is>
      </c>
      <c r="N94" s="10" t="inlineStr">
        <is>
          <t>AIエージェント</t>
        </is>
      </c>
      <c r="O94" s="12" t="inlineStr">
        <is>
          <t>○</t>
        </is>
      </c>
      <c r="P94" s="13" t="n">
        <v>205</v>
      </c>
      <c r="Q94" s="12" t="inlineStr">
        <is>
          <t>参加者数</t>
        </is>
      </c>
      <c r="R94" s="14" t="n"/>
      <c r="S94" s="10" t="n"/>
      <c r="T94" s="10" t="n"/>
      <c r="U94" s="15" t="inlineStr">
        <is>
          <t>https://dockerjapan.connpass.com/event/399476/</t>
        </is>
      </c>
      <c r="V94" s="10" t="n"/>
      <c r="W94" s="10" t="inlineStr">
        <is>
          <t>タイトル一致</t>
        </is>
      </c>
      <c r="X94" s="10" t="n"/>
    </row>
    <row r="95">
      <c r="A95" s="10" t="n">
        <v>94</v>
      </c>
      <c r="B95" s="11" t="n">
        <v>46219</v>
      </c>
      <c r="C95" s="11" t="n">
        <v>46219</v>
      </c>
      <c r="D95" s="10">
        <f>MONTH(B95)&amp;"月"</f>
        <v/>
      </c>
      <c r="E95" s="12" t="n">
        <v>1</v>
      </c>
      <c r="F95" s="10" t="n"/>
      <c r="G95" s="10" t="inlineStr">
        <is>
          <t>AWS Summit 2026で見えた、AIエージェント活用の壁 ～PoC止まり企業に不足する“データ利活用基盤”とは～</t>
        </is>
      </c>
      <c r="H95" s="10" t="inlineStr">
        <is>
          <t>株式会社シーイーシー</t>
        </is>
      </c>
      <c r="I95" s="10" t="inlineStr">
        <is>
          <t>アマゾン ウェブ サービス ジャパン合同会社 マジセミ株式会社</t>
        </is>
      </c>
      <c r="J95" s="10" t="inlineStr">
        <is>
          <t>Doorkeeper</t>
        </is>
      </c>
      <c r="K95" s="10" t="inlineStr">
        <is>
          <t>不明</t>
        </is>
      </c>
      <c r="L95" s="10" t="n"/>
      <c r="M95" s="10" t="inlineStr">
        <is>
          <t>生産性向上・業務効率化</t>
        </is>
      </c>
      <c r="N95" s="10" t="inlineStr">
        <is>
          <t>AIエージェント</t>
        </is>
      </c>
      <c r="O95" s="12" t="inlineStr">
        <is>
          <t>◎</t>
        </is>
      </c>
      <c r="P95" s="13" t="n">
        <v>7</v>
      </c>
      <c r="Q95" s="12" t="inlineStr">
        <is>
          <t>参加者数</t>
        </is>
      </c>
      <c r="R95" s="14" t="n">
        <v>7</v>
      </c>
      <c r="S95" s="10" t="n"/>
      <c r="T95"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AWS Summit 2026で加速するAIエージェント活用と、広がる本番適用検討 AWS Summit 2026では、AIエージェントや生成AIを活用した業務変革の事例が数多く紹介されました。 単なる</t>
        </is>
      </c>
      <c r="U95" s="15" t="inlineStr">
        <is>
          <t>https://majisemi-business.doorkeeper.jp/events/197619</t>
        </is>
      </c>
      <c r="V95" s="10" t="n"/>
      <c r="W95" s="10" t="inlineStr">
        <is>
          <t>タイトル一致</t>
        </is>
      </c>
      <c r="X95" s="10" t="n"/>
    </row>
    <row r="96">
      <c r="A96" s="10" t="n">
        <v>95</v>
      </c>
      <c r="B96" s="11" t="n">
        <v>46219</v>
      </c>
      <c r="C96" s="11" t="n">
        <v>46219</v>
      </c>
      <c r="D96" s="10">
        <f>MONTH(B96)&amp;"月"</f>
        <v/>
      </c>
      <c r="E96" s="12" t="n">
        <v>1</v>
      </c>
      <c r="F96" s="10" t="n"/>
      <c r="G96" s="10" t="inlineStr">
        <is>
          <t>Kaggleのチュートリアル第7版 実践編 〜寄稿者LTとコーディングエージェント時代〜</t>
        </is>
      </c>
      <c r="H96" s="10" t="inlineStr">
        <is>
          <t>カレーちゃんのAI道場</t>
        </is>
      </c>
      <c r="I96" s="10" t="n"/>
      <c r="J96" s="10" t="inlineStr">
        <is>
          <t>connpass</t>
        </is>
      </c>
      <c r="K96" s="10" t="inlineStr">
        <is>
          <t>オンライン</t>
        </is>
      </c>
      <c r="L96" s="10" t="inlineStr">
        <is>
          <t>YouTube</t>
        </is>
      </c>
      <c r="M96" s="10" t="inlineStr">
        <is>
          <t>開発生産性</t>
        </is>
      </c>
      <c r="N96" s="10" t="inlineStr">
        <is>
          <t>AIエージェント</t>
        </is>
      </c>
      <c r="O96" s="12" t="inlineStr">
        <is>
          <t>○</t>
        </is>
      </c>
      <c r="P96" s="13" t="n">
        <v>155</v>
      </c>
      <c r="Q96" s="12" t="inlineStr">
        <is>
          <t>参加者数</t>
        </is>
      </c>
      <c r="R96" s="14" t="n">
        <v>200</v>
      </c>
      <c r="S96" s="10" t="n"/>
      <c r="T96" s="10" t="n"/>
      <c r="U96" s="15" t="inlineStr">
        <is>
          <t>https://currypurin-dojo.connpass.com/event/399708/</t>
        </is>
      </c>
      <c r="V96" s="10" t="n"/>
      <c r="W96" s="10" t="inlineStr">
        <is>
          <t>タイトル一致</t>
        </is>
      </c>
      <c r="X96" s="10" t="n"/>
    </row>
    <row r="97">
      <c r="A97" s="10" t="n">
        <v>96</v>
      </c>
      <c r="B97" s="11" t="n">
        <v>46219</v>
      </c>
      <c r="C97" s="11" t="n">
        <v>46219</v>
      </c>
      <c r="D97" s="10">
        <f>MONTH(B97)&amp;"月"</f>
        <v/>
      </c>
      <c r="E97" s="12" t="n">
        <v>1</v>
      </c>
      <c r="F97" s="10" t="n"/>
      <c r="G97" s="10" t="inlineStr">
        <is>
          <t>ハーネスエンジニアリングを進化させ続ける！#4  マルチエージェントをどう設計・制御・改善する？</t>
        </is>
      </c>
      <c r="H97" s="10" t="inlineStr">
        <is>
          <t>Findy AI+</t>
        </is>
      </c>
      <c r="I97" s="10" t="n"/>
      <c r="J97" s="10" t="inlineStr">
        <is>
          <t>connpass</t>
        </is>
      </c>
      <c r="K97" s="10" t="inlineStr">
        <is>
          <t>会場</t>
        </is>
      </c>
      <c r="L97" s="10" t="inlineStr">
        <is>
          <t>〒141-0021 東京都品川区上大崎３丁目１−１ 目黒セントラルスクエア13F</t>
        </is>
      </c>
      <c r="M97" s="10" t="inlineStr">
        <is>
          <t>開発生産性</t>
        </is>
      </c>
      <c r="N97" s="10" t="inlineStr">
        <is>
          <t>AIエージェント</t>
        </is>
      </c>
      <c r="O97" s="12" t="inlineStr">
        <is>
          <t>○</t>
        </is>
      </c>
      <c r="P97" s="13" t="n">
        <v>155</v>
      </c>
      <c r="Q97" s="12" t="inlineStr">
        <is>
          <t>参加者数</t>
        </is>
      </c>
      <c r="R97" s="14" t="n">
        <v>472</v>
      </c>
      <c r="S97" s="10" t="n"/>
      <c r="T97" s="10" t="n"/>
      <c r="U97" s="15" t="inlineStr">
        <is>
          <t>https://findy-aiplus.connpass.com/event/399504/</t>
        </is>
      </c>
      <c r="V97" s="10" t="n"/>
      <c r="W97" s="10" t="inlineStr">
        <is>
          <t>タイトル一致</t>
        </is>
      </c>
      <c r="X97" s="10" t="n"/>
    </row>
    <row r="98">
      <c r="A98" s="10" t="n">
        <v>97</v>
      </c>
      <c r="B98" s="11" t="n">
        <v>46219</v>
      </c>
      <c r="C98" s="11" t="n">
        <v>46275</v>
      </c>
      <c r="D98" s="10">
        <f>MONTH(B98)&amp;"月"</f>
        <v/>
      </c>
      <c r="E98" s="12" t="n">
        <v>2</v>
      </c>
      <c r="F98" s="10" t="inlineStr">
        <is>
          <t>07/16、09/10</t>
        </is>
      </c>
      <c r="G98" s="10" t="inlineStr">
        <is>
          <t>企業内検索×生成AIで業務改革【企業内検索エージェント ～情報検索の最前線～】</t>
        </is>
      </c>
      <c r="H98" s="10" t="inlineStr">
        <is>
          <t>「QuickSolution」紹介ウェビナー担当</t>
        </is>
      </c>
      <c r="I98" s="10" t="n"/>
      <c r="J98" s="10" t="inlineStr">
        <is>
          <t>こくちーずプロ</t>
        </is>
      </c>
      <c r="K98" s="10" t="inlineStr">
        <is>
          <t>オンライン</t>
        </is>
      </c>
      <c r="L98" s="10" t="inlineStr">
        <is>
          <t>オンライン 日本</t>
        </is>
      </c>
      <c r="M98" s="10" t="inlineStr">
        <is>
          <t>生産性向上・業務効率化</t>
        </is>
      </c>
      <c r="N98" s="10" t="inlineStr">
        <is>
          <t>AIエージェント</t>
        </is>
      </c>
      <c r="O98" s="12" t="inlineStr">
        <is>
          <t>◎</t>
        </is>
      </c>
      <c r="P98" s="13" t="n"/>
      <c r="Q98" s="12" t="inlineStr">
        <is>
          <t>不明</t>
        </is>
      </c>
      <c r="R98" s="14" t="n"/>
      <c r="S98" s="10" t="inlineStr">
        <is>
          <t>全2回の合計</t>
        </is>
      </c>
      <c r="T98"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98" s="15" t="inlineStr">
        <is>
          <t>https://www.kokuchpro.com/event/bc0c1e38fe7bab499f3f6a2cb7fa845f/</t>
        </is>
      </c>
      <c r="V98" s="10" t="n"/>
      <c r="W98" s="10" t="inlineStr">
        <is>
          <t>タイトル一致</t>
        </is>
      </c>
      <c r="X98" s="10" t="n"/>
    </row>
    <row r="99">
      <c r="A99" s="10" t="n">
        <v>98</v>
      </c>
      <c r="B99" s="11" t="n">
        <v>46219</v>
      </c>
      <c r="C99" s="11" t="n">
        <v>46219</v>
      </c>
      <c r="D99" s="10">
        <f>MONTH(B99)&amp;"月"</f>
        <v/>
      </c>
      <c r="E99" s="12" t="n">
        <v>1</v>
      </c>
      <c r="F99" s="10" t="n"/>
      <c r="G99" s="10" t="inlineStr">
        <is>
          <t>初めてのAIエージェントセミナー</t>
        </is>
      </c>
      <c r="H99" s="10" t="inlineStr">
        <is>
          <t>初めてのAIエージェントセミナー事務局</t>
        </is>
      </c>
      <c r="I99" s="10" t="n"/>
      <c r="J99" s="10" t="inlineStr">
        <is>
          <t>こくちーずプロ</t>
        </is>
      </c>
      <c r="K99" s="10" t="inlineStr">
        <is>
          <t>オフライン（会場）</t>
        </is>
      </c>
      <c r="L99" s="10" t="inlineStr">
        <is>
          <t>大阪会議室 梅田北新地店 大阪府大阪市北区曾根崎2-1-12 国道ビル3階</t>
        </is>
      </c>
      <c r="M99" s="10" t="inlineStr">
        <is>
          <t>技術・AI全般</t>
        </is>
      </c>
      <c r="N99" s="10" t="inlineStr">
        <is>
          <t>AIエージェント</t>
        </is>
      </c>
      <c r="O99" s="12" t="inlineStr">
        <is>
          <t>○</t>
        </is>
      </c>
      <c r="P99" s="13" t="n">
        <v>0</v>
      </c>
      <c r="Q99" s="12" t="inlineStr">
        <is>
          <t>イベント参加 0/10</t>
        </is>
      </c>
      <c r="R99" s="14" t="n">
        <v>10</v>
      </c>
      <c r="S99" s="10" t="n"/>
      <c r="T99" s="10" t="inlineStr">
        <is>
          <t>「AIには興味があるけど、何から触ればいいかわからない」 「ChatGPTは使ったことがあるけど、AIエージェントはまだよく分からない」 「仕事や事業にAIを活用していきたい」 そんな方向けに、AIエージェントを実際に触りながら学べるワークショップを開催します。 今回のテーマは、通常のAIチャットではなく “AIエージェント” です。 講師が画面を共有しながら、参加者の皆さんも自分のPCで一緒に操作していくため、 初心者の方でも安心して</t>
        </is>
      </c>
      <c r="U99" s="15" t="inlineStr">
        <is>
          <t>https://www.kokuchpro.com/event/c3e79baaa5fdcd0435ea2fc7bf6862db/</t>
        </is>
      </c>
      <c r="V99" s="10" t="n"/>
      <c r="W99" s="10" t="inlineStr">
        <is>
          <t>タイトル一致</t>
        </is>
      </c>
      <c r="X99" s="10" t="n"/>
    </row>
    <row r="100">
      <c r="A100" s="10" t="n">
        <v>99</v>
      </c>
      <c r="B100" s="11" t="n">
        <v>46219</v>
      </c>
      <c r="C100" s="11" t="n">
        <v>46275</v>
      </c>
      <c r="D100" s="10">
        <f>MONTH(B100)&amp;"月"</f>
        <v/>
      </c>
      <c r="E100" s="12" t="n">
        <v>3</v>
      </c>
      <c r="F100" s="10" t="inlineStr">
        <is>
          <t>07/16、08/06、09/10</t>
        </is>
      </c>
      <c r="G100" s="10" t="inlineStr">
        <is>
          <t>初心者でも1時間で理解！ビジネスマンのためのClaude Code活用セミナー【初級編】</t>
        </is>
      </c>
      <c r="H100" s="10" t="inlineStr">
        <is>
          <t>Polyscape</t>
        </is>
      </c>
      <c r="I100" s="10" t="n"/>
      <c r="J100" s="10" t="inlineStr">
        <is>
          <t>connpass</t>
        </is>
      </c>
      <c r="K100" s="10" t="inlineStr">
        <is>
          <t>オンライン</t>
        </is>
      </c>
      <c r="L100" s="10" t="inlineStr">
        <is>
          <t>オンライン</t>
        </is>
      </c>
      <c r="M100" s="10" t="inlineStr">
        <is>
          <t>生産性向上・業務効率化</t>
        </is>
      </c>
      <c r="N100" s="10" t="inlineStr">
        <is>
          <t>AIエージェント</t>
        </is>
      </c>
      <c r="O100" s="12" t="inlineStr">
        <is>
          <t>◎</t>
        </is>
      </c>
      <c r="P100" s="13" t="n">
        <v>76</v>
      </c>
      <c r="Q100" s="12" t="inlineStr">
        <is>
          <t>参加者数</t>
        </is>
      </c>
      <c r="R100" s="14" t="n"/>
      <c r="S100" s="10" t="inlineStr">
        <is>
          <t>全3回の合計</t>
        </is>
      </c>
      <c r="T100" s="10" t="n"/>
      <c r="U100" s="15" t="inlineStr">
        <is>
          <t>https://polyscape.connpass.com/event/397802/</t>
        </is>
      </c>
      <c r="V100" s="10" t="n"/>
      <c r="W100" s="10" t="inlineStr">
        <is>
          <t>タイトル一致</t>
        </is>
      </c>
      <c r="X100" s="10" t="n"/>
    </row>
    <row r="101">
      <c r="A101" s="10" t="n">
        <v>100</v>
      </c>
      <c r="B101" s="11" t="n">
        <v>46220</v>
      </c>
      <c r="C101" s="11" t="n">
        <v>46220</v>
      </c>
      <c r="D101" s="10">
        <f>MONTH(B101)&amp;"月"</f>
        <v/>
      </c>
      <c r="E101" s="12" t="n">
        <v>1</v>
      </c>
      <c r="F101" s="10" t="n"/>
      <c r="G101" s="10" t="inlineStr">
        <is>
          <t>AIエージェントが変える次世代ものづくり～いま知るべきフィジカルAI・AIエージェントのリアル～【参加無料:2026年7月17日(金)14:30オンライン開催】</t>
        </is>
      </c>
      <c r="H101" s="10" t="inlineStr">
        <is>
          <t>一般財団法人機械システム振興協会</t>
        </is>
      </c>
      <c r="I101" s="10" t="n"/>
      <c r="J101" s="10" t="inlineStr">
        <is>
          <t>こくちーずプロ</t>
        </is>
      </c>
      <c r="K101" s="10" t="inlineStr">
        <is>
          <t>オンライン</t>
        </is>
      </c>
      <c r="L101" s="10" t="inlineStr">
        <is>
          <t>オンライン 日本</t>
        </is>
      </c>
      <c r="M101" s="10" t="inlineStr">
        <is>
          <t>生産管理・製造・SCM</t>
        </is>
      </c>
      <c r="N101" s="10" t="inlineStr">
        <is>
          <t>AIエージェント</t>
        </is>
      </c>
      <c r="O101" s="12" t="inlineStr">
        <is>
          <t>◎</t>
        </is>
      </c>
      <c r="P101" s="13" t="n"/>
      <c r="Q101" s="12" t="inlineStr">
        <is>
          <t>不明</t>
        </is>
      </c>
      <c r="R101" s="14" t="n"/>
      <c r="S101" s="10" t="n"/>
      <c r="T101" s="10" t="inlineStr">
        <is>
          <t>生成AIの次の潮流として注目を集める「製造業のAIエージェント」は、限定的な人の介入のもとで自律的にタスクを実行し、製造業の開発・生産現場を大きく変える可能性を持つ技術です。本発表会では、AIエージェントの活用によって期待される効果、物理系に接続される「フィジカルAI」の具体事例、海外における活用の最前線、日本の課題、さらに第三者の権利侵害のおそれや法的責任に関する論点まで、一般の方にもわかりやすく解説します。 食品工場向け協働ロボット</t>
        </is>
      </c>
      <c r="U101" s="15" t="inlineStr">
        <is>
          <t>https://www.kokuchpro.com/event/b8b6f08ec012022d14eb3956002a4c38/</t>
        </is>
      </c>
      <c r="V101" s="10" t="n"/>
      <c r="W101" s="10" t="inlineStr">
        <is>
          <t>タイトル一致</t>
        </is>
      </c>
      <c r="X101" s="10" t="n"/>
    </row>
    <row r="102">
      <c r="A102" s="10" t="n">
        <v>101</v>
      </c>
      <c r="B102" s="11" t="n">
        <v>46220</v>
      </c>
      <c r="C102" s="11" t="n">
        <v>46220</v>
      </c>
      <c r="D102" s="10">
        <f>MONTH(B102)&amp;"月"</f>
        <v/>
      </c>
      <c r="E102" s="12" t="n">
        <v>1</v>
      </c>
      <c r="F102" s="10" t="n"/>
      <c r="G102" s="10" t="inlineStr">
        <is>
          <t>AIエージェントキャッチアップ #84 - OpenWiki</t>
        </is>
      </c>
      <c r="H102" s="10" t="inlineStr">
        <is>
          <t>ジェネラティブエージェンツ / Generative Agents</t>
        </is>
      </c>
      <c r="I102" s="10" t="n"/>
      <c r="J102" s="10" t="inlineStr">
        <is>
          <t>connpass</t>
        </is>
      </c>
      <c r="K102" s="10" t="inlineStr">
        <is>
          <t>オンライン</t>
        </is>
      </c>
      <c r="L102" s="10" t="inlineStr">
        <is>
          <t>オンライン</t>
        </is>
      </c>
      <c r="M102" s="10" t="inlineStr">
        <is>
          <t>技術・AI全般</t>
        </is>
      </c>
      <c r="N102" s="10" t="inlineStr">
        <is>
          <t>AIエージェント</t>
        </is>
      </c>
      <c r="O102" s="12" t="inlineStr">
        <is>
          <t>○</t>
        </is>
      </c>
      <c r="P102" s="13" t="n">
        <v>54</v>
      </c>
      <c r="Q102" s="12" t="inlineStr">
        <is>
          <t>参加者数</t>
        </is>
      </c>
      <c r="R102" s="14" t="n">
        <v>200</v>
      </c>
      <c r="S102" s="10" t="n"/>
      <c r="T102" s="10" t="n"/>
      <c r="U102" s="15" t="inlineStr">
        <is>
          <t>https://generative-agents.connpass.com/event/400162/</t>
        </is>
      </c>
      <c r="V102" s="10" t="n"/>
      <c r="W102" s="10" t="inlineStr">
        <is>
          <t>タイトル一致</t>
        </is>
      </c>
      <c r="X102" s="10" t="n"/>
    </row>
    <row r="103">
      <c r="A103" s="10" t="n">
        <v>102</v>
      </c>
      <c r="B103" s="11" t="n">
        <v>46220</v>
      </c>
      <c r="C103" s="11" t="n">
        <v>46220</v>
      </c>
      <c r="D103" s="10">
        <f>MONTH(B103)&amp;"月"</f>
        <v/>
      </c>
      <c r="E103" s="12" t="n">
        <v>1</v>
      </c>
      <c r="F103" s="10" t="n"/>
      <c r="G103" s="10" t="inlineStr">
        <is>
          <t>AIエージェント実践活用セミナー（岡山大学・OI-Start主催／TIMEWELL登壇）</t>
        </is>
      </c>
      <c r="H103" s="10" t="inlineStr">
        <is>
          <t>おかやまデジタルイノベーション創出プラットフォーム（OI-Start）</t>
        </is>
      </c>
      <c r="I103" s="10" t="n"/>
      <c r="J103" s="10" t="inlineStr">
        <is>
          <t>PR TIMES</t>
        </is>
      </c>
      <c r="K103" s="10" t="inlineStr">
        <is>
          <t>offline</t>
        </is>
      </c>
      <c r="L103" s="10" t="inlineStr">
        <is>
          <t>岡山大学創立五十周年記念館（岡山大学津島キャンパス／岡山県岡山市北区津島中1丁目1-1）</t>
        </is>
      </c>
      <c r="M103" s="10" t="inlineStr">
        <is>
          <t>生産性向上・業務効率化</t>
        </is>
      </c>
      <c r="N103" s="10" t="inlineStr">
        <is>
          <t>AIエージェント</t>
        </is>
      </c>
      <c r="O103" s="12" t="inlineStr">
        <is>
          <t>◎</t>
        </is>
      </c>
      <c r="P103" s="13" t="n"/>
      <c r="Q103" s="12" t="inlineStr">
        <is>
          <t>定員</t>
        </is>
      </c>
      <c r="R103" s="14" t="n">
        <v>120</v>
      </c>
      <c r="S103" s="10" t="n"/>
      <c r="T103" s="10" t="inlineStr">
        <is>
          <t xml:space="preserve">自律型AIエージェントを開発する株式会社TIMEWELL（本社：神奈川県横浜市、代表取締役CEO：濱本 隆太）は、2026年7月17日（金）、岡山大学津島キャンパス（岡山市北区）で開催された「AIエージェントが変える業務改革最前線 ― 企業のための実践活用セミナー」（主催：おかやまデジタルイノベーション創出プラットフォーム〈OI-Start〉）に登壇しました。代表取締役CEOの濱本 隆太が「誰も教えてくれないAIエージェントの真実 ― </t>
        </is>
      </c>
      <c r="U103" s="15" t="inlineStr">
        <is>
          <t>https://prtimes.jp/main/html/rd/p/000000137.000119271.html</t>
        </is>
      </c>
      <c r="V103" s="10" t="n"/>
      <c r="W103" s="10" t="inlineStr">
        <is>
          <t>タイトル一致</t>
        </is>
      </c>
      <c r="X103" s="10" t="n"/>
    </row>
    <row r="104">
      <c r="A104" s="10" t="n">
        <v>103</v>
      </c>
      <c r="B104" s="11" t="n">
        <v>46220</v>
      </c>
      <c r="C104" s="11" t="n">
        <v>46220</v>
      </c>
      <c r="D104" s="10">
        <f>MONTH(B104)&amp;"月"</f>
        <v/>
      </c>
      <c r="E104" s="12" t="n">
        <v>1</v>
      </c>
      <c r="F104" s="10" t="n"/>
      <c r="G104" s="10" t="inlineStr">
        <is>
          <t>「製造業のAIエージェント」の活用方策フォーラム 成果発表会</t>
        </is>
      </c>
      <c r="H104" s="10" t="inlineStr">
        <is>
          <t>一般財団法人 機械システム振興協会</t>
        </is>
      </c>
      <c r="I104" s="10" t="n"/>
      <c r="J104" s="10" t="inlineStr">
        <is>
          <t>個別調査（公式サイト・PR TIMES等）</t>
        </is>
      </c>
      <c r="K104" s="10" t="inlineStr">
        <is>
          <t>オンライン</t>
        </is>
      </c>
      <c r="L104" s="10" t="inlineStr">
        <is>
          <t>Zoom</t>
        </is>
      </c>
      <c r="M104" s="10" t="inlineStr">
        <is>
          <t>生産管理・製造・SCM</t>
        </is>
      </c>
      <c r="N104" s="10" t="inlineStr">
        <is>
          <t>AIエージェント</t>
        </is>
      </c>
      <c r="O104" s="12" t="inlineStr">
        <is>
          <t>◎</t>
        </is>
      </c>
      <c r="P104" s="13" t="n">
        <v>500</v>
      </c>
      <c r="Q104" s="12" t="inlineStr">
        <is>
          <t>定員</t>
        </is>
      </c>
      <c r="R104" s="14" t="n">
        <v>500</v>
      </c>
      <c r="S104" s="10" t="inlineStr">
        <is>
          <t>創業手帳の記事では「一般参加者 定員200」とあり、情報が食い違う</t>
        </is>
      </c>
      <c r="T104" s="10" t="inlineStr">
        <is>
          <t>製造業でAIエージェントを使う効果と留意点、フィジカルAIの事例、海外動向、法的責任を解説する無料セミナー。</t>
        </is>
      </c>
      <c r="U104" s="15" t="inlineStr">
        <is>
          <t>https://www.mssf.or.jp/news_r08004/</t>
        </is>
      </c>
      <c r="V104" s="15" t="inlineStr">
        <is>
          <t>https://prtimes.jp/main/html/rd/p/000000017.000122726.html</t>
        </is>
      </c>
      <c r="W104" s="10" t="inlineStr">
        <is>
          <t>個別確認</t>
        </is>
      </c>
      <c r="X104" s="10" t="n"/>
    </row>
    <row r="105">
      <c r="A105" s="10" t="n">
        <v>104</v>
      </c>
      <c r="B105" s="11" t="n">
        <v>46220</v>
      </c>
      <c r="C105" s="11" t="n">
        <v>46220</v>
      </c>
      <c r="D105" s="10">
        <f>MONTH(B105)&amp;"月"</f>
        <v/>
      </c>
      <c r="E105" s="12" t="n">
        <v>1</v>
      </c>
      <c r="F105" s="10" t="n"/>
      <c r="G105" s="10" t="inlineStr">
        <is>
          <t>【無料オンライン】AIに淘汰されないエンジニアの生き残り戦術</t>
        </is>
      </c>
      <c r="H105" s="10" t="inlineStr">
        <is>
          <t>recruit@tritechinc.jp</t>
        </is>
      </c>
      <c r="I105" s="10" t="n"/>
      <c r="J105" s="10" t="inlineStr">
        <is>
          <t>こくちーずプロ</t>
        </is>
      </c>
      <c r="K105" s="10" t="inlineStr">
        <is>
          <t>オンライン</t>
        </is>
      </c>
      <c r="L105" s="10" t="inlineStr">
        <is>
          <t>オンライン 日本</t>
        </is>
      </c>
      <c r="M105" s="10" t="inlineStr">
        <is>
          <t>開発生産性</t>
        </is>
      </c>
      <c r="N105" s="10" t="inlineStr">
        <is>
          <t>AIエージェント</t>
        </is>
      </c>
      <c r="O105" s="12" t="inlineStr">
        <is>
          <t>△</t>
        </is>
      </c>
      <c r="P105" s="13" t="n">
        <v>1</v>
      </c>
      <c r="Q105" s="12" t="inlineStr">
        <is>
          <t>イベント参加 1/5</t>
        </is>
      </c>
      <c r="R105" s="14" t="n">
        <v>5</v>
      </c>
      <c r="S105" s="10" t="n"/>
      <c r="T105" s="10" t="inlineStr">
        <is>
          <t>AIツールを使っている人も、まだ本格的に使えていない人も。 「なんとなく触っている」から「キャリアに活かせている」に変わるヒントをお届けします。 ───────────────────────── ■ こんな人に来てほしい ・Claude CodeやAIエージェントを使っているが、もっとうまく活かしたい ・AIは触っているけど、キャリアや単価にどう繋げるか整理できていない ・周りが使い始めているのは知っているが、何から始めればいいか迷っ</t>
        </is>
      </c>
      <c r="U105" s="15" t="inlineStr">
        <is>
          <t>https://www.kokuchpro.com/event/e47f066e43052cf1e483078114cbd748/</t>
        </is>
      </c>
      <c r="V105" s="10" t="n"/>
      <c r="W105" s="10" t="inlineStr">
        <is>
          <t>本文一致</t>
        </is>
      </c>
      <c r="X105" s="10" t="n"/>
    </row>
    <row r="106">
      <c r="A106" s="10" t="n">
        <v>105</v>
      </c>
      <c r="B106" s="11" t="n">
        <v>46220</v>
      </c>
      <c r="C106" s="11" t="n">
        <v>46220</v>
      </c>
      <c r="D106" s="10">
        <f>MONTH(B106)&amp;"月"</f>
        <v/>
      </c>
      <c r="E106" s="12" t="n">
        <v>1</v>
      </c>
      <c r="F106" s="10" t="n"/>
      <c r="G106" s="10" t="inlineStr">
        <is>
          <t>【無料・コード不要】PTAも地域活動も、Claude Coworkに任せて定時に帰ろう|会議録・連絡文・会計レポートを自動化する1時間</t>
        </is>
      </c>
      <c r="H106" s="10" t="inlineStr">
        <is>
          <t>WoV事務局</t>
        </is>
      </c>
      <c r="I106" s="10" t="n"/>
      <c r="J106" s="10" t="inlineStr">
        <is>
          <t>こくちーずプロ</t>
        </is>
      </c>
      <c r="K106" s="10" t="inlineStr">
        <is>
          <t>オンライン</t>
        </is>
      </c>
      <c r="L106" s="10" t="inlineStr">
        <is>
          <t>オンライン 日本</t>
        </is>
      </c>
      <c r="M106" s="10" t="inlineStr">
        <is>
          <t>生産性向上・業務効率化</t>
        </is>
      </c>
      <c r="N106" s="10" t="inlineStr">
        <is>
          <t>MCP</t>
        </is>
      </c>
      <c r="O106" s="12" t="inlineStr">
        <is>
          <t>◎</t>
        </is>
      </c>
      <c r="P106" s="13" t="n"/>
      <c r="Q106" s="12" t="inlineStr">
        <is>
          <t>不明</t>
        </is>
      </c>
      <c r="R106" s="14" t="n"/>
      <c r="S106" s="10" t="n"/>
      <c r="T106" s="10" t="inlineStr">
        <is>
          <t>もう一人の自分を、AIで作る。 仕事も、PTAも、地域活動も。自分の分身に任せる 2026年7月17日（金）18:00〜18:45 オンライン（Zoom） ｜ 参加費：無料 ｜ 定員：10名（先着順） ━━━━━━━━━━━━━━━━━━━━ 無料参加登録はこちら ▶ 今すぐ参加登録する（無料） https://whim-on-vim.com/lp/claude-ai-seminar ━━━━━━━━━━━━━━━━━━━━ こんな人に</t>
        </is>
      </c>
      <c r="U106" s="15" t="inlineStr">
        <is>
          <t>https://www.kokuchpro.com/event/1e27c539582347552e6e91331e14bfda/3836625/</t>
        </is>
      </c>
      <c r="V106" s="10" t="n"/>
      <c r="W106" s="10" t="inlineStr">
        <is>
          <t>タイトル一致</t>
        </is>
      </c>
      <c r="X106" s="10" t="n"/>
    </row>
    <row r="107">
      <c r="A107" s="10" t="n">
        <v>106</v>
      </c>
      <c r="B107" s="11" t="n">
        <v>46220</v>
      </c>
      <c r="C107" s="11" t="n">
        <v>46220</v>
      </c>
      <c r="D107" s="10">
        <f>MONTH(B107)&amp;"月"</f>
        <v/>
      </c>
      <c r="E107" s="12" t="n">
        <v>1</v>
      </c>
      <c r="F107" s="10" t="n"/>
      <c r="G107" s="10" t="inlineStr">
        <is>
          <t>中国で半年に300万社が誕生。「1人会社」が急増している理由 〜AIエージェントが変える、会社・個人・仕事の新常識〜</t>
        </is>
      </c>
      <c r="H107" s="10" t="inlineStr">
        <is>
          <t>AIバード事務局</t>
        </is>
      </c>
      <c r="I107" s="10" t="n"/>
      <c r="J107" s="10" t="inlineStr">
        <is>
          <t>こくちーずプロ</t>
        </is>
      </c>
      <c r="K107" s="10" t="inlineStr">
        <is>
          <t>オンライン</t>
        </is>
      </c>
      <c r="L107" s="10" t="inlineStr">
        <is>
          <t>オンライン 日本</t>
        </is>
      </c>
      <c r="M107" s="10" t="inlineStr">
        <is>
          <t>生産性向上・業務効率化</t>
        </is>
      </c>
      <c r="N107" s="10" t="inlineStr">
        <is>
          <t>AIエージェント</t>
        </is>
      </c>
      <c r="O107" s="12" t="inlineStr">
        <is>
          <t>◎</t>
        </is>
      </c>
      <c r="P107" s="13" t="n">
        <v>1</v>
      </c>
      <c r="Q107" s="12" t="inlineStr">
        <is>
          <t>イベント参加 1/30</t>
        </is>
      </c>
      <c r="R107" s="14" t="n">
        <v>30</v>
      </c>
      <c r="S107" s="10" t="n"/>
      <c r="T107" s="10" t="inlineStr">
        <is>
          <t>なぜ中国では、半年で300万社もの「1人会社」が誕生したのでしょうか？ AIエージェントの進化によって、 「会社」のあり方そのものが大きく変わろうとしています。 中国では、わずか半年で約300万社 もの「 1人会社 」が誕生したと言われています。 背景にあるのは、 AIエージェント の進化です。 これまで組織でしか実現できなかった業務を、AIが担えるようになったことで、 少人数、あるいは1人でも事業を立ち上げ、成長させることが現実になり</t>
        </is>
      </c>
      <c r="U107" s="15" t="inlineStr">
        <is>
          <t>https://www.kokuchpro.com/event/f9d408dc423b1ca72fa59708643a5efe/</t>
        </is>
      </c>
      <c r="V107" s="10" t="n"/>
      <c r="W107" s="10" t="inlineStr">
        <is>
          <t>タイトル一致</t>
        </is>
      </c>
      <c r="X107" s="10" t="n"/>
    </row>
    <row r="108">
      <c r="A108" s="10" t="n">
        <v>107</v>
      </c>
      <c r="B108" s="11" t="n">
        <v>46221</v>
      </c>
      <c r="C108" s="11" t="n">
        <v>46221</v>
      </c>
      <c r="D108" s="10">
        <f>MONTH(B108)&amp;"月"</f>
        <v/>
      </c>
      <c r="E108" s="12" t="n">
        <v>1</v>
      </c>
      <c r="F108" s="10" t="n"/>
      <c r="G108" s="10" t="inlineStr">
        <is>
          <t>社会人女性に向けた理想の留学後を明確にして6ヶ月で合格へと導く イギリス大学院留学成功の実践セミナー</t>
        </is>
      </c>
      <c r="H108" s="10" t="inlineStr">
        <is>
          <t>イギリス大学院留学伴走サポート</t>
        </is>
      </c>
      <c r="I108" s="10" t="n"/>
      <c r="J108" s="10" t="inlineStr">
        <is>
          <t>こくちーずプロ</t>
        </is>
      </c>
      <c r="K108" s="10" t="inlineStr">
        <is>
          <t>オンライン</t>
        </is>
      </c>
      <c r="L108" s="10" t="inlineStr">
        <is>
          <t>オンライン 日本</t>
        </is>
      </c>
      <c r="M108" s="10" t="inlineStr">
        <is>
          <t>技術・AI全般</t>
        </is>
      </c>
      <c r="N108" s="10" t="inlineStr">
        <is>
          <t>AIエージェント</t>
        </is>
      </c>
      <c r="O108" s="12" t="inlineStr">
        <is>
          <t>△</t>
        </is>
      </c>
      <c r="P108" s="13" t="n"/>
      <c r="Q108" s="12" t="inlineStr">
        <is>
          <t>不明</t>
        </is>
      </c>
      <c r="R108" s="14" t="n"/>
      <c r="S108" s="10" t="n"/>
      <c r="T108" s="10" t="inlineStr">
        <is>
          <t>「留学エージェント以外に頼る人がいない」「個人ブログでは答えがわからない」 そんなあなたの悩みがゼロになる！ イギリス大学院留学経験者の私が語る 理想の留学後を明確にして６ヶ月で合格へと導く イギリス大学院留学成功の実践セミナー 「納得のいく留学を実現したい。留学の後悔をゼロにしたい。でも周りに実際の経験談を聞ける人がいない」そんなあなたへ あなたが 本当に実現したい形でイギリス大学院留学を叶えるための秘訣 をお伝えします。 定員３名の</t>
        </is>
      </c>
      <c r="U108" s="15" t="inlineStr">
        <is>
          <t>https://www.kokuchpro.com/event/5033f0fd931fa6824e7af0a2013b05de/</t>
        </is>
      </c>
      <c r="V108" s="10" t="n"/>
      <c r="W108" s="10" t="inlineStr">
        <is>
          <t>本文一致</t>
        </is>
      </c>
      <c r="X108" s="10" t="n"/>
    </row>
    <row r="109">
      <c r="A109" s="10" t="n">
        <v>108</v>
      </c>
      <c r="B109" s="11" t="n">
        <v>46222</v>
      </c>
      <c r="C109" s="11" t="n">
        <v>46263</v>
      </c>
      <c r="D109" s="10">
        <f>MONTH(B109)&amp;"月"</f>
        <v/>
      </c>
      <c r="E109" s="12" t="n">
        <v>2</v>
      </c>
      <c r="F109" s="10" t="inlineStr">
        <is>
          <t>07/19、08/29</t>
        </is>
      </c>
      <c r="G109" s="10" t="inlineStr">
        <is>
          <t>AIコーディング初心者勉強会 #1「Claude Codeで始めよう！」</t>
        </is>
      </c>
      <c r="H109" s="10" t="inlineStr">
        <is>
          <t>システムエンジニア友の会</t>
        </is>
      </c>
      <c r="I109" s="10" t="n"/>
      <c r="J109" s="10" t="inlineStr">
        <is>
          <t>connpass</t>
        </is>
      </c>
      <c r="K109" s="10" t="inlineStr">
        <is>
          <t>オンライン</t>
        </is>
      </c>
      <c r="L109" s="10" t="inlineStr">
        <is>
          <t>オンライン</t>
        </is>
      </c>
      <c r="M109" s="10" t="inlineStr">
        <is>
          <t>開発生産性</t>
        </is>
      </c>
      <c r="N109" s="10" t="inlineStr">
        <is>
          <t>AIエージェント</t>
        </is>
      </c>
      <c r="O109" s="12" t="inlineStr">
        <is>
          <t>○</t>
        </is>
      </c>
      <c r="P109" s="13" t="n">
        <v>72</v>
      </c>
      <c r="Q109" s="12" t="inlineStr">
        <is>
          <t>参加者数</t>
        </is>
      </c>
      <c r="R109" s="14" t="n">
        <v>85</v>
      </c>
      <c r="S109" s="10" t="inlineStr">
        <is>
          <t>全2回の合計</t>
        </is>
      </c>
      <c r="T109" s="10" t="n"/>
      <c r="U109" s="15" t="inlineStr">
        <is>
          <t>https://setk.connpass.com/event/399822/</t>
        </is>
      </c>
      <c r="V109" s="10" t="n"/>
      <c r="W109" s="10" t="inlineStr">
        <is>
          <t>タイトル一致</t>
        </is>
      </c>
      <c r="X109" s="10" t="n"/>
    </row>
    <row r="110">
      <c r="A110" s="10" t="n">
        <v>109</v>
      </c>
      <c r="B110" s="11" t="n">
        <v>46223</v>
      </c>
      <c r="C110" s="11" t="n">
        <v>46223</v>
      </c>
      <c r="D110" s="10">
        <f>MONTH(B110)&amp;"月"</f>
        <v/>
      </c>
      <c r="E110" s="12" t="n">
        <v>1</v>
      </c>
      <c r="F110" s="10" t="n"/>
      <c r="G110" s="10" t="inlineStr">
        <is>
          <t>Claude CodeでHP・LP・アプリをその場で作るライブ実演【シリーズ最終回】</t>
        </is>
      </c>
      <c r="H110" s="10" t="inlineStr">
        <is>
          <t>Claude CodeでHP・LP・アプリをその場で作るライブ実演【シリーズ最終回】事務局</t>
        </is>
      </c>
      <c r="I110" s="10" t="n"/>
      <c r="J110" s="10" t="inlineStr">
        <is>
          <t>こくちーずプロ</t>
        </is>
      </c>
      <c r="K110" s="10" t="inlineStr">
        <is>
          <t>オンライン</t>
        </is>
      </c>
      <c r="L110" s="10" t="inlineStr">
        <is>
          <t>オンライン 日本</t>
        </is>
      </c>
      <c r="M110" s="10" t="inlineStr">
        <is>
          <t>開発生産性</t>
        </is>
      </c>
      <c r="N110" s="10" t="inlineStr">
        <is>
          <t>AIエージェント</t>
        </is>
      </c>
      <c r="O110" s="12" t="inlineStr">
        <is>
          <t>○</t>
        </is>
      </c>
      <c r="P110" s="13" t="n">
        <v>13</v>
      </c>
      <c r="Q110" s="12" t="inlineStr">
        <is>
          <t>イベント参加 13/30</t>
        </is>
      </c>
      <c r="R110" s="14" t="n">
        <v>30</v>
      </c>
      <c r="S110" s="10" t="n"/>
      <c r="T110" s="10" t="inlineStr">
        <is>
          <t>ホームページの更新、毎回いくら払っていますか？LP制作で30〜50万円。ちょっとした修正でも数万円。制作会社に頼むと、納品まで何週間もかかる。 Claude Codeがあれば、その費用がゼロになります。「こんなページを作って」と日本語で伝えるだけ。コードは書きません。今回は、ウェビナーの中で実際にHP・LPをライブで制作します。作り始めから完成まで、隠さずにお見せします。 ■こんなこと、ありませんか？ ・ホームページの修正を頼むたびに、</t>
        </is>
      </c>
      <c r="U110" s="15" t="inlineStr">
        <is>
          <t>https://www.kokuchpro.com/event/f9067bf78d594cc91cbf084be457f410/</t>
        </is>
      </c>
      <c r="V110" s="10" t="n"/>
      <c r="W110" s="10" t="inlineStr">
        <is>
          <t>タイトル一致</t>
        </is>
      </c>
      <c r="X110" s="10" t="n"/>
    </row>
    <row r="111">
      <c r="A111" s="10" t="n">
        <v>110</v>
      </c>
      <c r="B111" s="11" t="n">
        <v>46224</v>
      </c>
      <c r="C111" s="11" t="n">
        <v>46224</v>
      </c>
      <c r="D111" s="10">
        <f>MONTH(B111)&amp;"月"</f>
        <v/>
      </c>
      <c r="E111" s="12" t="n">
        <v>1</v>
      </c>
      <c r="F111" s="10" t="n"/>
      <c r="G111" s="10" t="inlineStr">
        <is>
          <t>7月21日(火)AndTech「AIエージェントの社会実装への道筋と材料探索・商品開発促進への応用、研究開発DX実現のための設計思想と求められる研究者・技術者像」オンラインZoomセミナーを開講予定</t>
        </is>
      </c>
      <c r="H111" s="10" t="inlineStr">
        <is>
          <t>株式会社AndTech</t>
        </is>
      </c>
      <c r="I111" s="10" t="n"/>
      <c r="J111" s="10" t="inlineStr">
        <is>
          <t>PR TIMES</t>
        </is>
      </c>
      <c r="K111" s="10" t="inlineStr">
        <is>
          <t>online</t>
        </is>
      </c>
      <c r="L111" s="10" t="inlineStr">
        <is>
          <t>オンライン（Zoom）</t>
        </is>
      </c>
      <c r="M111" s="10" t="inlineStr">
        <is>
          <t>営業・マーケ・CS</t>
        </is>
      </c>
      <c r="N111" s="10" t="inlineStr">
        <is>
          <t>AIエージェント</t>
        </is>
      </c>
      <c r="O111" s="12" t="inlineStr">
        <is>
          <t>◎</t>
        </is>
      </c>
      <c r="P111" s="13" t="n"/>
      <c r="Q111" s="12" t="inlineStr">
        <is>
          <t>不明</t>
        </is>
      </c>
      <c r="R111" s="14" t="n"/>
      <c r="S111" s="10" t="n"/>
      <c r="T111" s="10" t="inlineStr">
        <is>
          <t>株式会社AndTech（本社：神奈川県川崎市、代表取締役社長：陶山 正夫、以下 AndTech）は、R&amp;D開発支援向けZoom講座の一環として、昨今高まりを見せるAIエージェントの活用に応えるべく、第一人者の講師からなる「AIエージェント」講座を開講いたします。 生成AIの次の潮流として注目されるAIエージェントやPhysical AIの最新動向の解説にはじまり、「現場主導で進めるAIエージェント化のプロセス」、「AIエージェントと知識</t>
        </is>
      </c>
      <c r="U111" s="15" t="inlineStr">
        <is>
          <t>https://prtimes.jp/main/html/rd/p/000001651.000080053.html</t>
        </is>
      </c>
      <c r="V111" s="10" t="n"/>
      <c r="W111" s="10" t="inlineStr">
        <is>
          <t>タイトル一致</t>
        </is>
      </c>
      <c r="X111" s="10" t="n"/>
    </row>
    <row r="112">
      <c r="A112" s="10" t="n">
        <v>111</v>
      </c>
      <c r="B112" s="11" t="n">
        <v>46224</v>
      </c>
      <c r="C112" s="11" t="n">
        <v>46224</v>
      </c>
      <c r="D112" s="10">
        <f>MONTH(B112)&amp;"月"</f>
        <v/>
      </c>
      <c r="E112" s="12" t="n">
        <v>1</v>
      </c>
      <c r="F112" s="10" t="n"/>
      <c r="G112" s="10" t="inlineStr">
        <is>
          <t>AIエージェントとLLMをワイワイ話す会</t>
        </is>
      </c>
      <c r="H112" s="10" t="inlineStr">
        <is>
          <t>はんなりプログラミングの会</t>
        </is>
      </c>
      <c r="I112" s="10" t="n"/>
      <c r="J112" s="10" t="inlineStr">
        <is>
          <t>connpass</t>
        </is>
      </c>
      <c r="K112" s="10" t="inlineStr">
        <is>
          <t>オンライン</t>
        </is>
      </c>
      <c r="L112" s="10" t="inlineStr">
        <is>
          <t>オンライン</t>
        </is>
      </c>
      <c r="M112" s="10" t="inlineStr">
        <is>
          <t>開発生産性</t>
        </is>
      </c>
      <c r="N112" s="10" t="inlineStr">
        <is>
          <t>AIエージェント</t>
        </is>
      </c>
      <c r="O112" s="12" t="inlineStr">
        <is>
          <t>○</t>
        </is>
      </c>
      <c r="P112" s="13" t="n"/>
      <c r="Q112" s="12" t="inlineStr">
        <is>
          <t>不明</t>
        </is>
      </c>
      <c r="R112" s="14" t="n"/>
      <c r="S112" s="10" t="n"/>
      <c r="T112" s="10" t="n"/>
      <c r="U112" s="15" t="inlineStr">
        <is>
          <t>https://hannari-python.connpass.com/event/399828/</t>
        </is>
      </c>
      <c r="V112" s="10" t="n"/>
      <c r="W112" s="10" t="inlineStr">
        <is>
          <t>タイトル一致</t>
        </is>
      </c>
      <c r="X112" s="10" t="n"/>
    </row>
    <row r="113">
      <c r="A113" s="10" t="n">
        <v>112</v>
      </c>
      <c r="B113" s="11" t="n">
        <v>46224</v>
      </c>
      <c r="C113" s="11" t="n">
        <v>46224</v>
      </c>
      <c r="D113" s="10">
        <f>MONTH(B113)&amp;"月"</f>
        <v/>
      </c>
      <c r="E113" s="12" t="n">
        <v>1</v>
      </c>
      <c r="F113" s="10" t="n"/>
      <c r="G113" s="10" t="inlineStr">
        <is>
          <t>AIエージェント実践 Night in 東京 vol.2</t>
        </is>
      </c>
      <c r="H113" s="10" t="inlineStr">
        <is>
          <t>AIエージェント実践 Night in 東京</t>
        </is>
      </c>
      <c r="I113" s="10" t="n"/>
      <c r="J113" s="10" t="inlineStr">
        <is>
          <t>connpass</t>
        </is>
      </c>
      <c r="K113" s="10" t="inlineStr">
        <is>
          <t>会場</t>
        </is>
      </c>
      <c r="L113" s="10" t="inlineStr">
        <is>
          <t>東京都中央区八重洲二丁目２番１号（東京ミッドタウン八重洲 八重洲セントラルタワー１３階）</t>
        </is>
      </c>
      <c r="M113" s="10" t="inlineStr">
        <is>
          <t>技術・AI全般</t>
        </is>
      </c>
      <c r="N113" s="10" t="inlineStr">
        <is>
          <t>AIエージェント</t>
        </is>
      </c>
      <c r="O113" s="12" t="inlineStr">
        <is>
          <t>○</t>
        </is>
      </c>
      <c r="P113" s="13" t="n">
        <v>23</v>
      </c>
      <c r="Q113" s="12" t="inlineStr">
        <is>
          <t>参加者数</t>
        </is>
      </c>
      <c r="R113" s="14" t="n">
        <v>30</v>
      </c>
      <c r="S113" s="10" t="n"/>
      <c r="T113" s="10" t="n"/>
      <c r="U113" s="15" t="inlineStr">
        <is>
          <t>https://ai-agent-night-in-tokyo.connpass.com/event/397051/</t>
        </is>
      </c>
      <c r="V113" s="10" t="n"/>
      <c r="W113" s="10" t="inlineStr">
        <is>
          <t>タイトル一致</t>
        </is>
      </c>
      <c r="X113" s="10" t="n"/>
    </row>
    <row r="114">
      <c r="A114" s="10" t="n">
        <v>113</v>
      </c>
      <c r="B114" s="11" t="n">
        <v>46224</v>
      </c>
      <c r="C114" s="11" t="n">
        <v>46224</v>
      </c>
      <c r="D114" s="10">
        <f>MONTH(B114)&amp;"月"</f>
        <v/>
      </c>
      <c r="E114" s="12" t="n">
        <v>1</v>
      </c>
      <c r="F114" s="10" t="n"/>
      <c r="G114" s="10" t="inlineStr">
        <is>
          <t>Claude Code時代の「職能越境」を支える、環境構築とワークフロー設計</t>
        </is>
      </c>
      <c r="H114" s="10" t="inlineStr">
        <is>
          <t>レバテックLAB</t>
        </is>
      </c>
      <c r="I114" s="10" t="n"/>
      <c r="J114" s="10" t="inlineStr">
        <is>
          <t>connpass</t>
        </is>
      </c>
      <c r="K114" s="10" t="inlineStr">
        <is>
          <t>オンライン</t>
        </is>
      </c>
      <c r="L114" s="10" t="inlineStr">
        <is>
          <t>オンライン</t>
        </is>
      </c>
      <c r="M114" s="10" t="inlineStr">
        <is>
          <t>開発生産性</t>
        </is>
      </c>
      <c r="N114" s="10" t="inlineStr">
        <is>
          <t>AIエージェント</t>
        </is>
      </c>
      <c r="O114" s="12" t="inlineStr">
        <is>
          <t>○</t>
        </is>
      </c>
      <c r="P114" s="13" t="n">
        <v>197</v>
      </c>
      <c r="Q114" s="12" t="inlineStr">
        <is>
          <t>参加者数</t>
        </is>
      </c>
      <c r="R114" s="14" t="n"/>
      <c r="S114" s="10" t="n"/>
      <c r="T114" s="10" t="n"/>
      <c r="U114" s="15" t="inlineStr">
        <is>
          <t>https://levtechlab.connpass.com/event/396162/</t>
        </is>
      </c>
      <c r="V114" s="10" t="n"/>
      <c r="W114" s="10" t="inlineStr">
        <is>
          <t>タイトル一致</t>
        </is>
      </c>
      <c r="X114" s="10" t="n"/>
    </row>
    <row r="115">
      <c r="A115" s="10" t="n">
        <v>114</v>
      </c>
      <c r="B115" s="11" t="n">
        <v>46224</v>
      </c>
      <c r="C115" s="11" t="n">
        <v>46224</v>
      </c>
      <c r="D115" s="10">
        <f>MONTH(B115)&amp;"月"</f>
        <v/>
      </c>
      <c r="E115" s="12" t="n">
        <v>1</v>
      </c>
      <c r="F115" s="10" t="n"/>
      <c r="G115" s="10" t="inlineStr">
        <is>
          <t>「金融機能を組み込む」だけでは終わらない — AIエージェント時代の新規事業と業務自動化</t>
        </is>
      </c>
      <c r="H115" s="10" t="inlineStr">
        <is>
          <t>GMOインターネットグループ</t>
        </is>
      </c>
      <c r="I115" s="10" t="n"/>
      <c r="J115" s="10" t="inlineStr">
        <is>
          <t>connpass</t>
        </is>
      </c>
      <c r="K115" s="10" t="inlineStr">
        <is>
          <t>会場</t>
        </is>
      </c>
      <c r="L115" s="10" t="inlineStr">
        <is>
          <t>東京都渋谷区道玄坂1-2-3 渋谷フクラス</t>
        </is>
      </c>
      <c r="M115" s="10" t="inlineStr">
        <is>
          <t>生産性向上・業務効率化</t>
        </is>
      </c>
      <c r="N115" s="10" t="inlineStr">
        <is>
          <t>AIエージェント</t>
        </is>
      </c>
      <c r="O115" s="12" t="inlineStr">
        <is>
          <t>◎</t>
        </is>
      </c>
      <c r="P115" s="13" t="n">
        <v>47</v>
      </c>
      <c r="Q115" s="12" t="inlineStr">
        <is>
          <t>参加者数</t>
        </is>
      </c>
      <c r="R115" s="14" t="n">
        <v>80</v>
      </c>
      <c r="S115" s="10" t="n"/>
      <c r="T115" s="10" t="n"/>
      <c r="U115" s="15" t="inlineStr">
        <is>
          <t>https://gmo.connpass.com/event/397434/</t>
        </is>
      </c>
      <c r="V115" s="10" t="n"/>
      <c r="W115" s="10" t="inlineStr">
        <is>
          <t>タイトル一致</t>
        </is>
      </c>
      <c r="X115" s="10" t="n"/>
    </row>
    <row r="116">
      <c r="A116" s="10" t="n">
        <v>115</v>
      </c>
      <c r="B116" s="11" t="n">
        <v>46224</v>
      </c>
      <c r="C116" s="11" t="n">
        <v>46224</v>
      </c>
      <c r="D116" s="10">
        <f>MONTH(B116)&amp;"月"</f>
        <v/>
      </c>
      <c r="E116" s="12" t="n">
        <v>1</v>
      </c>
      <c r="F116" s="10" t="n"/>
      <c r="G116" s="10" t="inlineStr">
        <is>
          <t>【エキスパート講座】人に教えるのは、やめました！あなたの『Claude Code』がEC施策を学び 何度でも再現できるようにする2日間（2日間講座）</t>
        </is>
      </c>
      <c r="H116" s="10" t="inlineStr">
        <is>
          <t>一般社団法人ウェブ解析士協会 講座企画運営部（担当：沖本一生）</t>
        </is>
      </c>
      <c r="I116" s="10" t="n"/>
      <c r="J116" s="10" t="inlineStr">
        <is>
          <t>Doorkeeper</t>
        </is>
      </c>
      <c r="K116" s="10" t="inlineStr">
        <is>
          <t>不明</t>
        </is>
      </c>
      <c r="L116" s="10" t="n"/>
      <c r="M116" s="10" t="inlineStr">
        <is>
          <t>営業・マーケ・CS</t>
        </is>
      </c>
      <c r="N116" s="10" t="inlineStr">
        <is>
          <t>AIエージェント</t>
        </is>
      </c>
      <c r="O116" s="12" t="inlineStr">
        <is>
          <t>◎</t>
        </is>
      </c>
      <c r="P116" s="13" t="n">
        <v>0</v>
      </c>
      <c r="Q116" s="12" t="inlineStr">
        <is>
          <t>参加者数</t>
        </is>
      </c>
      <c r="R116" s="14" t="n"/>
      <c r="S116" s="10" t="n"/>
      <c r="T116" s="10" t="inlineStr">
        <is>
          <t xml:space="preserve"> 講座概要 こちらの講座は、7/21（火）20:00～21:30、8/4（火）20:00～21:30 の２日間講座となります。 あなたが学ぶと、やることが増える。『Claude Code』が学ぶと、何度でもやってくれる—— だから、この講座は人が学ぶ講座ではありません。あなたのClaude Codeが「売上を伸ばす作業」を自分でできるようになる講座です。 思い当たりませんか？ 学ぶたびに「何を直せば売れるのか」は分かる。でも、数字の計測</t>
        </is>
      </c>
      <c r="U116" s="15" t="inlineStr">
        <is>
          <t>https://web-mining.doorkeeper.jp/events/198127</t>
        </is>
      </c>
      <c r="V116" s="10" t="n"/>
      <c r="W116" s="10" t="inlineStr">
        <is>
          <t>タイトル一致</t>
        </is>
      </c>
      <c r="X116" s="10" t="n"/>
    </row>
    <row r="117">
      <c r="A117" s="10" t="n">
        <v>116</v>
      </c>
      <c r="B117" s="11" t="n">
        <v>46224</v>
      </c>
      <c r="C117" s="11" t="n">
        <v>46224</v>
      </c>
      <c r="D117" s="10">
        <f>MONTH(B117)&amp;"月"</f>
        <v/>
      </c>
      <c r="E117" s="12" t="n">
        <v>1</v>
      </c>
      <c r="F117" s="10" t="n"/>
      <c r="G117" s="10" t="inlineStr">
        <is>
          <t>石川県主催「AIエージェント時代の企業DXセミナー」を金沢で開催</t>
        </is>
      </c>
      <c r="H117" s="10" t="inlineStr">
        <is>
          <t>石川県</t>
        </is>
      </c>
      <c r="I117" s="10" t="n"/>
      <c r="J117" s="10" t="inlineStr">
        <is>
          <t>PR TIMES</t>
        </is>
      </c>
      <c r="K117" s="10" t="inlineStr">
        <is>
          <t>offline</t>
        </is>
      </c>
      <c r="L117" s="10" t="inlineStr">
        <is>
          <t>金沢クルーズターミナル セミナールーム</t>
        </is>
      </c>
      <c r="M117" s="10" t="inlineStr">
        <is>
          <t>生産性向上・業務効率化</t>
        </is>
      </c>
      <c r="N117" s="10" t="inlineStr">
        <is>
          <t>AIエージェント</t>
        </is>
      </c>
      <c r="O117" s="12" t="inlineStr">
        <is>
          <t>◎</t>
        </is>
      </c>
      <c r="P117" s="13" t="n"/>
      <c r="Q117" s="12" t="inlineStr">
        <is>
          <t>定員</t>
        </is>
      </c>
      <c r="R117" s="14" t="n">
        <v>30</v>
      </c>
      <c r="S117" s="10" t="n"/>
      <c r="T117" s="10" t="inlineStr">
        <is>
          <t>株式会社ノーコードソリューションズ（代表取締役社長：仙入 功樹）は、2026年7月21日（火）に石川県主催で開催される 「AIエージェント時代の企業DXセミナー ～Claude Codeの実画面デモで学ぶ実務活用～」 に講師として登壇します。生成AIの「次」のフェーズとして注目されるAIエージェント型ツール「Claude Code」の実際の操作画面を公開し、単なる機能紹介にとどまらず、企業のDX推進・業務改善にどう直結するのかを、京都大</t>
        </is>
      </c>
      <c r="U117" s="15" t="inlineStr">
        <is>
          <t>https://prtimes.jp/main/html/rd/p/000000007.000179817.html</t>
        </is>
      </c>
      <c r="V117" s="10" t="n"/>
      <c r="W117" s="10" t="inlineStr">
        <is>
          <t>タイトル一致</t>
        </is>
      </c>
      <c r="X117" s="10" t="n"/>
    </row>
    <row r="118">
      <c r="A118" s="10" t="n">
        <v>117</v>
      </c>
      <c r="B118" s="11" t="n">
        <v>46225</v>
      </c>
      <c r="C118" s="11" t="n">
        <v>46225</v>
      </c>
      <c r="D118" s="10">
        <f>MONTH(B118)&amp;"月"</f>
        <v/>
      </c>
      <c r="E118" s="12" t="n">
        <v>1</v>
      </c>
      <c r="F118" s="10" t="n"/>
      <c r="G118" s="10" t="inlineStr">
        <is>
          <t>Claude Code 業務自動化セミナー/個人事業主・経営者向け</t>
        </is>
      </c>
      <c r="H118" s="10" t="inlineStr">
        <is>
          <t>ブートキャンプ</t>
        </is>
      </c>
      <c r="I118" s="10" t="n"/>
      <c r="J118" s="10" t="inlineStr">
        <is>
          <t>こくちーずプロ</t>
        </is>
      </c>
      <c r="K118" s="10" t="inlineStr">
        <is>
          <t>オンライン</t>
        </is>
      </c>
      <c r="L118" s="10" t="inlineStr">
        <is>
          <t>オンライン 日本</t>
        </is>
      </c>
      <c r="M118" s="10" t="inlineStr">
        <is>
          <t>生産性向上・業務効率化</t>
        </is>
      </c>
      <c r="N118" s="10" t="inlineStr">
        <is>
          <t>AIエージェント</t>
        </is>
      </c>
      <c r="O118" s="12" t="inlineStr">
        <is>
          <t>◎</t>
        </is>
      </c>
      <c r="P118" s="13" t="n">
        <v>6</v>
      </c>
      <c r="Q118" s="12" t="inlineStr">
        <is>
          <t>イベント参加 6/30</t>
        </is>
      </c>
      <c r="R118" s="14" t="n">
        <v>30</v>
      </c>
      <c r="S118" s="10" t="n"/>
      <c r="T118" s="10" t="inlineStr">
        <is>
          <t>事務作業に追われる経営を、今日で終わりにする。 請求書、売上集計、顧客フォロー、毎朝のレポート—— 「自分がやるしかなかった仕事」を、AIがすべて肩代わりします。 パソコンが勝手に動き出し、請求書が作られ、売上がまとまり、レポートが仕上がっていく。 人を雇うでもなく、外注するでもない、 第三の選択肢 を、60分のライブ実演でお見せします。 ▶ 無料で参加する （登録は1分で完了します） 導入：あなたの時給が、いちばん高い。 参加無料 /</t>
        </is>
      </c>
      <c r="U118" s="15" t="inlineStr">
        <is>
          <t>https://www.kokuchpro.com/event/c9084aa27288575e1ab9236f36a0cf69/3841475/</t>
        </is>
      </c>
      <c r="V118" s="10" t="n"/>
      <c r="W118" s="10" t="inlineStr">
        <is>
          <t>タイトル一致</t>
        </is>
      </c>
      <c r="X118" s="10" t="n"/>
    </row>
    <row r="119">
      <c r="A119" s="10" t="n">
        <v>118</v>
      </c>
      <c r="B119" s="11" t="n">
        <v>46225</v>
      </c>
      <c r="C119" s="11" t="n">
        <v>46260</v>
      </c>
      <c r="D119" s="10">
        <f>MONTH(B119)&amp;"月"</f>
        <v/>
      </c>
      <c r="E119" s="12" t="n">
        <v>2</v>
      </c>
      <c r="F119" s="10" t="inlineStr">
        <is>
          <t>07/22、08/26</t>
        </is>
      </c>
      <c r="G119" s="10" t="inlineStr">
        <is>
          <t>ClaudeCodeやCodexなどのAI tipsの共有会 Next AI Synergy #12</t>
        </is>
      </c>
      <c r="H119" s="10" t="inlineStr">
        <is>
          <t>NextFreelance</t>
        </is>
      </c>
      <c r="I119" s="10" t="n"/>
      <c r="J119" s="10" t="inlineStr">
        <is>
          <t>connpass</t>
        </is>
      </c>
      <c r="K119" s="10" t="inlineStr">
        <is>
          <t>会場</t>
        </is>
      </c>
      <c r="L119" s="10" t="inlineStr">
        <is>
          <t>東京都港区芝4-11-5 田町ハラビル 8階</t>
        </is>
      </c>
      <c r="M119" s="10" t="inlineStr">
        <is>
          <t>営業・マーケ・CS</t>
        </is>
      </c>
      <c r="N119" s="10" t="inlineStr">
        <is>
          <t>AIエージェント</t>
        </is>
      </c>
      <c r="O119" s="12" t="inlineStr">
        <is>
          <t>◎</t>
        </is>
      </c>
      <c r="P119" s="13" t="n">
        <v>36</v>
      </c>
      <c r="Q119" s="12" t="inlineStr">
        <is>
          <t>参加者数</t>
        </is>
      </c>
      <c r="R119" s="14" t="n"/>
      <c r="S119" s="10" t="inlineStr">
        <is>
          <t>全2回の合計</t>
        </is>
      </c>
      <c r="T119" s="10" t="n"/>
      <c r="U119" s="15" t="inlineStr">
        <is>
          <t>https://nextfreelance.connpass.com/event/398486/</t>
        </is>
      </c>
      <c r="V119" s="10" t="n"/>
      <c r="W119" s="10" t="inlineStr">
        <is>
          <t>タイトル一致</t>
        </is>
      </c>
      <c r="X119" s="10" t="n"/>
    </row>
    <row r="120">
      <c r="A120" s="10" t="n">
        <v>119</v>
      </c>
      <c r="B120" s="11" t="n">
        <v>46225</v>
      </c>
      <c r="C120" s="11" t="n">
        <v>46225</v>
      </c>
      <c r="D120" s="10">
        <f>MONTH(B120)&amp;"月"</f>
        <v/>
      </c>
      <c r="E120" s="12" t="n">
        <v>1</v>
      </c>
      <c r="F120" s="10" t="n"/>
      <c r="G120" s="10" t="inlineStr">
        <is>
          <t>『モデル + ハーネス』で読み解く AIエージェント入門</t>
        </is>
      </c>
      <c r="H120" s="10" t="inlineStr">
        <is>
          <t>Oracle Code Night</t>
        </is>
      </c>
      <c r="I120" s="10" t="n"/>
      <c r="J120" s="10" t="inlineStr">
        <is>
          <t>connpass</t>
        </is>
      </c>
      <c r="K120" s="10" t="inlineStr">
        <is>
          <t>オンライン</t>
        </is>
      </c>
      <c r="L120" s="10" t="inlineStr">
        <is>
          <t>オンライン</t>
        </is>
      </c>
      <c r="M120" s="10" t="inlineStr">
        <is>
          <t>技術・AI全般</t>
        </is>
      </c>
      <c r="N120" s="10" t="inlineStr">
        <is>
          <t>AIエージェント</t>
        </is>
      </c>
      <c r="O120" s="12" t="inlineStr">
        <is>
          <t>○</t>
        </is>
      </c>
      <c r="P120" s="13" t="n">
        <v>55</v>
      </c>
      <c r="Q120" s="12" t="inlineStr">
        <is>
          <t>参加者数</t>
        </is>
      </c>
      <c r="R120" s="14" t="n"/>
      <c r="S120" s="10" t="n"/>
      <c r="T120" s="10" t="n"/>
      <c r="U120" s="15" t="inlineStr">
        <is>
          <t>https://oracle-code-tokyo-dev.connpass.com/event/396910/</t>
        </is>
      </c>
      <c r="V120" s="10" t="n"/>
      <c r="W120" s="10" t="inlineStr">
        <is>
          <t>タイトル一致</t>
        </is>
      </c>
      <c r="X120" s="10" t="n"/>
    </row>
    <row r="121">
      <c r="A121" s="10" t="n">
        <v>120</v>
      </c>
      <c r="B121" s="11" t="n">
        <v>46225</v>
      </c>
      <c r="C121" s="11" t="n">
        <v>46225</v>
      </c>
      <c r="D121" s="10">
        <f>MONTH(B121)&amp;"月"</f>
        <v/>
      </c>
      <c r="E121" s="12" t="n">
        <v>1</v>
      </c>
      <c r="F121" s="10" t="n"/>
      <c r="G121" s="10" t="inlineStr">
        <is>
          <t>【7月22日（水）無料オンラインセミナー】 AIエージェントで変わる、これからの開発と運用</t>
        </is>
      </c>
      <c r="H121" s="10" t="inlineStr">
        <is>
          <t>Ragate株式会社、ＡＲアドバンストテクノロジ株式会社</t>
        </is>
      </c>
      <c r="I121" s="10" t="n"/>
      <c r="J121" s="10" t="inlineStr">
        <is>
          <t>PR TIMES</t>
        </is>
      </c>
      <c r="K121" s="10" t="inlineStr">
        <is>
          <t>online</t>
        </is>
      </c>
      <c r="L121" s="10" t="inlineStr">
        <is>
          <t>オンライン（Zoom）</t>
        </is>
      </c>
      <c r="M121" s="10" t="inlineStr">
        <is>
          <t>開発生産性</t>
        </is>
      </c>
      <c r="N121" s="10" t="inlineStr">
        <is>
          <t>AIエージェント</t>
        </is>
      </c>
      <c r="O121" s="12" t="inlineStr">
        <is>
          <t>○</t>
        </is>
      </c>
      <c r="P121" s="13" t="n"/>
      <c r="Q121" s="12" t="inlineStr">
        <is>
          <t>不明</t>
        </is>
      </c>
      <c r="R121" s="14" t="n"/>
      <c r="S121" s="10" t="n"/>
      <c r="T121" s="10" t="inlineStr">
        <is>
          <t>ＡＲアドバンストテクノロジ株式会社（本社：東京都渋谷区、代表取締役社長：武内 寿憲、以下ARI）は、Ragate株式会社（以下Ragate）と共催で、2026年7月22日（水）、無料Webセミナー「AIエージェントで変わる、これからの開発と運用〜SI・事業会社が今取り組むべきAI変革（AX）戦略〜」を開催いたします。 AIエージェントの登場により、ソフトウェア開発の現場は急速に変わりつつあります。コードの自動生成にとどまらず、設計・レビ</t>
        </is>
      </c>
      <c r="U121" s="15" t="inlineStr">
        <is>
          <t>https://prtimes.jp/main/html/rd/p/000000126.000066765.html</t>
        </is>
      </c>
      <c r="V121" s="10" t="n"/>
      <c r="W121" s="10" t="inlineStr">
        <is>
          <t>タイトル一致</t>
        </is>
      </c>
      <c r="X121" s="10" t="n"/>
    </row>
    <row r="122">
      <c r="A122" s="10" t="n">
        <v>121</v>
      </c>
      <c r="B122" s="11" t="n">
        <v>46225</v>
      </c>
      <c r="C122" s="11" t="n">
        <v>46225</v>
      </c>
      <c r="D122" s="10">
        <f>MONTH(B122)&amp;"月"</f>
        <v/>
      </c>
      <c r="E122" s="12" t="n">
        <v>1</v>
      </c>
      <c r="F122" s="10" t="n"/>
      <c r="G122" s="10" t="inlineStr">
        <is>
          <t>ナレッジワークとSalesforceで描く垂直型のユースケース</t>
        </is>
      </c>
      <c r="H122" s="10" t="inlineStr">
        <is>
          <t>株式会社ナレッジワーク</t>
        </is>
      </c>
      <c r="I122" s="10" t="n"/>
      <c r="J122" s="10" t="inlineStr">
        <is>
          <t>ビジネス+IT</t>
        </is>
      </c>
      <c r="K122" s="10" t="inlineStr">
        <is>
          <t>online</t>
        </is>
      </c>
      <c r="L122" s="10" t="inlineStr">
        <is>
          <t>オンライン</t>
        </is>
      </c>
      <c r="M122" s="10" t="inlineStr">
        <is>
          <t>営業・マーケ・CS</t>
        </is>
      </c>
      <c r="N122" s="10" t="inlineStr">
        <is>
          <t>AIエージェント</t>
        </is>
      </c>
      <c r="O122" s="12" t="inlineStr">
        <is>
          <t>○</t>
        </is>
      </c>
      <c r="P122" s="13" t="n"/>
      <c r="Q122" s="12" t="inlineStr">
        <is>
          <t>不明</t>
        </is>
      </c>
      <c r="R122" s="14" t="n"/>
      <c r="S122" s="10" t="n"/>
      <c r="T122" s="10" t="inlineStr">
        <is>
          <t>生成AIの導入プロジェクトの95%が有意な成果を出せなかった――MITをはじめとした主要リサーチはそう報告しています。全職種共通の会話型AIアシスタント（水平型）では、職種ごとの具体的な業務にまで踏み込めないことが、その主な要因です。 Salesforceを既に活用している企業においても、一連の営業プロセスにAIが深く入り込めていないのが現場の実態です。背景にあるのは「データの壁」と「業務の壁」。商談データがCRMに正確に蓄積されていな</t>
        </is>
      </c>
      <c r="U122" s="15" t="inlineStr">
        <is>
          <t>https://www.sbbit.jp/eventinfo/89642</t>
        </is>
      </c>
      <c r="V122" s="10" t="n"/>
      <c r="W122" s="10" t="inlineStr">
        <is>
          <t>本文一致</t>
        </is>
      </c>
      <c r="X122" s="10" t="n"/>
    </row>
    <row r="123">
      <c r="A123" s="10" t="n">
        <v>122</v>
      </c>
      <c r="B123" s="11" t="n">
        <v>46225</v>
      </c>
      <c r="C123" s="11" t="n">
        <v>46225</v>
      </c>
      <c r="D123" s="10">
        <f>MONTH(B123)&amp;"月"</f>
        <v/>
      </c>
      <c r="E123" s="12" t="n">
        <v>1</v>
      </c>
      <c r="F123" s="10" t="n"/>
      <c r="G123" s="10" t="inlineStr">
        <is>
          <t>事業成果を創出する｢AIエージェント｣設計術</t>
        </is>
      </c>
      <c r="H123" s="10" t="inlineStr">
        <is>
          <t>株式会社モンスターラボ</t>
        </is>
      </c>
      <c r="I123" s="10" t="n"/>
      <c r="J123" s="10" t="inlineStr">
        <is>
          <t>connpass</t>
        </is>
      </c>
      <c r="K123" s="10" t="inlineStr">
        <is>
          <t>オンライン</t>
        </is>
      </c>
      <c r="L123" s="10" t="inlineStr">
        <is>
          <t>オンライン</t>
        </is>
      </c>
      <c r="M123" s="10" t="inlineStr">
        <is>
          <t>技術・AI全般</t>
        </is>
      </c>
      <c r="N123" s="10" t="inlineStr">
        <is>
          <t>AIエージェント</t>
        </is>
      </c>
      <c r="O123" s="12" t="inlineStr">
        <is>
          <t>○</t>
        </is>
      </c>
      <c r="P123" s="13" t="n">
        <v>14</v>
      </c>
      <c r="Q123" s="12" t="inlineStr">
        <is>
          <t>参加者数</t>
        </is>
      </c>
      <c r="R123" s="14" t="n">
        <v>100</v>
      </c>
      <c r="S123" s="10" t="n"/>
      <c r="T123" s="10" t="n"/>
      <c r="U123" s="15" t="inlineStr">
        <is>
          <t>https://monstar-lab.connpass.com/event/400520/</t>
        </is>
      </c>
      <c r="V123" s="10" t="n"/>
      <c r="W123" s="10" t="inlineStr">
        <is>
          <t>タイトル一致</t>
        </is>
      </c>
      <c r="X123" s="10" t="n"/>
    </row>
    <row r="124">
      <c r="A124" s="10" t="n">
        <v>123</v>
      </c>
      <c r="B124" s="11" t="n">
        <v>46225</v>
      </c>
      <c r="C124" s="11" t="n">
        <v>46225</v>
      </c>
      <c r="D124" s="10">
        <f>MONTH(B124)&amp;"月"</f>
        <v/>
      </c>
      <c r="E124" s="12" t="n">
        <v>1</v>
      </c>
      <c r="F124" s="10" t="n"/>
      <c r="G124" s="10" t="inlineStr">
        <is>
          <t>企業内検索×生成AIで業務改革【企業内検索で業務効率化】</t>
        </is>
      </c>
      <c r="H124" s="10" t="inlineStr">
        <is>
          <t>「QuickSolution」紹介ウェビナー担当</t>
        </is>
      </c>
      <c r="I124" s="10" t="n"/>
      <c r="J124" s="10" t="inlineStr">
        <is>
          <t>こくちーずプロ</t>
        </is>
      </c>
      <c r="K124" s="10" t="inlineStr">
        <is>
          <t>オンライン</t>
        </is>
      </c>
      <c r="L124" s="10" t="inlineStr">
        <is>
          <t>オンライン 日本</t>
        </is>
      </c>
      <c r="M124" s="10" t="inlineStr">
        <is>
          <t>生産性向上・業務効率化</t>
        </is>
      </c>
      <c r="N124" s="10" t="inlineStr">
        <is>
          <t>AIエージェント</t>
        </is>
      </c>
      <c r="O124" s="12" t="inlineStr">
        <is>
          <t>○</t>
        </is>
      </c>
      <c r="P124" s="13" t="n"/>
      <c r="Q124" s="12" t="inlineStr">
        <is>
          <t>不明</t>
        </is>
      </c>
      <c r="R124" s="14" t="n"/>
      <c r="S124" s="10" t="n"/>
      <c r="T124"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124" s="15" t="inlineStr">
        <is>
          <t>https://www.kokuchpro.com/event/4fded1a03912bfb87c95f85e5ae2934f/</t>
        </is>
      </c>
      <c r="V124" s="10" t="n"/>
      <c r="W124" s="10" t="inlineStr">
        <is>
          <t>本文一致</t>
        </is>
      </c>
      <c r="X124" s="10" t="n"/>
    </row>
    <row r="125">
      <c r="A125" s="10" t="n">
        <v>124</v>
      </c>
      <c r="B125" s="11" t="n">
        <v>46225</v>
      </c>
      <c r="C125" s="11" t="n">
        <v>46225</v>
      </c>
      <c r="D125" s="10">
        <f>MONTH(B125)&amp;"月"</f>
        <v/>
      </c>
      <c r="E125" s="12" t="n">
        <v>1</v>
      </c>
      <c r="F125" s="10" t="n"/>
      <c r="G125" s="10" t="inlineStr">
        <is>
          <t>動くAIを止めずに守る ～Netskope One AI Securityで実現する可視化・制御の最前線～</t>
        </is>
      </c>
      <c r="H125" s="10" t="inlineStr">
        <is>
          <t>株式会社マクニカ</t>
        </is>
      </c>
      <c r="I125" s="10" t="n"/>
      <c r="J125" s="10" t="inlineStr">
        <is>
          <t>ZDNET Japan イベント</t>
        </is>
      </c>
      <c r="K125" s="10" t="inlineStr">
        <is>
          <t>オンライン</t>
        </is>
      </c>
      <c r="L125" s="10" t="inlineStr">
        <is>
          <t>WEB</t>
        </is>
      </c>
      <c r="M125" s="10" t="inlineStr">
        <is>
          <t>営業・マーケ・CS</t>
        </is>
      </c>
      <c r="N125" s="10" t="inlineStr">
        <is>
          <t>AIエージェント</t>
        </is>
      </c>
      <c r="O125" s="12" t="inlineStr">
        <is>
          <t>○</t>
        </is>
      </c>
      <c r="P125" s="13" t="n"/>
      <c r="Q125" s="12" t="inlineStr">
        <is>
          <t>不明</t>
        </is>
      </c>
      <c r="R125" s="14" t="n"/>
      <c r="S125" s="10" t="n"/>
      <c r="T125" s="10" t="inlineStr">
        <is>
          <t>開催場所： WEB 開催日： 2026-07-22 生成AI・Microsoft Copilot・AIエージェントの業務活用が急速に広がる一方で、機密情報の意図せぬ送信・シャドーAI・プロンプトインジェクションなど、新たなセキュリティリスクが顕在化しています。 従来のセキュリティ対策ではAI利用の実態を可視化することが難しく、「禁止」か「黙認」かの二択に陥りがちです。重要なのは、AI活用を止めずに、安全に使いこなすための「可視化と制御」</t>
        </is>
      </c>
      <c r="U125" s="15" t="inlineStr">
        <is>
          <t>https://japan.zdnet.com/event_info/30014999/</t>
        </is>
      </c>
      <c r="V125" s="10" t="n"/>
      <c r="W125" s="10" t="inlineStr">
        <is>
          <t>本文一致</t>
        </is>
      </c>
      <c r="X125" s="10" t="n"/>
    </row>
    <row r="126">
      <c r="A126" s="10" t="n">
        <v>125</v>
      </c>
      <c r="B126" s="11" t="n">
        <v>46225</v>
      </c>
      <c r="C126" s="11" t="n">
        <v>46225</v>
      </c>
      <c r="D126" s="10">
        <f>MONTH(B126)&amp;"月"</f>
        <v/>
      </c>
      <c r="E126" s="12" t="n">
        <v>1</v>
      </c>
      <c r="F126" s="10" t="n"/>
      <c r="G126" s="10" t="inlineStr">
        <is>
          <t>結局進まなかったDX推進を、2026年から見直すAIエージェントセミナー</t>
        </is>
      </c>
      <c r="H126" s="10" t="inlineStr">
        <is>
          <t>HELATH事務局</t>
        </is>
      </c>
      <c r="I126" s="10" t="n"/>
      <c r="J126" s="10" t="inlineStr">
        <is>
          <t>こくちーずプロ</t>
        </is>
      </c>
      <c r="K126" s="10" t="inlineStr">
        <is>
          <t>オンライン</t>
        </is>
      </c>
      <c r="L126" s="10" t="inlineStr">
        <is>
          <t>オンライン 日本</t>
        </is>
      </c>
      <c r="M126" s="10" t="inlineStr">
        <is>
          <t>生産性向上・業務効率化</t>
        </is>
      </c>
      <c r="N126" s="10" t="inlineStr">
        <is>
          <t>AIエージェント</t>
        </is>
      </c>
      <c r="O126" s="12" t="inlineStr">
        <is>
          <t>◎</t>
        </is>
      </c>
      <c r="P126" s="13" t="n">
        <v>0</v>
      </c>
      <c r="Q126" s="12" t="inlineStr">
        <is>
          <t>イベント参加 0/20</t>
        </is>
      </c>
      <c r="R126" s="14" t="n">
        <v>20</v>
      </c>
      <c r="S126" s="10" t="n"/>
      <c r="T126" s="10" t="inlineStr">
        <is>
          <t>セミナー概要 DX推進に取り組んだものの、結局、現場に定着していない。 SaaSを導入しても使いこなせず、本来よりも作業が複雑になってしまっている。 そんな課題を感じていませんか？ 2026年のAI活用は、単に「メール文章を作る」「Web検索を楽にする」だけの技術ではありません。社内データ検索、ホームページの自動改修、記事・お知らせ自動投稿、お問い合わせ自動応答、社内システム開発、見積書・請求書の自動発行まで、これまで人や外注に頼ってい</t>
        </is>
      </c>
      <c r="U126" s="15" t="inlineStr">
        <is>
          <t>https://www.kokuchpro.com/event/16fed7453d46f0edb677c32a23c01314/</t>
        </is>
      </c>
      <c r="V126" s="10" t="n"/>
      <c r="W126" s="10" t="inlineStr">
        <is>
          <t>タイトル一致</t>
        </is>
      </c>
      <c r="X126" s="10" t="n"/>
    </row>
    <row r="127">
      <c r="A127" s="10" t="n">
        <v>126</v>
      </c>
      <c r="B127" s="11" t="n">
        <v>46225</v>
      </c>
      <c r="C127" s="11" t="n">
        <v>46225</v>
      </c>
      <c r="D127" s="10">
        <f>MONTH(B127)&amp;"月"</f>
        <v/>
      </c>
      <c r="E127" s="12" t="n">
        <v>1</v>
      </c>
      <c r="F127" s="10" t="n"/>
      <c r="G127" s="10" t="inlineStr">
        <is>
          <t>追加枠：7/22(水)今からキャッチアップ「SalesforceインプリをAgentとやるって？」</t>
        </is>
      </c>
      <c r="H127" s="10" t="inlineStr">
        <is>
          <t>namespace</t>
        </is>
      </c>
      <c r="I127" s="10" t="n"/>
      <c r="J127" s="10" t="inlineStr">
        <is>
          <t>connpass</t>
        </is>
      </c>
      <c r="K127" s="10" t="inlineStr">
        <is>
          <t>会場</t>
        </is>
      </c>
      <c r="L127" s="10" t="inlineStr">
        <is>
          <t>東京都江東区常盤2-5-2 常盤マンション1階テナント</t>
        </is>
      </c>
      <c r="M127" s="10" t="inlineStr">
        <is>
          <t>営業・マーケ・CS</t>
        </is>
      </c>
      <c r="N127" s="10" t="inlineStr">
        <is>
          <t>AIエージェント</t>
        </is>
      </c>
      <c r="O127" s="12" t="inlineStr">
        <is>
          <t>◎</t>
        </is>
      </c>
      <c r="P127" s="13" t="n">
        <v>19</v>
      </c>
      <c r="Q127" s="12" t="inlineStr">
        <is>
          <t>参加者数</t>
        </is>
      </c>
      <c r="R127" s="14" t="n">
        <v>25</v>
      </c>
      <c r="S127" s="10" t="n"/>
      <c r="T127" s="10" t="n"/>
      <c r="U127" s="15" t="inlineStr">
        <is>
          <t>https://namespace.connpass.com/event/398280/</t>
        </is>
      </c>
      <c r="V127" s="10" t="n"/>
      <c r="W127" s="10" t="inlineStr">
        <is>
          <t>タイトル一致</t>
        </is>
      </c>
      <c r="X127" s="10" t="n"/>
    </row>
    <row r="128">
      <c r="A128" s="10" t="n">
        <v>127</v>
      </c>
      <c r="B128" s="11" t="n">
        <v>46226</v>
      </c>
      <c r="C128" s="11" t="n">
        <v>46227</v>
      </c>
      <c r="D128" s="10">
        <f>MONTH(B128)&amp;"月"</f>
        <v/>
      </c>
      <c r="E128" s="12" t="n">
        <v>1</v>
      </c>
      <c r="F128" s="10" t="n"/>
      <c r="G128" s="10" t="inlineStr">
        <is>
          <t>AI Agent Day 2026 Summer</t>
        </is>
      </c>
      <c r="H128" s="10" t="inlineStr">
        <is>
          <t>一般社団法人AICX協会</t>
        </is>
      </c>
      <c r="I128" s="10" t="n"/>
      <c r="J128" s="10" t="inlineStr">
        <is>
          <t>個別調査（公式サイト・PR TIMES等）</t>
        </is>
      </c>
      <c r="K128" s="10" t="inlineStr">
        <is>
          <t>オンライン（会場参加は有料との記載もあり）</t>
        </is>
      </c>
      <c r="L128" s="10" t="inlineStr">
        <is>
          <t>YouTube/Zoom配信</t>
        </is>
      </c>
      <c r="M128" s="10" t="inlineStr">
        <is>
          <t>生産性向上・業務効率化</t>
        </is>
      </c>
      <c r="N128" s="10" t="inlineStr">
        <is>
          <t>AIエージェント</t>
        </is>
      </c>
      <c r="O128" s="12" t="inlineStr">
        <is>
          <t>◎</t>
        </is>
      </c>
      <c r="P128" s="13" t="n"/>
      <c r="Q128" s="12" t="inlineStr">
        <is>
          <t>不明</t>
        </is>
      </c>
      <c r="R128" s="14" t="n"/>
      <c r="S128" s="10" t="inlineStr">
        <is>
          <t>過去イベントの累計視聴登録者数は12,857名（2026/2/1時点）。今回回の数値は未公表</t>
        </is>
      </c>
      <c r="T128" s="10" t="inlineStr">
        <is>
          <t>「事例完全解剖 5つの壁を事例で解体する2日間」がテーマ。製造・航空・教育などの業界で、AIエージェントを本番運用した事例を紹介する。</t>
        </is>
      </c>
      <c r="U128" s="15" t="inlineStr">
        <is>
          <t>https://prtimes.jp/main/html/rd/p/000000132.000155740.html</t>
        </is>
      </c>
      <c r="V128" s="15" t="inlineStr">
        <is>
          <t>https://prtimes.jp/main/html/rd/p/000000117.000155740.html</t>
        </is>
      </c>
      <c r="W128" s="10" t="inlineStr">
        <is>
          <t>個別確認</t>
        </is>
      </c>
      <c r="X128" s="10" t="inlineStr">
        <is>
          <t>国内最大級をうたうAIエージェントのカンファレンス</t>
        </is>
      </c>
    </row>
    <row r="129">
      <c r="A129" s="10" t="n">
        <v>128</v>
      </c>
      <c r="B129" s="11" t="n">
        <v>46226</v>
      </c>
      <c r="C129" s="11" t="n">
        <v>46226</v>
      </c>
      <c r="D129" s="10">
        <f>MONTH(B129)&amp;"月"</f>
        <v/>
      </c>
      <c r="E129" s="12" t="n">
        <v>1</v>
      </c>
      <c r="F129" s="10" t="n"/>
      <c r="G129" s="10" t="inlineStr">
        <is>
          <t>AIエージェントで実現する業務改革とは？</t>
        </is>
      </c>
      <c r="H129" s="10" t="inlineStr">
        <is>
          <t>ヘッドウォータース</t>
        </is>
      </c>
      <c r="I129" s="10" t="n"/>
      <c r="J129" s="10" t="inlineStr">
        <is>
          <t>connpass</t>
        </is>
      </c>
      <c r="K129" s="10" t="inlineStr">
        <is>
          <t>オンライン</t>
        </is>
      </c>
      <c r="L129" s="10" t="inlineStr">
        <is>
          <t>オンライン</t>
        </is>
      </c>
      <c r="M129" s="10" t="inlineStr">
        <is>
          <t>生産性向上・業務効率化</t>
        </is>
      </c>
      <c r="N129" s="10" t="inlineStr">
        <is>
          <t>AIエージェント</t>
        </is>
      </c>
      <c r="O129" s="12" t="inlineStr">
        <is>
          <t>◎</t>
        </is>
      </c>
      <c r="P129" s="13" t="n">
        <v>21</v>
      </c>
      <c r="Q129" s="12" t="inlineStr">
        <is>
          <t>参加者数</t>
        </is>
      </c>
      <c r="R129" s="14" t="n">
        <v>50</v>
      </c>
      <c r="S129" s="10" t="n"/>
      <c r="T129" s="10" t="n"/>
      <c r="U129" s="15" t="inlineStr">
        <is>
          <t>https://headwaters.connpass.com/event/396107/</t>
        </is>
      </c>
      <c r="V129" s="10" t="n"/>
      <c r="W129" s="10" t="inlineStr">
        <is>
          <t>タイトル一致</t>
        </is>
      </c>
      <c r="X129" s="10" t="n"/>
    </row>
    <row r="130">
      <c r="A130" s="10" t="n">
        <v>129</v>
      </c>
      <c r="B130" s="11" t="n">
        <v>46226</v>
      </c>
      <c r="C130" s="11" t="n">
        <v>46226</v>
      </c>
      <c r="D130" s="10">
        <f>MONTH(B130)&amp;"月"</f>
        <v/>
      </c>
      <c r="E130" s="12" t="n">
        <v>1</v>
      </c>
      <c r="F130" s="10" t="n"/>
      <c r="G130" s="10" t="inlineStr">
        <is>
          <t>AIエージェント構築大全</t>
        </is>
      </c>
      <c r="H130" s="10" t="inlineStr">
        <is>
          <t>QueryPie AI</t>
        </is>
      </c>
      <c r="I130" s="10" t="n"/>
      <c r="J130" s="10" t="inlineStr">
        <is>
          <t>connpass</t>
        </is>
      </c>
      <c r="K130" s="10" t="inlineStr">
        <is>
          <t>オンライン</t>
        </is>
      </c>
      <c r="L130" s="10" t="inlineStr">
        <is>
          <t>オンライン</t>
        </is>
      </c>
      <c r="M130" s="10" t="inlineStr">
        <is>
          <t>技術・AI全般</t>
        </is>
      </c>
      <c r="N130" s="10" t="inlineStr">
        <is>
          <t>AIエージェント</t>
        </is>
      </c>
      <c r="O130" s="12" t="inlineStr">
        <is>
          <t>○</t>
        </is>
      </c>
      <c r="P130" s="13" t="n">
        <v>39</v>
      </c>
      <c r="Q130" s="12" t="inlineStr">
        <is>
          <t>参加者数</t>
        </is>
      </c>
      <c r="R130" s="14" t="n">
        <v>80</v>
      </c>
      <c r="S130" s="10" t="n"/>
      <c r="T130" s="10" t="n"/>
      <c r="U130" s="15" t="inlineStr">
        <is>
          <t>https://querypiejapan.connpass.com/event/399467/</t>
        </is>
      </c>
      <c r="V130" s="10" t="n"/>
      <c r="W130" s="10" t="inlineStr">
        <is>
          <t>タイトル一致</t>
        </is>
      </c>
      <c r="X130" s="10" t="n"/>
    </row>
    <row r="131">
      <c r="A131" s="10" t="n">
        <v>130</v>
      </c>
      <c r="B131" s="11" t="n">
        <v>46226</v>
      </c>
      <c r="C131" s="11" t="n">
        <v>46226</v>
      </c>
      <c r="D131" s="10">
        <f>MONTH(B131)&amp;"月"</f>
        <v/>
      </c>
      <c r="E131" s="12" t="n">
        <v>1</v>
      </c>
      <c r="F131" s="10" t="n"/>
      <c r="G131" s="10" t="inlineStr">
        <is>
          <t>AI時代における金融機関のデータガバナンス～信頼できるデータと説明できる判断を設計する、AMLにおける実装例～</t>
        </is>
      </c>
      <c r="H131" s="10" t="inlineStr">
        <is>
          <t>（記載なし）</t>
        </is>
      </c>
      <c r="I131" s="10" t="n"/>
      <c r="J131" s="10" t="inlineStr">
        <is>
          <t>セミナー情報.com</t>
        </is>
      </c>
      <c r="K131" s="10" t="inlineStr">
        <is>
          <t>会場 / オンライン</t>
        </is>
      </c>
      <c r="L131" s="10" t="n"/>
      <c r="M131" s="10" t="inlineStr">
        <is>
          <t>開発生産性</t>
        </is>
      </c>
      <c r="N131" s="10" t="inlineStr">
        <is>
          <t>AIエージェント</t>
        </is>
      </c>
      <c r="O131" s="12" t="inlineStr">
        <is>
          <t>△</t>
        </is>
      </c>
      <c r="P131" s="13" t="n"/>
      <c r="Q131" s="12" t="inlineStr">
        <is>
          <t>不明</t>
        </is>
      </c>
      <c r="R131" s="14" t="n"/>
      <c r="S131" s="10" t="n"/>
      <c r="T131" s="10" t="inlineStr">
        <is>
          <t>(詳細ページは再配信ページへ転送: https://seminar-info.jp/entry/seminars/view/3/6891) ※本セミナーは2026/7/23に開催・収録したセミナーの リバイバル配信 です。 【本セミナーで得られること】 ・生成AI／AIエージェント時代に、金融機関のデータガバナンスの前提がどのように変化しているかを理解できる ・国内外のAI・データ管理に関する規制・監査・リスク管理上の要請を、実務上の「</t>
        </is>
      </c>
      <c r="U131" s="15" t="inlineStr">
        <is>
          <t>https://www.seminar-info.jp/entry/seminars/view/3/6870</t>
        </is>
      </c>
      <c r="V131" s="10" t="n"/>
      <c r="W131" s="10" t="inlineStr">
        <is>
          <t>本文一致</t>
        </is>
      </c>
      <c r="X131" s="10" t="n"/>
    </row>
    <row r="132">
      <c r="A132" s="10" t="n">
        <v>131</v>
      </c>
      <c r="B132" s="11" t="n">
        <v>46226</v>
      </c>
      <c r="C132" s="11" t="n">
        <v>46226</v>
      </c>
      <c r="D132" s="10">
        <f>MONTH(B132)&amp;"月"</f>
        <v/>
      </c>
      <c r="E132" s="12" t="n">
        <v>1</v>
      </c>
      <c r="F132" s="10" t="n"/>
      <c r="G132" s="10" t="inlineStr">
        <is>
          <t>Claude Codeを安全に社内導入する際に押さえるべきセキュリティ対策</t>
        </is>
      </c>
      <c r="H132" s="10" t="inlineStr">
        <is>
          <t>Solvio｜生成AI活用支援</t>
        </is>
      </c>
      <c r="I132" s="10" t="n"/>
      <c r="J132" s="10" t="inlineStr">
        <is>
          <t>connpass</t>
        </is>
      </c>
      <c r="K132" s="10" t="inlineStr">
        <is>
          <t>オンライン</t>
        </is>
      </c>
      <c r="L132" s="10" t="inlineStr">
        <is>
          <t>オンライン</t>
        </is>
      </c>
      <c r="M132" s="10" t="inlineStr">
        <is>
          <t>生産性向上・業務効率化</t>
        </is>
      </c>
      <c r="N132" s="10" t="inlineStr">
        <is>
          <t>AIエージェント</t>
        </is>
      </c>
      <c r="O132" s="12" t="inlineStr">
        <is>
          <t>◎</t>
        </is>
      </c>
      <c r="P132" s="13" t="n">
        <v>30</v>
      </c>
      <c r="Q132" s="12" t="inlineStr">
        <is>
          <t>参加者数</t>
        </is>
      </c>
      <c r="R132" s="14" t="n">
        <v>100</v>
      </c>
      <c r="S132" s="10" t="n"/>
      <c r="T132" s="10" t="n"/>
      <c r="U132" s="15" t="inlineStr">
        <is>
          <t>https://solvio.connpass.com/event/399988/</t>
        </is>
      </c>
      <c r="V132" s="10" t="n"/>
      <c r="W132" s="10" t="inlineStr">
        <is>
          <t>タイトル一致</t>
        </is>
      </c>
      <c r="X132" s="10" t="n"/>
    </row>
    <row r="133">
      <c r="A133" s="10" t="n">
        <v>132</v>
      </c>
      <c r="B133" s="11" t="n">
        <v>46226</v>
      </c>
      <c r="C133" s="11" t="n">
        <v>46226</v>
      </c>
      <c r="D133" s="10">
        <f>MONTH(B133)&amp;"月"</f>
        <v/>
      </c>
      <c r="E133" s="12" t="n">
        <v>1</v>
      </c>
      <c r="F133" s="10" t="n"/>
      <c r="G133" s="10" t="inlineStr">
        <is>
          <t>Claude Code・ChatGPT・OllamaをローカルAIゲートウェイで統合管理する</t>
        </is>
      </c>
      <c r="H133" s="10" t="inlineStr">
        <is>
          <t>mars.sven</t>
        </is>
      </c>
      <c r="I133" s="10" t="n"/>
      <c r="J133" s="10" t="inlineStr">
        <is>
          <t>connpass</t>
        </is>
      </c>
      <c r="K133" s="10" t="inlineStr">
        <is>
          <t>会場</t>
        </is>
      </c>
      <c r="L133" s="10" t="inlineStr">
        <is>
          <t>(場所未定)</t>
        </is>
      </c>
      <c r="M133" s="10" t="inlineStr">
        <is>
          <t>開発生産性</t>
        </is>
      </c>
      <c r="N133" s="10" t="inlineStr">
        <is>
          <t>AIエージェント</t>
        </is>
      </c>
      <c r="O133" s="12" t="inlineStr">
        <is>
          <t>○</t>
        </is>
      </c>
      <c r="P133" s="13" t="n">
        <v>1</v>
      </c>
      <c r="Q133" s="12" t="inlineStr">
        <is>
          <t>参加者数</t>
        </is>
      </c>
      <c r="R133" s="14" t="n"/>
      <c r="S133" s="10" t="n"/>
      <c r="T133" s="10" t="n"/>
      <c r="U133" s="15" t="inlineStr">
        <is>
          <t>https://connpass.com/event/400877/</t>
        </is>
      </c>
      <c r="V133" s="10" t="n"/>
      <c r="W133" s="10" t="inlineStr">
        <is>
          <t>タイトル一致</t>
        </is>
      </c>
      <c r="X133" s="10" t="n"/>
    </row>
    <row r="134">
      <c r="A134" s="10" t="n">
        <v>133</v>
      </c>
      <c r="B134" s="11" t="n">
        <v>46226</v>
      </c>
      <c r="C134" s="11" t="n">
        <v>46226</v>
      </c>
      <c r="D134" s="10">
        <f>MONTH(B134)&amp;"月"</f>
        <v/>
      </c>
      <c r="E134" s="12" t="n">
        <v>1</v>
      </c>
      <c r="F134" s="10" t="n"/>
      <c r="G134" s="10" t="inlineStr">
        <is>
          <t>Gemini Enterpriseの企業導入法を解説。エージェント環境づくりと活用事例</t>
        </is>
      </c>
      <c r="H134" s="10" t="inlineStr">
        <is>
          <t>株式会社イー・エージェンシーセミナー事務局</t>
        </is>
      </c>
      <c r="I134" s="10" t="n"/>
      <c r="J134" s="10" t="inlineStr">
        <is>
          <t>こくちーずプロ</t>
        </is>
      </c>
      <c r="K134" s="10" t="inlineStr">
        <is>
          <t>オンライン</t>
        </is>
      </c>
      <c r="L134" s="10" t="inlineStr">
        <is>
          <t>オンライン 日本</t>
        </is>
      </c>
      <c r="M134" s="10" t="inlineStr">
        <is>
          <t>生産性向上・業務効率化</t>
        </is>
      </c>
      <c r="N134" s="10" t="inlineStr">
        <is>
          <t>AIエージェント</t>
        </is>
      </c>
      <c r="O134" s="12" t="inlineStr">
        <is>
          <t>◎</t>
        </is>
      </c>
      <c r="P134" s="13" t="n"/>
      <c r="Q134" s="12" t="inlineStr">
        <is>
          <t>不明</t>
        </is>
      </c>
      <c r="R134" s="14" t="n"/>
      <c r="S134" s="10" t="n"/>
      <c r="T134" s="10" t="inlineStr">
        <is>
          <t>企業のAIシフトや業務の内製化が急速に進む今、大きな注目を集めているのがGoogle Cloudの「Gemini Enterprise」です。本ウェビナーでは、その先進性や安全性について徹底解説します。 単なる機能紹介にとどまらず、売上に直結する高いROIを生み出すAIエージェントの活用法や、国内大手企業における全社導入の成功事例など、現場のリアルな知見を余すところなく公開。「自社専用のエージェント環境をどう構築し、どう現場で活かすか」</t>
        </is>
      </c>
      <c r="U134" s="15" t="inlineStr">
        <is>
          <t>https://www.kokuchpro.com/event/255341f534845a70d1eaf555157a51ac/</t>
        </is>
      </c>
      <c r="V134" s="10" t="n"/>
      <c r="W134" s="10" t="inlineStr">
        <is>
          <t>タイトル一致</t>
        </is>
      </c>
      <c r="X134" s="10" t="n"/>
    </row>
    <row r="135">
      <c r="A135" s="10" t="n">
        <v>134</v>
      </c>
      <c r="B135" s="11" t="n">
        <v>46226</v>
      </c>
      <c r="C135" s="11" t="n">
        <v>46226</v>
      </c>
      <c r="D135" s="10">
        <f>MONTH(B135)&amp;"月"</f>
        <v/>
      </c>
      <c r="E135" s="12" t="n">
        <v>1</v>
      </c>
      <c r="F135" s="10" t="n"/>
      <c r="G135" s="10" t="inlineStr">
        <is>
          <t>JPOUG Tech Talk Night #16</t>
        </is>
      </c>
      <c r="H135" s="10" t="inlineStr">
        <is>
          <t>jpoug</t>
        </is>
      </c>
      <c r="I135" s="10" t="n"/>
      <c r="J135" s="10" t="inlineStr">
        <is>
          <t>Doorkeeper</t>
        </is>
      </c>
      <c r="K135" s="10" t="inlineStr">
        <is>
          <t>不明</t>
        </is>
      </c>
      <c r="L135" s="10" t="n"/>
      <c r="M135" s="10" t="inlineStr">
        <is>
          <t>営業・マーケ・CS</t>
        </is>
      </c>
      <c r="N135" s="10" t="inlineStr">
        <is>
          <t>MCP</t>
        </is>
      </c>
      <c r="O135" s="12" t="inlineStr">
        <is>
          <t>○</t>
        </is>
      </c>
      <c r="P135" s="13" t="n">
        <v>53</v>
      </c>
      <c r="Q135" s="12" t="inlineStr">
        <is>
          <t>参加者数</t>
        </is>
      </c>
      <c r="R135" s="14" t="n">
        <v>100</v>
      </c>
      <c r="S135" s="10" t="n"/>
      <c r="T135" s="10" t="inlineStr">
        <is>
          <t xml:space="preserve"> JPOUG Tech Talk Night #16は、5名の方にオンラインのZoomミーティングで お話をしていただきます。 Organizer Title Duration 西尾 孝之 PL/SQL+AI -PL/SQLから生成AIサービスを呼び出す- 15分 辻研一郎 少し踏み込むOracleのSQLの結合方法 30分 五十嵐彩乃 ODAってなに？バージョンアップってどうするの？ 15分 朝日 英彦 「いま重い SQL を 3 件</t>
        </is>
      </c>
      <c r="U135" s="15" t="inlineStr">
        <is>
          <t>https://jpoug.doorkeeper.jp/events/197950</t>
        </is>
      </c>
      <c r="V135" s="10" t="n"/>
      <c r="W135" s="10" t="inlineStr">
        <is>
          <t>本文一致</t>
        </is>
      </c>
      <c r="X135" s="10" t="n"/>
    </row>
    <row r="136">
      <c r="A136" s="10" t="n">
        <v>135</v>
      </c>
      <c r="B136" s="11" t="n">
        <v>46226</v>
      </c>
      <c r="C136" s="11" t="n">
        <v>46226</v>
      </c>
      <c r="D136" s="10">
        <f>MONTH(B136)&amp;"月"</f>
        <v/>
      </c>
      <c r="E136" s="12" t="n">
        <v>1</v>
      </c>
      <c r="F136" s="10" t="n"/>
      <c r="G136" s="10" t="inlineStr">
        <is>
          <t>Nextbeat Osaka Lab #1「Claude Codeで作る、正規表現エンジン」</t>
        </is>
      </c>
      <c r="H136" s="10" t="inlineStr">
        <is>
          <t>nextbeat</t>
        </is>
      </c>
      <c r="I136" s="10" t="n"/>
      <c r="J136" s="10" t="inlineStr">
        <is>
          <t>connpass</t>
        </is>
      </c>
      <c r="K136" s="10" t="inlineStr">
        <is>
          <t>会場</t>
        </is>
      </c>
      <c r="L136" s="10" t="inlineStr">
        <is>
          <t>大阪府大阪市北区豊崎3丁目19−3 (ピアスタワー6階 602号室)</t>
        </is>
      </c>
      <c r="M136" s="10" t="inlineStr">
        <is>
          <t>開発生産性</t>
        </is>
      </c>
      <c r="N136" s="10" t="inlineStr">
        <is>
          <t>AIエージェント</t>
        </is>
      </c>
      <c r="O136" s="12" t="inlineStr">
        <is>
          <t>○</t>
        </is>
      </c>
      <c r="P136" s="13" t="n">
        <v>6</v>
      </c>
      <c r="Q136" s="12" t="inlineStr">
        <is>
          <t>参加者数</t>
        </is>
      </c>
      <c r="R136" s="14" t="n">
        <v>8</v>
      </c>
      <c r="S136" s="10" t="n"/>
      <c r="T136" s="10" t="n"/>
      <c r="U136" s="15" t="inlineStr">
        <is>
          <t>https://nextbeat.connpass.com/event/397529/</t>
        </is>
      </c>
      <c r="V136" s="10" t="n"/>
      <c r="W136" s="10" t="inlineStr">
        <is>
          <t>タイトル一致</t>
        </is>
      </c>
      <c r="X136" s="10" t="n"/>
    </row>
    <row r="137">
      <c r="A137" s="10" t="n">
        <v>136</v>
      </c>
      <c r="B137" s="11" t="n">
        <v>46226</v>
      </c>
      <c r="C137" s="11" t="n">
        <v>46226</v>
      </c>
      <c r="D137" s="10">
        <f>MONTH(B137)&amp;"月"</f>
        <v/>
      </c>
      <c r="E137" s="12" t="n">
        <v>1</v>
      </c>
      <c r="F137" s="10" t="n"/>
      <c r="G137" s="10" t="inlineStr">
        <is>
          <t>【2026年7月23日（木）開催】「労働保険事務組合サミット 2026」AIエージェント活用による事務組合業務の大幅効率化</t>
        </is>
      </c>
      <c r="H137" s="10" t="inlineStr">
        <is>
          <t>株式会社エムケイシステム</t>
        </is>
      </c>
      <c r="I137" s="10" t="n"/>
      <c r="J137" s="10" t="inlineStr">
        <is>
          <t>PR TIMES</t>
        </is>
      </c>
      <c r="K137" s="10" t="inlineStr">
        <is>
          <t>hybrid</t>
        </is>
      </c>
      <c r="L137" s="10" t="inlineStr">
        <is>
          <t>オンライン・オフライン同時開催</t>
        </is>
      </c>
      <c r="M137" s="10" t="inlineStr">
        <is>
          <t>生産性向上・業務効率化</t>
        </is>
      </c>
      <c r="N137" s="10" t="inlineStr">
        <is>
          <t>AIエージェント</t>
        </is>
      </c>
      <c r="O137" s="12" t="inlineStr">
        <is>
          <t>◎</t>
        </is>
      </c>
      <c r="P137" s="13" t="n"/>
      <c r="Q137" s="12" t="inlineStr">
        <is>
          <t>不明</t>
        </is>
      </c>
      <c r="R137" s="14" t="n"/>
      <c r="S137" s="10" t="n"/>
      <c r="T137" s="10" t="inlineStr">
        <is>
          <t>社会保険、労働保険等に関する業務支援ソフトウェアのシステム開発およびクラウドサービスを提供する株式会社エムケイシステム（本社：大阪市北区、代表取締役：三宅 登）は、2026年7月23日にオンライン・オフライン同時開催の『労働保険事務組合サミット2026』を開催します。 労働保険事務組合サミット2026 ▼労働保険事務組合サミット2026特設ページ https://www.mks.jp/shalom/lp/jimukumiai_summi</t>
        </is>
      </c>
      <c r="U137" s="15" t="inlineStr">
        <is>
          <t>https://prtimes.jp/main/html/rd/p/000000029.000045053.html</t>
        </is>
      </c>
      <c r="V137" s="10" t="n"/>
      <c r="W137" s="10" t="inlineStr">
        <is>
          <t>タイトル一致</t>
        </is>
      </c>
      <c r="X137" s="10" t="n"/>
    </row>
    <row r="138">
      <c r="A138" s="10" t="n">
        <v>137</v>
      </c>
      <c r="B138" s="11" t="n">
        <v>46226</v>
      </c>
      <c r="C138" s="11" t="n">
        <v>46226</v>
      </c>
      <c r="D138" s="10">
        <f>MONTH(B138)&amp;"月"</f>
        <v/>
      </c>
      <c r="E138" s="12" t="n">
        <v>1</v>
      </c>
      <c r="F138" s="10" t="n"/>
      <c r="G138" s="10" t="inlineStr">
        <is>
          <t>【7/23(木)ウェビナー開催】業務改善×AI活用を成功に導く ～“見える化”で終わらせない業務整理・標準化の進め方～</t>
        </is>
      </c>
      <c r="H138" s="10" t="inlineStr">
        <is>
          <t>株式会社アースリンク</t>
        </is>
      </c>
      <c r="I138" s="10" t="n"/>
      <c r="J138" s="10" t="inlineStr">
        <is>
          <t>こくちーずプロ</t>
        </is>
      </c>
      <c r="K138" s="10" t="inlineStr">
        <is>
          <t>オンライン</t>
        </is>
      </c>
      <c r="L138" s="10" t="inlineStr">
        <is>
          <t>オンライン 日本</t>
        </is>
      </c>
      <c r="M138" s="10" t="inlineStr">
        <is>
          <t>生産性向上・業務効率化</t>
        </is>
      </c>
      <c r="N138" s="10" t="inlineStr">
        <is>
          <t>AIエージェント</t>
        </is>
      </c>
      <c r="O138" s="12" t="inlineStr">
        <is>
          <t>○</t>
        </is>
      </c>
      <c r="P138" s="13" t="n"/>
      <c r="Q138" s="12" t="inlineStr">
        <is>
          <t>不明</t>
        </is>
      </c>
      <c r="R138" s="14" t="n"/>
      <c r="S138" s="10" t="n"/>
      <c r="T138" s="10" t="inlineStr">
        <is>
          <t>AI導入が目的ではない。 属人化を解消し、AIの成果を最大化する 「業務プロセス」の整え方を解説します！ 生成AIやAIエージェントの活用が広まる中、 「AIを導入したものの成果につながらない」 「現場の業務がバラバラでAIをどこに適用すべきかわからない」 といった壁にぶつかる企業が増えています。 実はこれらの原因は、AIの性能ではなく 「導入前の業務整理・標準化ができていないこと」 にあります。 本ウェビナーでは、「机上の空論」で終わ</t>
        </is>
      </c>
      <c r="U138" s="15" t="inlineStr">
        <is>
          <t>https://www.kokuchpro.com/event/728813118681359582ef8ce8f366f6e6/</t>
        </is>
      </c>
      <c r="V138" s="10" t="n"/>
      <c r="W138" s="10" t="inlineStr">
        <is>
          <t>本文一致</t>
        </is>
      </c>
      <c r="X138" s="10" t="n"/>
    </row>
    <row r="139">
      <c r="A139" s="10" t="n">
        <v>138</v>
      </c>
      <c r="B139" s="11" t="n">
        <v>46226</v>
      </c>
      <c r="C139" s="11" t="n">
        <v>46226</v>
      </c>
      <c r="D139" s="10">
        <f>MONTH(B139)&amp;"月"</f>
        <v/>
      </c>
      <c r="E139" s="12" t="n">
        <v>1</v>
      </c>
      <c r="F139" s="10" t="n"/>
      <c r="G139" s="10" t="inlineStr">
        <is>
          <t>【7/23】Claude Code初心者向け入門｜IT学習・資格勉強にどう活かす？</t>
        </is>
      </c>
      <c r="H139" s="10" t="inlineStr">
        <is>
          <t>まさるの勉強部屋</t>
        </is>
      </c>
      <c r="I139" s="10" t="n"/>
      <c r="J139" s="10" t="inlineStr">
        <is>
          <t>connpass</t>
        </is>
      </c>
      <c r="K139" s="10" t="inlineStr">
        <is>
          <t>オンライン</t>
        </is>
      </c>
      <c r="L139" s="10" t="inlineStr">
        <is>
          <t>Youtubeライブ</t>
        </is>
      </c>
      <c r="M139" s="10" t="inlineStr">
        <is>
          <t>開発生産性</t>
        </is>
      </c>
      <c r="N139" s="10" t="inlineStr">
        <is>
          <t>AIエージェント</t>
        </is>
      </c>
      <c r="O139" s="12" t="inlineStr">
        <is>
          <t>○</t>
        </is>
      </c>
      <c r="P139" s="13" t="n">
        <v>82</v>
      </c>
      <c r="Q139" s="12" t="inlineStr">
        <is>
          <t>参加者数</t>
        </is>
      </c>
      <c r="R139" s="14" t="n">
        <v>100</v>
      </c>
      <c r="S139" s="10" t="n"/>
      <c r="T139" s="10" t="n"/>
      <c r="U139" s="15" t="inlineStr">
        <is>
          <t>https://masaru-study.connpass.com/event/398557/</t>
        </is>
      </c>
      <c r="V139" s="10" t="n"/>
      <c r="W139" s="10" t="inlineStr">
        <is>
          <t>タイトル一致</t>
        </is>
      </c>
      <c r="X139" s="10" t="n"/>
    </row>
    <row r="140">
      <c r="A140" s="10" t="n">
        <v>139</v>
      </c>
      <c r="B140" s="11" t="n">
        <v>46226</v>
      </c>
      <c r="C140" s="11" t="n">
        <v>46226</v>
      </c>
      <c r="D140" s="10">
        <f>MONTH(B140)&amp;"月"</f>
        <v/>
      </c>
      <c r="E140" s="12" t="n">
        <v>1</v>
      </c>
      <c r="F140" s="10" t="n"/>
      <c r="G140" s="10" t="inlineStr">
        <is>
          <t>【Claude編】Speeda MCPで広がる「データ資産」の新たな活用方法－経営企画・事業開発・法人営業のユースケース</t>
        </is>
      </c>
      <c r="H140" s="10" t="inlineStr">
        <is>
          <t>株式会社ユーザベース（Speeda）</t>
        </is>
      </c>
      <c r="I140" s="10" t="n"/>
      <c r="J140" s="10" t="inlineStr">
        <is>
          <t>個別調査（公式サイト・PR TIMES等）</t>
        </is>
      </c>
      <c r="K140" s="10" t="inlineStr">
        <is>
          <t>オンライン</t>
        </is>
      </c>
      <c r="L140" s="10" t="inlineStr">
        <is>
          <t>Zoom</t>
        </is>
      </c>
      <c r="M140" s="10" t="inlineStr">
        <is>
          <t>営業・マーケ・CS</t>
        </is>
      </c>
      <c r="N140" s="10" t="inlineStr">
        <is>
          <t>MCP</t>
        </is>
      </c>
      <c r="O140" s="12" t="inlineStr">
        <is>
          <t>◎</t>
        </is>
      </c>
      <c r="P140" s="13" t="n"/>
      <c r="Q140" s="12" t="inlineStr">
        <is>
          <t>不明</t>
        </is>
      </c>
      <c r="R140" s="14" t="n"/>
      <c r="S140" s="10" t="inlineStr">
        <is>
          <t>「好評につき申込終了」と表示されていた</t>
        </is>
      </c>
      <c r="T140" s="10" t="inlineStr">
        <is>
          <t>Speeda MCPとClaudeを使い、ターゲットリストの抽出、企業動向アラート、CRMや商談記録をまたいだ商談準備資料の自動生成を紹介する。</t>
        </is>
      </c>
      <c r="U140" s="15" t="inlineStr">
        <is>
          <t>https://jp.ub-speeda.com/seminar/20260723_mcp/</t>
        </is>
      </c>
      <c r="V140" s="10" t="n"/>
      <c r="W140" s="10" t="inlineStr">
        <is>
          <t>個別確認</t>
        </is>
      </c>
      <c r="X140" s="10" t="inlineStr">
        <is>
          <t>MCPを営業に使う事例として貴重</t>
        </is>
      </c>
    </row>
    <row r="141">
      <c r="A141" s="10" t="n">
        <v>140</v>
      </c>
      <c r="B141" s="11" t="n">
        <v>46226</v>
      </c>
      <c r="C141" s="11" t="n">
        <v>46226</v>
      </c>
      <c r="D141" s="10">
        <f>MONTH(B141)&amp;"月"</f>
        <v/>
      </c>
      <c r="E141" s="12" t="n">
        <v>1</v>
      </c>
      <c r="F141" s="10" t="n"/>
      <c r="G141" s="10" t="inlineStr">
        <is>
          <t>【Google社ゲスト登壇】Gemini Enterpriseの企業導入法を解説。エージェント環境づくりと活用事例 セミナー｜株式会社イー・エージェンシー</t>
        </is>
      </c>
      <c r="H141" s="10" t="inlineStr">
        <is>
          <t>株式会社イー・エージェンシー</t>
        </is>
      </c>
      <c r="I141" s="10" t="n"/>
      <c r="J141" s="10" t="inlineStr">
        <is>
          <t>PR TIMES</t>
        </is>
      </c>
      <c r="K141" s="10" t="inlineStr">
        <is>
          <t>online</t>
        </is>
      </c>
      <c r="L141" s="10" t="inlineStr">
        <is>
          <t>オンライン配信（録画配信あり）</t>
        </is>
      </c>
      <c r="M141" s="10" t="inlineStr">
        <is>
          <t>生産性向上・業務効率化</t>
        </is>
      </c>
      <c r="N141" s="10" t="inlineStr">
        <is>
          <t>AIエージェント</t>
        </is>
      </c>
      <c r="O141" s="12" t="inlineStr">
        <is>
          <t>◎</t>
        </is>
      </c>
      <c r="P141" s="13" t="n"/>
      <c r="Q141" s="12" t="inlineStr">
        <is>
          <t>不明</t>
        </is>
      </c>
      <c r="R141" s="14" t="n"/>
      <c r="S141" s="10" t="n"/>
      <c r="T141" s="10" t="inlineStr">
        <is>
          <t>“おもてなしを科学する”株式会社イー・エージェンシー（東京都品川区、代表取締役：甲斐真樹、以下イー・エージェンシー）は、2026年7月23日（木）に、ウェビナー「Gemini Enterprise の企業導入法を解説。エージェント環境づくりと活用事例」を開催いたします。 ■ 開催の背景と目的 企業のAIシフトや業務の内製化が急速に進む今、大きな注目を集めているのがGoogle Cloudの「Gemini Enterprise」です。本ウ</t>
        </is>
      </c>
      <c r="U141" s="15" t="inlineStr">
        <is>
          <t>https://prtimes.jp/main/html/rd/p/000000014.000181368.html</t>
        </is>
      </c>
      <c r="V141" s="10" t="n"/>
      <c r="W141" s="10" t="inlineStr">
        <is>
          <t>タイトル一致</t>
        </is>
      </c>
      <c r="X141" s="10" t="n"/>
    </row>
    <row r="142">
      <c r="A142" s="10" t="n">
        <v>141</v>
      </c>
      <c r="B142" s="11" t="n">
        <v>46226</v>
      </c>
      <c r="C142" s="11" t="n">
        <v>46247</v>
      </c>
      <c r="D142" s="10">
        <f>MONTH(B142)&amp;"月"</f>
        <v/>
      </c>
      <c r="E142" s="12" t="n">
        <v>4</v>
      </c>
      <c r="F142" s="10" t="inlineStr">
        <is>
          <t>07/23、07/30、08/06、08/13</t>
        </is>
      </c>
      <c r="G142" s="10" t="inlineStr">
        <is>
          <t>【梅田/初心者歓迎】AIに出遅れた人のための、はじめての実践ワークショップ</t>
        </is>
      </c>
      <c r="H142" s="10" t="inlineStr">
        <is>
          <t>merit運営事務局</t>
        </is>
      </c>
      <c r="I142" s="10" t="n"/>
      <c r="J142" s="10" t="inlineStr">
        <is>
          <t>こくちーずプロ</t>
        </is>
      </c>
      <c r="K142" s="10" t="inlineStr">
        <is>
          <t>オフライン（会場）</t>
        </is>
      </c>
      <c r="L142" s="10" t="inlineStr">
        <is>
          <t>re:Dine 大阪府大阪市北区大深町6-38 グラングリーン大阪 北館 JAM BASE 1 階</t>
        </is>
      </c>
      <c r="M142" s="10" t="inlineStr">
        <is>
          <t>生産性向上・業務効率化</t>
        </is>
      </c>
      <c r="N142" s="10" t="inlineStr">
        <is>
          <t>AIエージェント</t>
        </is>
      </c>
      <c r="O142" s="12" t="inlineStr">
        <is>
          <t>○</t>
        </is>
      </c>
      <c r="P142" s="13" t="n">
        <v>13</v>
      </c>
      <c r="Q142" s="12" t="inlineStr">
        <is>
          <t>イベント参加 3/6</t>
        </is>
      </c>
      <c r="R142" s="14" t="n">
        <v>24</v>
      </c>
      <c r="S142" s="10" t="inlineStr">
        <is>
          <t>全4回の合計</t>
        </is>
      </c>
      <c r="T142" s="10" t="inlineStr">
        <is>
          <t>MERIT AI WORKSHOP はじめてのAI活用ワークショップ 「気づけば、周りはもう使ってた」 ——その出遅れ、90分で取り戻す。 パソコン不要・むずかしい設定なし。見て・聞いて・そのまま持ち帰れる90分。 「AIが便利らしいのは分かるけど、正直まだ触れていない」 「周りは使い始めていて、なんだか自分だけ置いていかれそう…」 そんな“出遅れ感”を抱えている方に、ちょうどいい最初の一歩です。 このワークショップは、 難しい操作もプ</t>
        </is>
      </c>
      <c r="U142" s="15" t="inlineStr">
        <is>
          <t>https://www.kokuchpro.com/event/0999ea661983981fa48e81d09c0559e5/</t>
        </is>
      </c>
      <c r="V142" s="10" t="n"/>
      <c r="W142" s="10" t="inlineStr">
        <is>
          <t>本文一致</t>
        </is>
      </c>
      <c r="X142" s="10" t="n"/>
    </row>
    <row r="143">
      <c r="A143" s="10" t="n">
        <v>142</v>
      </c>
      <c r="B143" s="11" t="n">
        <v>46226</v>
      </c>
      <c r="C143" s="11" t="n">
        <v>46226</v>
      </c>
      <c r="D143" s="10">
        <f>MONTH(B143)&amp;"月"</f>
        <v/>
      </c>
      <c r="E143" s="12" t="n">
        <v>1</v>
      </c>
      <c r="F143" s="10" t="n"/>
      <c r="G143" s="10" t="inlineStr">
        <is>
          <t>医療機関が狙われる時代、“把握できていない機器”が最大の脅威に 〜ランサムウェア被害の現実と、エージェントレスで始める端末の把握と自動遮断〜</t>
        </is>
      </c>
      <c r="H143" s="10" t="inlineStr">
        <is>
          <t>株式会社PFU</t>
        </is>
      </c>
      <c r="I143" s="10" t="inlineStr">
        <is>
          <t>マジセミ株式会社</t>
        </is>
      </c>
      <c r="J143" s="10" t="inlineStr">
        <is>
          <t>Doorkeeper</t>
        </is>
      </c>
      <c r="K143" s="10" t="inlineStr">
        <is>
          <t>不明</t>
        </is>
      </c>
      <c r="L143" s="10" t="n"/>
      <c r="M143" s="10" t="inlineStr">
        <is>
          <t>生産性向上・業務効率化</t>
        </is>
      </c>
      <c r="N143" s="10" t="inlineStr">
        <is>
          <t>AIエージェント</t>
        </is>
      </c>
      <c r="O143" s="12" t="inlineStr">
        <is>
          <t>○</t>
        </is>
      </c>
      <c r="P143" s="13" t="n">
        <v>8</v>
      </c>
      <c r="Q143" s="12" t="inlineStr">
        <is>
          <t>参加者数</t>
        </is>
      </c>
      <c r="R143" s="14" t="n">
        <v>8</v>
      </c>
      <c r="S143" s="10" t="n"/>
      <c r="T143"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医療DXとガイドライン7.0版で高まる、接続機器管理の重要性 医療DXの進展により、医療機関のネットワークには電子カルテ端末、医療機器、プリンター、各種IoT機器、持ち込み端末など、多様な機器が接続され</t>
        </is>
      </c>
      <c r="U143" s="15" t="inlineStr">
        <is>
          <t>https://majisemi-operation.doorkeeper.jp/events/198051</t>
        </is>
      </c>
      <c r="V143" s="10" t="n"/>
      <c r="W143" s="10" t="inlineStr">
        <is>
          <t>本文一致</t>
        </is>
      </c>
      <c r="X143" s="10" t="n"/>
    </row>
    <row r="144">
      <c r="A144" s="10" t="n">
        <v>143</v>
      </c>
      <c r="B144" s="11" t="n">
        <v>46227</v>
      </c>
      <c r="C144" s="11" t="n">
        <v>46227</v>
      </c>
      <c r="D144" s="10">
        <f>MONTH(B144)&amp;"月"</f>
        <v/>
      </c>
      <c r="E144" s="12" t="n">
        <v>1</v>
      </c>
      <c r="F144" s="10" t="n"/>
      <c r="G144" s="10" t="inlineStr">
        <is>
          <t>AI Agent Night 第4弾（AIエージェントに関わるすべての人の交流会）</t>
        </is>
      </c>
      <c r="H144" s="10" t="inlineStr">
        <is>
          <t>一般社団法人AICX協会</t>
        </is>
      </c>
      <c r="I144" s="10" t="n"/>
      <c r="J144" s="10" t="inlineStr">
        <is>
          <t>PR TIMES</t>
        </is>
      </c>
      <c r="K144" s="10" t="inlineStr">
        <is>
          <t>offline</t>
        </is>
      </c>
      <c r="L144" s="10" t="inlineStr">
        <is>
          <t>渋谷ストリーム Googleオフィス</t>
        </is>
      </c>
      <c r="M144" s="10" t="inlineStr">
        <is>
          <t>営業・マーケ・CS</t>
        </is>
      </c>
      <c r="N144" s="10" t="inlineStr">
        <is>
          <t>AIエージェント</t>
        </is>
      </c>
      <c r="O144" s="12" t="inlineStr">
        <is>
          <t>◎</t>
        </is>
      </c>
      <c r="P144" s="13" t="n"/>
      <c r="Q144" s="12" t="inlineStr">
        <is>
          <t>不明</t>
        </is>
      </c>
      <c r="R144" s="14" t="n"/>
      <c r="S144" s="10" t="n"/>
      <c r="T144" s="10" t="inlineStr">
        <is>
          <t>一般社団法人AICX（AI Customer Experience）協会（東京都、代表理事：小栗伸、小澤健祐、以下AICX協会）は、AIエージェントに関わる実務担当者が業種や職域を越えて交流するイベント「AI Agent Night」の第4弾を、2026年7月24日（金）に渋谷ストリーム Googleオフィスにて開催いたします。 本イベントは前回、100名を超えるAIエージェントの実務担当者が参加し、立場や役割を越えた活発な交流が生まれ</t>
        </is>
      </c>
      <c r="U144" s="15" t="inlineStr">
        <is>
          <t>https://prtimes.jp/main/html/rd/p/000000125.000155740.html</t>
        </is>
      </c>
      <c r="V144" s="10" t="n"/>
      <c r="W144" s="10" t="inlineStr">
        <is>
          <t>タイトル一致</t>
        </is>
      </c>
      <c r="X144" s="10" t="n"/>
    </row>
    <row r="145">
      <c r="A145" s="10" t="n">
        <v>144</v>
      </c>
      <c r="B145" s="11" t="n">
        <v>46227</v>
      </c>
      <c r="C145" s="11" t="n">
        <v>46227</v>
      </c>
      <c r="D145" s="10">
        <f>MONTH(B145)&amp;"月"</f>
        <v/>
      </c>
      <c r="E145" s="12" t="n">
        <v>1</v>
      </c>
      <c r="F145" s="10" t="n"/>
      <c r="G145" s="10" t="inlineStr">
        <is>
          <t>AI Agentを加速するデータ基盤とは？</t>
        </is>
      </c>
      <c r="H145" s="10" t="inlineStr">
        <is>
          <t>ファインディ／Findy</t>
        </is>
      </c>
      <c r="I145" s="10" t="n"/>
      <c r="J145" s="10" t="inlineStr">
        <is>
          <t>connpass</t>
        </is>
      </c>
      <c r="K145" s="10" t="inlineStr">
        <is>
          <t>オンライン</t>
        </is>
      </c>
      <c r="L145" s="10" t="inlineStr">
        <is>
          <t>オンライン</t>
        </is>
      </c>
      <c r="M145" s="10" t="inlineStr">
        <is>
          <t>技術・AI全般</t>
        </is>
      </c>
      <c r="N145" s="10" t="inlineStr">
        <is>
          <t>AIエージェント</t>
        </is>
      </c>
      <c r="O145" s="12" t="inlineStr">
        <is>
          <t>○</t>
        </is>
      </c>
      <c r="P145" s="13" t="n">
        <v>275</v>
      </c>
      <c r="Q145" s="12" t="inlineStr">
        <is>
          <t>参加者数</t>
        </is>
      </c>
      <c r="R145" s="14" t="n"/>
      <c r="S145" s="10" t="n"/>
      <c r="T145" s="10" t="n"/>
      <c r="U145" s="15" t="inlineStr">
        <is>
          <t>https://findy.connpass.com/event/399253/</t>
        </is>
      </c>
      <c r="V145" s="10" t="n"/>
      <c r="W145" s="10" t="inlineStr">
        <is>
          <t>タイトル一致</t>
        </is>
      </c>
      <c r="X145" s="10" t="n"/>
    </row>
    <row r="146">
      <c r="A146" s="10" t="n">
        <v>145</v>
      </c>
      <c r="B146" s="11" t="n">
        <v>46227</v>
      </c>
      <c r="C146" s="11" t="n">
        <v>46290</v>
      </c>
      <c r="D146" s="10">
        <f>MONTH(B146)&amp;"月"</f>
        <v/>
      </c>
      <c r="E146" s="12" t="n">
        <v>2</v>
      </c>
      <c r="F146" s="10" t="inlineStr">
        <is>
          <t>07/24、09/25</t>
        </is>
      </c>
      <c r="G146" s="10" t="inlineStr">
        <is>
          <t>AIライトニングトーク会(LT会)</t>
        </is>
      </c>
      <c r="H146" s="10" t="inlineStr">
        <is>
          <t>AIライトニングトーク会(LT会)事務局</t>
        </is>
      </c>
      <c r="I146" s="10" t="n"/>
      <c r="J146" s="10" t="inlineStr">
        <is>
          <t>こくちーずプロ</t>
        </is>
      </c>
      <c r="K146" s="10" t="inlineStr">
        <is>
          <t>オフライン（会場）</t>
        </is>
      </c>
      <c r="L146" s="10" t="inlineStr">
        <is>
          <t>株式会社ビズリンク本社 東京都東京都品川区東五反田2-3-5 五反田中央ビル8F</t>
        </is>
      </c>
      <c r="M146" s="10" t="inlineStr">
        <is>
          <t>生産性向上・業務効率化</t>
        </is>
      </c>
      <c r="N146" s="10" t="inlineStr">
        <is>
          <t>AIエージェント</t>
        </is>
      </c>
      <c r="O146" s="12" t="inlineStr">
        <is>
          <t>○</t>
        </is>
      </c>
      <c r="P146" s="13" t="n">
        <v>0</v>
      </c>
      <c r="Q146" s="12" t="inlineStr">
        <is>
          <t>イベント参加 0/10</t>
        </is>
      </c>
      <c r="R146" s="14" t="n">
        <v>20</v>
      </c>
      <c r="S146" s="10" t="inlineStr">
        <is>
          <t>全2回の合計</t>
        </is>
      </c>
      <c r="T146" s="10" t="inlineStr">
        <is>
          <t>AIライトニングトーク会（LT会）開催！【7/24(金)・参加無料】 AI活用の最新トレンドをテーマにした、開発エンジニア向けLT会を開催します！ 今回は、AI開発をより実践的に進めるための考え方や最新トピックについて、弊社開発チームがお話しします。 LTテーマ（一部予定） AI活用最前線のスキル大解剖 AIが忘れない -Hooksで手綱を握れ- 最近話題のループエンジニアリングとは AIを開発業務に取り入れたい方や、Codex・Cla</t>
        </is>
      </c>
      <c r="U146" s="15" t="inlineStr">
        <is>
          <t>https://www.kokuchpro.com/event/cafa314873fa0701c36247794366530b/</t>
        </is>
      </c>
      <c r="V146" s="10" t="n"/>
      <c r="W146" s="10" t="inlineStr">
        <is>
          <t>本文一致</t>
        </is>
      </c>
      <c r="X146" s="10" t="n"/>
    </row>
    <row r="147">
      <c r="A147" s="10" t="n">
        <v>146</v>
      </c>
      <c r="B147" s="11" t="n">
        <v>46227</v>
      </c>
      <c r="C147" s="11" t="n">
        <v>46227</v>
      </c>
      <c r="D147" s="10">
        <f>MONTH(B147)&amp;"月"</f>
        <v/>
      </c>
      <c r="E147" s="12" t="n">
        <v>1</v>
      </c>
      <c r="F147" s="10" t="n"/>
      <c r="G147" s="10" t="inlineStr">
        <is>
          <t>Claude Agent SDKで自分だけのAI Agentをつくろう！</t>
        </is>
      </c>
      <c r="H147" s="10" t="inlineStr">
        <is>
          <t>ModN Tech Lounge</t>
        </is>
      </c>
      <c r="I147" s="10" t="n"/>
      <c r="J147" s="10" t="inlineStr">
        <is>
          <t>connpass</t>
        </is>
      </c>
      <c r="K147" s="10" t="inlineStr">
        <is>
          <t>オンライン</t>
        </is>
      </c>
      <c r="L147" s="10" t="inlineStr">
        <is>
          <t>オンライン</t>
        </is>
      </c>
      <c r="M147" s="10" t="inlineStr">
        <is>
          <t>営業・マーケ・CS</t>
        </is>
      </c>
      <c r="N147" s="10" t="inlineStr">
        <is>
          <t>AIエージェント</t>
        </is>
      </c>
      <c r="O147" s="12" t="inlineStr">
        <is>
          <t>◎</t>
        </is>
      </c>
      <c r="P147" s="13" t="n">
        <v>23</v>
      </c>
      <c r="Q147" s="12" t="inlineStr">
        <is>
          <t>参加者数</t>
        </is>
      </c>
      <c r="R147" s="14" t="n"/>
      <c r="S147" s="10" t="n"/>
      <c r="T147" s="10" t="n"/>
      <c r="U147" s="15" t="inlineStr">
        <is>
          <t>https://modn-tech.connpass.com/event/400145/</t>
        </is>
      </c>
      <c r="V147" s="10" t="n"/>
      <c r="W147" s="10" t="inlineStr">
        <is>
          <t>タイトル一致</t>
        </is>
      </c>
      <c r="X147" s="10" t="n"/>
    </row>
    <row r="148">
      <c r="A148" s="10" t="n">
        <v>147</v>
      </c>
      <c r="B148" s="11" t="n">
        <v>46227</v>
      </c>
      <c r="C148" s="11" t="n">
        <v>46227</v>
      </c>
      <c r="D148" s="10">
        <f>MONTH(B148)&amp;"月"</f>
        <v/>
      </c>
      <c r="E148" s="12" t="n">
        <v>1</v>
      </c>
      <c r="F148" s="10" t="n"/>
      <c r="G148" s="10" t="inlineStr">
        <is>
          <t>DX&amp;AI Forum Online 2026 夏</t>
        </is>
      </c>
      <c r="H148" s="10" t="inlineStr">
        <is>
          <t>SBクリエイティブ株式会社（ビジネス＋IT）</t>
        </is>
      </c>
      <c r="I148" s="10" t="n"/>
      <c r="J148" s="10" t="inlineStr">
        <is>
          <t>ビジネス+IT</t>
        </is>
      </c>
      <c r="K148" s="10" t="inlineStr">
        <is>
          <t>online</t>
        </is>
      </c>
      <c r="L148" s="10" t="inlineStr">
        <is>
          <t>オンライン</t>
        </is>
      </c>
      <c r="M148" s="10" t="inlineStr">
        <is>
          <t>生産性向上・業務効率化</t>
        </is>
      </c>
      <c r="N148" s="10" t="inlineStr">
        <is>
          <t>AIエージェント</t>
        </is>
      </c>
      <c r="O148" s="12" t="inlineStr">
        <is>
          <t>○</t>
        </is>
      </c>
      <c r="P148" s="13" t="n"/>
      <c r="Q148" s="12" t="inlineStr">
        <is>
          <t>不明</t>
        </is>
      </c>
      <c r="R148" s="14" t="n"/>
      <c r="S148" s="10" t="n"/>
      <c r="T148" s="10" t="inlineStr">
        <is>
          <t>生成AIからAGI（汎用人工知能）、そして実世界で稼働するフィジカルAIへ――技術の進化が加速する今、企業に求められるのは単なる業務効率化を超えた「デジタル変革（DX）」の実現です。自律的にタスクを遂行するAIエージェントが普及するなか、AIに任せる領域と人が価値を生む領域を見極め、「AIと人の協業」を前提とした組織への転換が競争力を左右します。本フォーラム「DX &amp; AI Forum Online 2026 夏」では、業界の最前線をリ</t>
        </is>
      </c>
      <c r="U148" s="15" t="inlineStr">
        <is>
          <t>https://www.sbbit.jp/eventinfo/88483</t>
        </is>
      </c>
      <c r="V148" s="10" t="n"/>
      <c r="W148" s="10" t="inlineStr">
        <is>
          <t>本文一致</t>
        </is>
      </c>
      <c r="X148" s="10" t="n"/>
    </row>
    <row r="149">
      <c r="A149" s="10" t="n">
        <v>148</v>
      </c>
      <c r="B149" s="11" t="n">
        <v>46227</v>
      </c>
      <c r="C149" s="11" t="n">
        <v>46227</v>
      </c>
      <c r="D149" s="10">
        <f>MONTH(B149)&amp;"月"</f>
        <v/>
      </c>
      <c r="E149" s="12" t="n">
        <v>1</v>
      </c>
      <c r="F149" s="10" t="n"/>
      <c r="G149" s="10" t="inlineStr">
        <is>
          <t>KCSを成功させるコンタクトセンターAI活用戦略  ―Omnis × Gemini で実現する「磨き続けるFAQ」―</t>
        </is>
      </c>
      <c r="H149" s="10" t="inlineStr">
        <is>
          <t>丸紅I-DIGIOグループ 流通・産業ソリューションセグメント</t>
        </is>
      </c>
      <c r="I149" s="10" t="inlineStr">
        <is>
          <t>グーグル・クラウド・ ジャパン合同会社</t>
        </is>
      </c>
      <c r="J149" s="10" t="inlineStr">
        <is>
          <t>Doorkeeper</t>
        </is>
      </c>
      <c r="K149" s="10" t="inlineStr">
        <is>
          <t>オンライン</t>
        </is>
      </c>
      <c r="L149" s="10" t="inlineStr">
        <is>
          <t>Webセミナー（URLは主催企業からメールでお知らせします） オンライン</t>
        </is>
      </c>
      <c r="M149" s="10" t="inlineStr">
        <is>
          <t>営業・マーケ・CS</t>
        </is>
      </c>
      <c r="N149" s="10" t="inlineStr">
        <is>
          <t>AIエージェント</t>
        </is>
      </c>
      <c r="O149" s="12" t="inlineStr">
        <is>
          <t>○</t>
        </is>
      </c>
      <c r="P149" s="13" t="n">
        <v>0</v>
      </c>
      <c r="Q149" s="12" t="inlineStr">
        <is>
          <t>参加者数</t>
        </is>
      </c>
      <c r="R149" s="14" t="n"/>
      <c r="S149" s="10" t="n"/>
      <c r="T149" s="10" t="inlineStr">
        <is>
          <t xml:space="preserve"> 本セミナーはWebセミナーです ウェビナーツール「Zoom」を利用して開催します。 上記でご登録いただく個人情報の一部（氏名・メールアドレス）は、Zoom Video Communications, Incに提供いたします。 参加方法（URL）は主催企業より直接メールにてご連絡いたします。 「marubeni-idigio.com」「osslabo.com」「majisemi.com」からのメールが迷惑メールとならないよう、メールの設</t>
        </is>
      </c>
      <c r="U149" s="15" t="inlineStr">
        <is>
          <t>https://majisemi-sales.doorkeeper.jp/events/198186</t>
        </is>
      </c>
      <c r="V149" s="10" t="n"/>
      <c r="W149" s="10" t="inlineStr">
        <is>
          <t>本文一致</t>
        </is>
      </c>
      <c r="X149" s="10" t="n"/>
    </row>
    <row r="150">
      <c r="A150" s="10" t="n">
        <v>149</v>
      </c>
      <c r="B150" s="11" t="n">
        <v>46227</v>
      </c>
      <c r="C150" s="11" t="n">
        <v>46227</v>
      </c>
      <c r="D150" s="10">
        <f>MONTH(B150)&amp;"月"</f>
        <v/>
      </c>
      <c r="E150" s="12" t="n">
        <v>1</v>
      </c>
      <c r="F150" s="10" t="n"/>
      <c r="G150" s="10" t="inlineStr">
        <is>
          <t>MOTEX Tech Scope #1 〜AWSを用いたAIエージェントの構築と活用〜</t>
        </is>
      </c>
      <c r="H150" s="10" t="inlineStr">
        <is>
          <t>エムオーテックス株式会社</t>
        </is>
      </c>
      <c r="I150" s="10" t="n"/>
      <c r="J150" s="10" t="inlineStr">
        <is>
          <t>connpass</t>
        </is>
      </c>
      <c r="K150" s="10" t="inlineStr">
        <is>
          <t>会場</t>
        </is>
      </c>
      <c r="L150" s="10" t="inlineStr">
        <is>
          <t>大阪府大阪市淀川区西中島5-12-12 (エムオーテックス新大阪ビル)</t>
        </is>
      </c>
      <c r="M150" s="10" t="inlineStr">
        <is>
          <t>営業・マーケ・CS</t>
        </is>
      </c>
      <c r="N150" s="10" t="inlineStr">
        <is>
          <t>AIエージェント</t>
        </is>
      </c>
      <c r="O150" s="12" t="inlineStr">
        <is>
          <t>◎</t>
        </is>
      </c>
      <c r="P150" s="13" t="n">
        <v>17</v>
      </c>
      <c r="Q150" s="12" t="inlineStr">
        <is>
          <t>参加者数</t>
        </is>
      </c>
      <c r="R150" s="14" t="n">
        <v>43</v>
      </c>
      <c r="S150" s="10" t="n"/>
      <c r="T150" s="10" t="n"/>
      <c r="U150" s="15" t="inlineStr">
        <is>
          <t>https://motex.connpass.com/event/399745/</t>
        </is>
      </c>
      <c r="V150" s="10" t="n"/>
      <c r="W150" s="10" t="inlineStr">
        <is>
          <t>タイトル一致</t>
        </is>
      </c>
      <c r="X150" s="10" t="n"/>
    </row>
    <row r="151">
      <c r="A151" s="10" t="n">
        <v>150</v>
      </c>
      <c r="B151" s="11" t="n">
        <v>46227</v>
      </c>
      <c r="C151" s="11" t="n">
        <v>46254</v>
      </c>
      <c r="D151" s="10">
        <f>MONTH(B151)&amp;"月"</f>
        <v/>
      </c>
      <c r="E151" s="12" t="n">
        <v>2</v>
      </c>
      <c r="F151" s="10" t="inlineStr">
        <is>
          <t>07/24、08/20</t>
        </is>
      </c>
      <c r="G151" s="10" t="inlineStr">
        <is>
          <t>WACA主催【「顧客行動デザイナー」オープンセミナー Claudeが自動で育つための環境構築手法：日々のAI利用からフィードバック情報を取得、処理、仕組みに変えるエコシステム構築</t>
        </is>
      </c>
      <c r="H151" s="10" t="inlineStr">
        <is>
          <t>一般社団法人ウェブ解析士協会</t>
        </is>
      </c>
      <c r="I151" s="10" t="n"/>
      <c r="J151" s="10" t="inlineStr">
        <is>
          <t>Doorkeeper</t>
        </is>
      </c>
      <c r="K151" s="10" t="inlineStr">
        <is>
          <t>不明</t>
        </is>
      </c>
      <c r="L151" s="10" t="n"/>
      <c r="M151" s="10" t="inlineStr">
        <is>
          <t>営業・マーケ・CS</t>
        </is>
      </c>
      <c r="N151" s="10" t="inlineStr">
        <is>
          <t>MCP</t>
        </is>
      </c>
      <c r="O151" s="12" t="inlineStr">
        <is>
          <t>○</t>
        </is>
      </c>
      <c r="P151" s="13" t="n">
        <v>227</v>
      </c>
      <c r="Q151" s="12" t="inlineStr">
        <is>
          <t>参加者数</t>
        </is>
      </c>
      <c r="R151" s="14" t="n"/>
      <c r="S151" s="10" t="inlineStr">
        <is>
          <t>全2回の合計</t>
        </is>
      </c>
      <c r="T151" s="10" t="inlineStr">
        <is>
          <t xml:space="preserve"> 本セミナーで扱うテーマ 毎日Claudeを使っているのに、「6ヶ月前と何も変わっていない」——これがほとんどのAI活用者の現実です。 ▼ セッションを開くたびに「私はマーケターで…」と同じ自己紹介を繰り返す。毎回ゼロからスタート ▼ プロンプトを磨いても、翌日には別の人間扱い。「うまく伝える技術」は上がるが、「覚えさせる仕組み」は何もない ▼ 3ヶ月前にAIと設計した資料の文脈も、当時使ったプロンプトも、どこにあるかわからない。AIと</t>
        </is>
      </c>
      <c r="U151" s="15" t="inlineStr">
        <is>
          <t>https://web-mining.doorkeeper.jp/events/197996</t>
        </is>
      </c>
      <c r="V151" s="10" t="n"/>
      <c r="W151" s="10" t="inlineStr">
        <is>
          <t>本文一致</t>
        </is>
      </c>
      <c r="X151" s="10" t="n"/>
    </row>
    <row r="152">
      <c r="A152" s="10" t="n">
        <v>151</v>
      </c>
      <c r="B152" s="11" t="n">
        <v>46227</v>
      </c>
      <c r="C152" s="11" t="n">
        <v>46227</v>
      </c>
      <c r="D152" s="10">
        <f>MONTH(B152)&amp;"月"</f>
        <v/>
      </c>
      <c r="E152" s="12" t="n">
        <v>1</v>
      </c>
      <c r="F152" s="10" t="n"/>
      <c r="G152" s="10" t="inlineStr">
        <is>
          <t>【歯科医院経営者限定】 ClaudeCode実践セミナー 診療効率化と人事評価制度で"辞めない・儲かる"医院をつくる活用術</t>
        </is>
      </c>
      <c r="H152" s="10" t="inlineStr">
        <is>
          <t>給与アップ研究所セミナー事務局</t>
        </is>
      </c>
      <c r="I152" s="10" t="n"/>
      <c r="J152" s="10" t="inlineStr">
        <is>
          <t>こくちーずプロ</t>
        </is>
      </c>
      <c r="K152" s="10" t="inlineStr">
        <is>
          <t>オンライン</t>
        </is>
      </c>
      <c r="L152" s="10" t="inlineStr">
        <is>
          <t>オンライン 日本</t>
        </is>
      </c>
      <c r="M152" s="10" t="inlineStr">
        <is>
          <t>営業・マーケ・CS</t>
        </is>
      </c>
      <c r="N152" s="10" t="inlineStr">
        <is>
          <t>AIエージェント</t>
        </is>
      </c>
      <c r="O152" s="12" t="inlineStr">
        <is>
          <t>◎</t>
        </is>
      </c>
      <c r="P152" s="13" t="n">
        <v>1</v>
      </c>
      <c r="Q152" s="12" t="inlineStr">
        <is>
          <t>イベント参加 1/100</t>
        </is>
      </c>
      <c r="R152" s="14" t="n">
        <v>100</v>
      </c>
      <c r="S152" s="10" t="n"/>
      <c r="T152" s="10" t="inlineStr">
        <is>
          <t>【歯科医院経営者限定】 ClaudeCode実践セミナー 診療効率化と人事評価制度で"辞めない・儲かる"医院をつくる活用術 ━━━━━━━━━━━━━━━━━━ ■開催概要 ━━━━━━━━━━━━━━━━━━ 日時：2026年7月24日（金）12:00～13:00 形式：オンライン（Zoom） 参加費：無料 ━━━━━━━━━━━━━━━━━━ ■このようなお悩みはありませんか？ ━━━━━━━━━━━━━━━━━━ ・求人を出しても</t>
        </is>
      </c>
      <c r="U152" s="15" t="inlineStr">
        <is>
          <t>https://www.kokuchpro.com/event/67c704a6ba119ffa603f407c42b657b0/</t>
        </is>
      </c>
      <c r="V152" s="10" t="n"/>
      <c r="W152" s="10" t="inlineStr">
        <is>
          <t>タイトル一致</t>
        </is>
      </c>
      <c r="X152" s="10" t="n"/>
    </row>
    <row r="153">
      <c r="A153" s="10" t="n">
        <v>152</v>
      </c>
      <c r="B153" s="11" t="n">
        <v>46227</v>
      </c>
      <c r="C153" s="11" t="n">
        <v>46227</v>
      </c>
      <c r="D153" s="10">
        <f>MONTH(B153)&amp;"月"</f>
        <v/>
      </c>
      <c r="E153" s="12" t="n">
        <v>1</v>
      </c>
      <c r="F153" s="10" t="n"/>
      <c r="G153" s="10" t="inlineStr">
        <is>
          <t>はじめての AI エージェント開発</t>
        </is>
      </c>
      <c r="H153" s="10" t="inlineStr">
        <is>
          <t>インターシステムズ開発者コミュニティのグループ</t>
        </is>
      </c>
      <c r="I153" s="10" t="n"/>
      <c r="J153" s="10" t="inlineStr">
        <is>
          <t>connpass</t>
        </is>
      </c>
      <c r="K153" s="10" t="inlineStr">
        <is>
          <t>オンライン</t>
        </is>
      </c>
      <c r="L153" s="10" t="inlineStr">
        <is>
          <t>オンライン</t>
        </is>
      </c>
      <c r="M153" s="10" t="inlineStr">
        <is>
          <t>開発生産性</t>
        </is>
      </c>
      <c r="N153" s="10" t="inlineStr">
        <is>
          <t>AIエージェント</t>
        </is>
      </c>
      <c r="O153" s="12" t="inlineStr">
        <is>
          <t>○</t>
        </is>
      </c>
      <c r="P153" s="13" t="n">
        <v>7</v>
      </c>
      <c r="Q153" s="12" t="inlineStr">
        <is>
          <t>参加者数</t>
        </is>
      </c>
      <c r="R153" s="14" t="n">
        <v>50</v>
      </c>
      <c r="S153" s="10" t="n"/>
      <c r="T153" s="10" t="n"/>
      <c r="U153" s="15" t="inlineStr">
        <is>
          <t>https://intersystems-dc.connpass.com/event/398426/</t>
        </is>
      </c>
      <c r="V153" s="10" t="n"/>
      <c r="W153" s="10" t="inlineStr">
        <is>
          <t>タイトル一致</t>
        </is>
      </c>
      <c r="X153" s="10" t="n"/>
    </row>
    <row r="154">
      <c r="A154" s="10" t="n">
        <v>153</v>
      </c>
      <c r="B154" s="11" t="n">
        <v>46227</v>
      </c>
      <c r="C154" s="11" t="n">
        <v>46227</v>
      </c>
      <c r="D154" s="10">
        <f>MONTH(B154)&amp;"月"</f>
        <v/>
      </c>
      <c r="E154" s="12" t="n">
        <v>1</v>
      </c>
      <c r="F154" s="10" t="n"/>
      <c r="G154" s="10" t="inlineStr">
        <is>
          <t>バクラクシリーズを一挙公開！AIエージェントがバックオフィスをどう変える？</t>
        </is>
      </c>
      <c r="H154" s="10" t="inlineStr">
        <is>
          <t>株式会社LayerX</t>
        </is>
      </c>
      <c r="I154" s="10" t="n"/>
      <c r="J154" s="10" t="inlineStr">
        <is>
          <t>ビジネス+IT</t>
        </is>
      </c>
      <c r="K154" s="10" t="inlineStr">
        <is>
          <t>online</t>
        </is>
      </c>
      <c r="L154" s="10" t="inlineStr">
        <is>
          <t>オンライン</t>
        </is>
      </c>
      <c r="M154" s="10" t="inlineStr">
        <is>
          <t>生産性向上・業務効率化</t>
        </is>
      </c>
      <c r="N154" s="10" t="inlineStr">
        <is>
          <t>AIエージェント</t>
        </is>
      </c>
      <c r="O154" s="12" t="inlineStr">
        <is>
          <t>◎</t>
        </is>
      </c>
      <c r="P154" s="13" t="n"/>
      <c r="Q154" s="12" t="inlineStr">
        <is>
          <t>不明</t>
        </is>
      </c>
      <c r="R154" s="14" t="n"/>
      <c r="S154" s="10" t="n"/>
      <c r="T154" s="10" t="inlineStr">
        <is>
          <t>バクラクシリーズを一挙公開！AIエージェントがバックオフィスをどう変える？ AIの進化によって、経理・労務・総務などバックオフィスの業務はこれまで以上に効率化・高度化が可能になっています。なかでも近年注目を集めるAIエージェントは、単なる自動化にとどまらず、日常業務の中でAIが判断や処理をアシストすることで、バックオフィス担当者の業務負荷を根本から変える存在として期待されています。 本ウェビナーでは、バックオフィス業務に特化したAIエー</t>
        </is>
      </c>
      <c r="U154" s="15" t="inlineStr">
        <is>
          <t>https://www.sbbit.jp/eventinfo/89562</t>
        </is>
      </c>
      <c r="V154" s="10" t="n"/>
      <c r="W154" s="10" t="inlineStr">
        <is>
          <t>タイトル一致</t>
        </is>
      </c>
      <c r="X154" s="10" t="n"/>
    </row>
    <row r="155">
      <c r="A155" s="10" t="n">
        <v>154</v>
      </c>
      <c r="B155" s="11" t="n">
        <v>46227</v>
      </c>
      <c r="C155" s="11" t="n">
        <v>46227</v>
      </c>
      <c r="D155" s="10">
        <f>MONTH(B155)&amp;"月"</f>
        <v/>
      </c>
      <c r="E155" s="12" t="n">
        <v>1</v>
      </c>
      <c r="F155" s="10" t="n"/>
      <c r="G155" s="10" t="inlineStr">
        <is>
          <t>経営者向け Claude Cowork 実習 AI経営者育成プログラム</t>
        </is>
      </c>
      <c r="H155" s="10" t="inlineStr">
        <is>
          <t>名古屋AI経営サミット</t>
        </is>
      </c>
      <c r="I155" s="10" t="n"/>
      <c r="J155" s="10" t="inlineStr">
        <is>
          <t>こくちーずプロ</t>
        </is>
      </c>
      <c r="K155" s="10" t="inlineStr">
        <is>
          <t>オンライン</t>
        </is>
      </c>
      <c r="L155" s="10" t="inlineStr">
        <is>
          <t>オンライン 日本</t>
        </is>
      </c>
      <c r="M155" s="10" t="inlineStr">
        <is>
          <t>生産性向上・業務効率化</t>
        </is>
      </c>
      <c r="N155" s="10" t="inlineStr">
        <is>
          <t>AIエージェント</t>
        </is>
      </c>
      <c r="O155" s="12" t="inlineStr">
        <is>
          <t>◎</t>
        </is>
      </c>
      <c r="P155" s="13" t="n">
        <v>2</v>
      </c>
      <c r="Q155" s="12" t="inlineStr">
        <is>
          <t>イベント参加 2/12</t>
        </is>
      </c>
      <c r="R155" s="14" t="n">
        <v>12</v>
      </c>
      <c r="S155" s="10" t="n"/>
      <c r="T155" s="10" t="inlineStr">
        <is>
          <t>―― AIエージェント を、社長自身の手で。 基 礎から手取り足取り、1日でつかむ。 ChatGPTもGeminiも、もう触ったことがある。それなりに便利だと思っている。 それでも、経営は何か変わったでしょうか。 2026年、AIの世界では大きな地殻変動が起きています。 ChatGPTやGeminiといった「チャット型AI」と、Claude Coworkに代表される「AIエージェント型」は、もはや別の道具です。 同じAIという言葉でくく</t>
        </is>
      </c>
      <c r="U155" s="15" t="inlineStr">
        <is>
          <t>https://www.kokuchpro.com/event/91cc61cd97deb249b6ac048980895ff7/</t>
        </is>
      </c>
      <c r="V155" s="10" t="n"/>
      <c r="W155" s="10" t="inlineStr">
        <is>
          <t>タイトル一致</t>
        </is>
      </c>
      <c r="X155" s="10" t="n"/>
    </row>
    <row r="156">
      <c r="A156" s="10" t="n">
        <v>155</v>
      </c>
      <c r="B156" s="11" t="n">
        <v>46228</v>
      </c>
      <c r="C156" s="11" t="n">
        <v>46228</v>
      </c>
      <c r="D156" s="10">
        <f>MONTH(B156)&amp;"月"</f>
        <v/>
      </c>
      <c r="E156" s="12" t="n">
        <v>1</v>
      </c>
      <c r="F156" s="10" t="n"/>
      <c r="G156" s="10" t="inlineStr">
        <is>
          <t>1つのAPIの裏にAIチームがいる — Sakana Fugu Ultra徹底解剖</t>
        </is>
      </c>
      <c r="H156" s="10" t="inlineStr">
        <is>
          <t>株式会社 くすりの窓口</t>
        </is>
      </c>
      <c r="I156" s="10" t="n"/>
      <c r="J156" s="10" t="inlineStr">
        <is>
          <t>こくちーずプロ</t>
        </is>
      </c>
      <c r="K156" s="10" t="inlineStr">
        <is>
          <t>オンライン</t>
        </is>
      </c>
      <c r="L156" s="10" t="inlineStr">
        <is>
          <t>オンライン 日本</t>
        </is>
      </c>
      <c r="M156" s="10" t="inlineStr">
        <is>
          <t>開発生産性</t>
        </is>
      </c>
      <c r="N156" s="10" t="inlineStr">
        <is>
          <t>AIエージェント</t>
        </is>
      </c>
      <c r="O156" s="12" t="inlineStr">
        <is>
          <t>△</t>
        </is>
      </c>
      <c r="P156" s="13" t="n">
        <v>0</v>
      </c>
      <c r="Q156" s="12" t="inlineStr">
        <is>
          <t>イベント参加 0/100</t>
        </is>
      </c>
      <c r="R156" s="14" t="n">
        <v>100</v>
      </c>
      <c r="S156" s="10" t="n"/>
      <c r="T156" s="10" t="inlineStr">
        <is>
          <t>イベント概要 2026年6月22日、日本のAIスタートアップ Sakana AI が「Sakana Fugu」をリリースしました。一部ベンチマークで Anthropic の最新モデル「Claude Fable 5」を上回ったという報道もあり、大きな話題を集めています。 しかし Fugu は単体のLLMではなく、GPT・Claude・Gemini といった複数のフロンティアモデルをチームとして指揮するマルチエージェント・オーケストレーショ</t>
        </is>
      </c>
      <c r="U156" s="15" t="inlineStr">
        <is>
          <t>https://www.kokuchpro.com/event/fbfa52df9757bcdb970a414e2e73e1d5/</t>
        </is>
      </c>
      <c r="V156" s="10" t="n"/>
      <c r="W156" s="10" t="inlineStr">
        <is>
          <t>本文一致</t>
        </is>
      </c>
      <c r="X156" s="10" t="n"/>
    </row>
    <row r="157">
      <c r="A157" s="10" t="n">
        <v>156</v>
      </c>
      <c r="B157" s="11" t="n">
        <v>46228</v>
      </c>
      <c r="C157" s="11" t="n">
        <v>46228</v>
      </c>
      <c r="D157" s="10">
        <f>MONTH(B157)&amp;"月"</f>
        <v/>
      </c>
      <c r="E157" s="12" t="n">
        <v>1</v>
      </c>
      <c r="F157" s="10" t="n"/>
      <c r="G157" s="10" t="inlineStr">
        <is>
          <t>第3回ハンズオン勉強会 Codex CLI 深掘り①（ChatGPT 有料プラン契約必須）</t>
        </is>
      </c>
      <c r="H157" s="10" t="inlineStr">
        <is>
          <t>CDLE熊本</t>
        </is>
      </c>
      <c r="I157" s="10" t="n"/>
      <c r="J157" s="10" t="inlineStr">
        <is>
          <t>connpass</t>
        </is>
      </c>
      <c r="K157" s="10" t="inlineStr">
        <is>
          <t>会場</t>
        </is>
      </c>
      <c r="L157" s="10" t="inlineStr">
        <is>
          <t>熊本県熊本市西区春日1丁目14-1</t>
        </is>
      </c>
      <c r="M157" s="10" t="inlineStr">
        <is>
          <t>開発生産性</t>
        </is>
      </c>
      <c r="N157" s="10" t="inlineStr">
        <is>
          <t>AIエージェント</t>
        </is>
      </c>
      <c r="O157" s="12" t="inlineStr">
        <is>
          <t>○</t>
        </is>
      </c>
      <c r="P157" s="13" t="n">
        <v>11</v>
      </c>
      <c r="Q157" s="12" t="inlineStr">
        <is>
          <t>参加者数</t>
        </is>
      </c>
      <c r="R157" s="14" t="n">
        <v>13</v>
      </c>
      <c r="S157" s="10" t="n"/>
      <c r="T157" s="10" t="n"/>
      <c r="U157" s="15" t="inlineStr">
        <is>
          <t>https://cdle-kumamoto.connpass.com/event/397343/</t>
        </is>
      </c>
      <c r="V157" s="10" t="n"/>
      <c r="W157" s="10" t="inlineStr">
        <is>
          <t>タイトル一致</t>
        </is>
      </c>
      <c r="X157" s="10" t="n"/>
    </row>
    <row r="158">
      <c r="A158" s="10" t="n">
        <v>157</v>
      </c>
      <c r="B158" s="11" t="n">
        <v>46230</v>
      </c>
      <c r="C158" s="11" t="n">
        <v>46230</v>
      </c>
      <c r="D158" s="10">
        <f>MONTH(B158)&amp;"月"</f>
        <v/>
      </c>
      <c r="E158" s="12" t="n">
        <v>1</v>
      </c>
      <c r="F158" s="10" t="n"/>
      <c r="G158" s="10" t="inlineStr">
        <is>
          <t>AIエージェントキャッチアップ #85 - herdr</t>
        </is>
      </c>
      <c r="H158" s="10" t="inlineStr">
        <is>
          <t>ジェネラティブエージェンツ / Generative Agents</t>
        </is>
      </c>
      <c r="I158" s="10" t="n"/>
      <c r="J158" s="10" t="inlineStr">
        <is>
          <t>connpass</t>
        </is>
      </c>
      <c r="K158" s="10" t="inlineStr">
        <is>
          <t>オンライン</t>
        </is>
      </c>
      <c r="L158" s="10" t="inlineStr">
        <is>
          <t>オンライン</t>
        </is>
      </c>
      <c r="M158" s="10" t="inlineStr">
        <is>
          <t>技術・AI全般</t>
        </is>
      </c>
      <c r="N158" s="10" t="inlineStr">
        <is>
          <t>AIエージェント</t>
        </is>
      </c>
      <c r="O158" s="12" t="inlineStr">
        <is>
          <t>○</t>
        </is>
      </c>
      <c r="P158" s="13" t="n">
        <v>59</v>
      </c>
      <c r="Q158" s="12" t="inlineStr">
        <is>
          <t>参加者数</t>
        </is>
      </c>
      <c r="R158" s="14" t="n">
        <v>200</v>
      </c>
      <c r="S158" s="10" t="n"/>
      <c r="T158" s="10" t="n"/>
      <c r="U158" s="15" t="inlineStr">
        <is>
          <t>https://generative-agents.connpass.com/event/400928/</t>
        </is>
      </c>
      <c r="V158" s="10" t="n"/>
      <c r="W158" s="10" t="inlineStr">
        <is>
          <t>タイトル一致</t>
        </is>
      </c>
      <c r="X158" s="10" t="n"/>
    </row>
    <row r="159">
      <c r="A159" s="10" t="n">
        <v>158</v>
      </c>
      <c r="B159" s="11" t="n">
        <v>46230</v>
      </c>
      <c r="C159" s="11" t="n">
        <v>46230</v>
      </c>
      <c r="D159" s="10">
        <f>MONTH(B159)&amp;"月"</f>
        <v/>
      </c>
      <c r="E159" s="12" t="n">
        <v>1</v>
      </c>
      <c r="F159" s="10" t="n"/>
      <c r="G159" s="10" t="inlineStr">
        <is>
          <t>【途中入退室可】Claude Agent SDKもくもく会！自分だけのAI Agentをつくろう</t>
        </is>
      </c>
      <c r="H159" s="10" t="inlineStr">
        <is>
          <t>ModN Tech Lounge</t>
        </is>
      </c>
      <c r="I159" s="10" t="n"/>
      <c r="J159" s="10" t="inlineStr">
        <is>
          <t>connpass</t>
        </is>
      </c>
      <c r="K159" s="10" t="inlineStr">
        <is>
          <t>オンライン</t>
        </is>
      </c>
      <c r="L159" s="10" t="inlineStr">
        <is>
          <t>オンライン</t>
        </is>
      </c>
      <c r="M159" s="10" t="inlineStr">
        <is>
          <t>営業・マーケ・CS</t>
        </is>
      </c>
      <c r="N159" s="10" t="inlineStr">
        <is>
          <t>AIエージェント</t>
        </is>
      </c>
      <c r="O159" s="12" t="inlineStr">
        <is>
          <t>◎</t>
        </is>
      </c>
      <c r="P159" s="13" t="n">
        <v>8</v>
      </c>
      <c r="Q159" s="12" t="inlineStr">
        <is>
          <t>参加者数</t>
        </is>
      </c>
      <c r="R159" s="14" t="n"/>
      <c r="S159" s="10" t="n"/>
      <c r="T159" s="10" t="n"/>
      <c r="U159" s="15" t="inlineStr">
        <is>
          <t>https://modn-tech.connpass.com/event/400414/</t>
        </is>
      </c>
      <c r="V159" s="10" t="n"/>
      <c r="W159" s="10" t="inlineStr">
        <is>
          <t>タイトル一致</t>
        </is>
      </c>
      <c r="X159" s="10" t="n"/>
    </row>
    <row r="160">
      <c r="A160" s="10" t="n">
        <v>159</v>
      </c>
      <c r="B160" s="11" t="n">
        <v>46230</v>
      </c>
      <c r="C160" s="11" t="n">
        <v>46230</v>
      </c>
      <c r="D160" s="10">
        <f>MONTH(B160)&amp;"月"</f>
        <v/>
      </c>
      <c r="E160" s="12" t="n">
        <v>1</v>
      </c>
      <c r="F160" s="10" t="n"/>
      <c r="G160" s="10" t="inlineStr">
        <is>
          <t>コンタクトセンター支援AIエージェント情報交換会（CCCAA）</t>
        </is>
      </c>
      <c r="H160" s="10" t="inlineStr">
        <is>
          <t>株式会社JALデジタル</t>
        </is>
      </c>
      <c r="I160" s="10" t="n"/>
      <c r="J160" s="10" t="inlineStr">
        <is>
          <t>個別調査（公式サイト・PR TIMES等）</t>
        </is>
      </c>
      <c r="K160" s="10" t="inlineStr">
        <is>
          <t>会場</t>
        </is>
      </c>
      <c r="L160" s="10" t="inlineStr">
        <is>
          <t>msb Tamachi 田町ステーションタワーN 13F</t>
        </is>
      </c>
      <c r="M160" s="10" t="inlineStr">
        <is>
          <t>営業・マーケ・CS</t>
        </is>
      </c>
      <c r="N160" s="10" t="inlineStr">
        <is>
          <t>AIエージェント</t>
        </is>
      </c>
      <c r="O160" s="12" t="inlineStr">
        <is>
          <t>◎</t>
        </is>
      </c>
      <c r="P160" s="13" t="n"/>
      <c r="Q160" s="12" t="inlineStr">
        <is>
          <t>不明</t>
        </is>
      </c>
      <c r="R160" s="14" t="n"/>
      <c r="S160" s="10" t="inlineStr">
        <is>
          <t>申込多数の場合は抽選</t>
        </is>
      </c>
      <c r="T160" s="10" t="inlineStr">
        <is>
          <t>インバウンド業務でAIエージェントを導入している企業同士が、導入・運用の課題を共有する情報交換会。</t>
        </is>
      </c>
      <c r="U160" s="15" t="inlineStr">
        <is>
          <t>https://www.jaldx.co.jp/news/9369.html</t>
        </is>
      </c>
      <c r="V160" s="10" t="n"/>
      <c r="W160" s="10" t="inlineStr">
        <is>
          <t>個別確認</t>
        </is>
      </c>
      <c r="X160" s="10" t="n"/>
    </row>
    <row r="161">
      <c r="A161" s="10" t="n">
        <v>160</v>
      </c>
      <c r="B161" s="11" t="n">
        <v>46231</v>
      </c>
      <c r="C161" s="11" t="n">
        <v>46231</v>
      </c>
      <c r="D161" s="10">
        <f>MONTH(B161)&amp;"月"</f>
        <v/>
      </c>
      <c r="E161" s="12" t="n">
        <v>1</v>
      </c>
      <c r="F161" s="10" t="n"/>
      <c r="G161" s="10" t="inlineStr">
        <is>
          <t>1時間でAIアシスタントをつくる！ビジネスマンのためのCodex活用セミナー【実践編】</t>
        </is>
      </c>
      <c r="H161" s="10" t="inlineStr">
        <is>
          <t>Polyscape</t>
        </is>
      </c>
      <c r="I161" s="10" t="n"/>
      <c r="J161" s="10" t="inlineStr">
        <is>
          <t>connpass</t>
        </is>
      </c>
      <c r="K161" s="10" t="inlineStr">
        <is>
          <t>オンライン</t>
        </is>
      </c>
      <c r="L161" s="10" t="inlineStr">
        <is>
          <t>オンライン</t>
        </is>
      </c>
      <c r="M161" s="10" t="inlineStr">
        <is>
          <t>生産性向上・業務効率化</t>
        </is>
      </c>
      <c r="N161" s="10" t="inlineStr">
        <is>
          <t>AIエージェント</t>
        </is>
      </c>
      <c r="O161" s="12" t="inlineStr">
        <is>
          <t>◎</t>
        </is>
      </c>
      <c r="P161" s="13" t="n">
        <v>29</v>
      </c>
      <c r="Q161" s="12" t="inlineStr">
        <is>
          <t>参加者数</t>
        </is>
      </c>
      <c r="R161" s="14" t="n"/>
      <c r="S161" s="10" t="n"/>
      <c r="T161" s="10" t="n"/>
      <c r="U161" s="15" t="inlineStr">
        <is>
          <t>https://polyscape.connpass.com/event/399872/</t>
        </is>
      </c>
      <c r="V161" s="10" t="n"/>
      <c r="W161" s="10" t="inlineStr">
        <is>
          <t>タイトル一致</t>
        </is>
      </c>
      <c r="X161" s="10" t="n"/>
    </row>
    <row r="162">
      <c r="A162" s="10" t="n">
        <v>161</v>
      </c>
      <c r="B162" s="11" t="n">
        <v>46231</v>
      </c>
      <c r="C162" s="11" t="n">
        <v>46231</v>
      </c>
      <c r="D162" s="10">
        <f>MONTH(B162)&amp;"月"</f>
        <v/>
      </c>
      <c r="E162" s="12" t="n">
        <v>1</v>
      </c>
      <c r="F162" s="10" t="n"/>
      <c r="G162" s="10" t="inlineStr">
        <is>
          <t>7/28(火)【オンライン 開催・無料】 AIO/LLMO対策セミナー SEO対策から次のAI対策へ</t>
        </is>
      </c>
      <c r="H162" s="10" t="inlineStr">
        <is>
          <t>7/28(火)【オンライン 開催・無料】 AIO/LLMO対策セミナー SEO対策から次のAI対策へ事務局</t>
        </is>
      </c>
      <c r="I162" s="10" t="n"/>
      <c r="J162" s="10" t="inlineStr">
        <is>
          <t>こくちーずプロ</t>
        </is>
      </c>
      <c r="K162" s="10" t="inlineStr">
        <is>
          <t>オンライン</t>
        </is>
      </c>
      <c r="L162" s="10" t="inlineStr">
        <is>
          <t>オンライン 日本</t>
        </is>
      </c>
      <c r="M162" s="10" t="inlineStr">
        <is>
          <t>営業・マーケ・CS</t>
        </is>
      </c>
      <c r="N162" s="10" t="inlineStr">
        <is>
          <t>AIエージェント</t>
        </is>
      </c>
      <c r="O162" s="12" t="inlineStr">
        <is>
          <t>○</t>
        </is>
      </c>
      <c r="P162" s="13" t="n">
        <v>2</v>
      </c>
      <c r="Q162" s="12" t="inlineStr">
        <is>
          <t>イベント参加 2/20</t>
        </is>
      </c>
      <c r="R162" s="14" t="n">
        <v>20</v>
      </c>
      <c r="S162" s="10" t="n"/>
      <c r="T162" s="10" t="inlineStr">
        <is>
          <t>AIO/LLMO対策セミナー SEO対策から次のAI対策へ こんなお悩みありませんか？ AIに関する知識をもっと上げたい AIを使ってのWEBマーケティングって何ができるの？と感じている AIの登場で、自社の集客がどうなるか不安がある WEBマーケティングに本格的に力を入れていきたい Webマーケティングのバリューエージェントでは、AI時代にプロがどのようにAIを活用しているかをお伝えするWEBマーケティングセミナーを開催することになり</t>
        </is>
      </c>
      <c r="U162" s="15" t="inlineStr">
        <is>
          <t>https://www.kokuchpro.com/event/b2624e237d36b1bd3ea00351befb8342/</t>
        </is>
      </c>
      <c r="V162" s="10" t="n"/>
      <c r="W162" s="10" t="inlineStr">
        <is>
          <t>本文一致</t>
        </is>
      </c>
      <c r="X162" s="10" t="n"/>
    </row>
    <row r="163">
      <c r="A163" s="10" t="n">
        <v>162</v>
      </c>
      <c r="B163" s="11" t="n">
        <v>46231</v>
      </c>
      <c r="C163" s="11" t="n">
        <v>46291</v>
      </c>
      <c r="D163" s="10">
        <f>MONTH(B163)&amp;"月"</f>
        <v/>
      </c>
      <c r="E163" s="12" t="n">
        <v>2</v>
      </c>
      <c r="F163" s="10" t="inlineStr">
        <is>
          <t>07/28、09/26</t>
        </is>
      </c>
      <c r="G163" s="10" t="inlineStr">
        <is>
          <t>AI Agent Okinawa #9  オンライン開催</t>
        </is>
      </c>
      <c r="H163" s="10" t="inlineStr">
        <is>
          <t>AI Agent Okinawa</t>
        </is>
      </c>
      <c r="I163" s="10" t="n"/>
      <c r="J163" s="10" t="inlineStr">
        <is>
          <t>connpass</t>
        </is>
      </c>
      <c r="K163" s="10" t="inlineStr">
        <is>
          <t>オンライン</t>
        </is>
      </c>
      <c r="L163" s="10" t="inlineStr">
        <is>
          <t>(場所未定)</t>
        </is>
      </c>
      <c r="M163" s="10" t="inlineStr">
        <is>
          <t>技術・AI全般</t>
        </is>
      </c>
      <c r="N163" s="10" t="inlineStr">
        <is>
          <t>AIエージェント</t>
        </is>
      </c>
      <c r="O163" s="12" t="inlineStr">
        <is>
          <t>○</t>
        </is>
      </c>
      <c r="P163" s="13" t="n">
        <v>18</v>
      </c>
      <c r="Q163" s="12" t="inlineStr">
        <is>
          <t>参加者数</t>
        </is>
      </c>
      <c r="R163" s="14" t="n">
        <v>40</v>
      </c>
      <c r="S163" s="10" t="inlineStr">
        <is>
          <t>全2回の合計</t>
        </is>
      </c>
      <c r="T163" s="10" t="n"/>
      <c r="U163" s="15" t="inlineStr">
        <is>
          <t>https://ai-agent-okinawa.connpass.com/event/401141/</t>
        </is>
      </c>
      <c r="V163" s="10" t="n"/>
      <c r="W163" s="10" t="inlineStr">
        <is>
          <t>タイトル一致</t>
        </is>
      </c>
      <c r="X163" s="10" t="n"/>
    </row>
    <row r="164">
      <c r="A164" s="10" t="n">
        <v>163</v>
      </c>
      <c r="B164" s="11" t="n">
        <v>46231</v>
      </c>
      <c r="C164" s="11" t="n">
        <v>46231</v>
      </c>
      <c r="D164" s="10">
        <f>MONTH(B164)&amp;"月"</f>
        <v/>
      </c>
      <c r="E164" s="12" t="n">
        <v>1</v>
      </c>
      <c r="F164" s="10" t="n"/>
      <c r="G164" s="10" t="inlineStr">
        <is>
          <t>AIエージェント開発LT大会 ～作ってみた人も、見るだけ参加も歓迎！～</t>
        </is>
      </c>
      <c r="H164" s="10" t="inlineStr">
        <is>
          <t>データ分析・AI x データサイエンスコミュニティ</t>
        </is>
      </c>
      <c r="I164" s="10" t="n"/>
      <c r="J164" s="10" t="inlineStr">
        <is>
          <t>connpass</t>
        </is>
      </c>
      <c r="K164" s="10" t="inlineStr">
        <is>
          <t>会場</t>
        </is>
      </c>
      <c r="L164" s="10" t="inlineStr">
        <is>
          <t>〒541-0041 大阪府大阪市中央区北浜１丁目８−１６</t>
        </is>
      </c>
      <c r="M164" s="10" t="inlineStr">
        <is>
          <t>開発生産性</t>
        </is>
      </c>
      <c r="N164" s="10" t="inlineStr">
        <is>
          <t>AIエージェント</t>
        </is>
      </c>
      <c r="O164" s="12" t="inlineStr">
        <is>
          <t>○</t>
        </is>
      </c>
      <c r="P164" s="13" t="n">
        <v>19</v>
      </c>
      <c r="Q164" s="12" t="inlineStr">
        <is>
          <t>参加者数</t>
        </is>
      </c>
      <c r="R164" s="14" t="n">
        <v>30</v>
      </c>
      <c r="S164" s="10" t="n"/>
      <c r="T164" s="10" t="n"/>
      <c r="U164" s="15" t="inlineStr">
        <is>
          <t>https://datascience-mokumoku-kyobashi.connpass.com/event/398872/</t>
        </is>
      </c>
      <c r="V164" s="10" t="n"/>
      <c r="W164" s="10" t="inlineStr">
        <is>
          <t>タイトル一致</t>
        </is>
      </c>
      <c r="X164" s="10" t="n"/>
    </row>
    <row r="165">
      <c r="A165" s="10" t="n">
        <v>164</v>
      </c>
      <c r="B165" s="11" t="n">
        <v>46231</v>
      </c>
      <c r="C165" s="11" t="n">
        <v>46231</v>
      </c>
      <c r="D165" s="10">
        <f>MONTH(B165)&amp;"月"</f>
        <v/>
      </c>
      <c r="E165" s="12" t="n">
        <v>1</v>
      </c>
      <c r="F165" s="10" t="n"/>
      <c r="G165" s="10" t="inlineStr">
        <is>
          <t>Celonis Process Intelligence Day Tokyo 2026</t>
        </is>
      </c>
      <c r="H165" s="10" t="inlineStr">
        <is>
          <t>Celonis株式会社</t>
        </is>
      </c>
      <c r="I165" s="10" t="n"/>
      <c r="J165" s="10" t="inlineStr">
        <is>
          <t>ビジネス+IT</t>
        </is>
      </c>
      <c r="K165" s="10" t="inlineStr">
        <is>
          <t>offline</t>
        </is>
      </c>
      <c r="L165" s="10" t="inlineStr">
        <is>
          <t>東京都</t>
        </is>
      </c>
      <c r="M165" s="10" t="inlineStr">
        <is>
          <t>生産性向上・業務効率化</t>
        </is>
      </c>
      <c r="N165" s="10" t="inlineStr">
        <is>
          <t>AIエージェント</t>
        </is>
      </c>
      <c r="O165" s="12" t="inlineStr">
        <is>
          <t>○</t>
        </is>
      </c>
      <c r="P165" s="13" t="n"/>
      <c r="Q165" s="12" t="inlineStr">
        <is>
          <t>不明</t>
        </is>
      </c>
      <c r="R165" s="14" t="n"/>
      <c r="S165" s="10" t="n"/>
      <c r="T165" s="10" t="inlineStr">
        <is>
          <t>エンタープライズAIを本格的に実装・展開する時が、今まさに来ています。多くのAIプロジェクトが成果につながらない理由は、AIそのものの能力不足ではありません。AIエージェントが、実際にビジネスがどのように動いているか、つまり業務の実態を理解していないことにあります。 本イベントでは、Celonisのプロセスインテリジェンスが、どのようにリアルタイムな業務オペレーションのコンテキストを提供し、AIに「どこで」「何を」実行すべきかを示してい</t>
        </is>
      </c>
      <c r="U165" s="15" t="inlineStr">
        <is>
          <t>https://www.sbbit.jp/eventinfo/88907</t>
        </is>
      </c>
      <c r="V165" s="10" t="n"/>
      <c r="W165" s="10" t="inlineStr">
        <is>
          <t>本文一致</t>
        </is>
      </c>
      <c r="X165" s="10" t="n"/>
    </row>
    <row r="166">
      <c r="A166" s="10" t="n">
        <v>165</v>
      </c>
      <c r="B166" s="11" t="n">
        <v>46231</v>
      </c>
      <c r="C166" s="11" t="n">
        <v>46231</v>
      </c>
      <c r="D166" s="10">
        <f>MONTH(B166)&amp;"月"</f>
        <v/>
      </c>
      <c r="E166" s="12" t="n">
        <v>1</v>
      </c>
      <c r="F166" s="10" t="n"/>
      <c r="G166" s="10" t="inlineStr">
        <is>
          <t>ClaudeCode実践セミナー|業務標準化と人事評価制度で"属人化しない"事務所をつくる活用術</t>
        </is>
      </c>
      <c r="H166" s="10" t="inlineStr">
        <is>
          <t>給与アップ研究所セミナー事務局</t>
        </is>
      </c>
      <c r="I166" s="10" t="n"/>
      <c r="J166" s="10" t="inlineStr">
        <is>
          <t>こくちーずプロ</t>
        </is>
      </c>
      <c r="K166" s="10" t="inlineStr">
        <is>
          <t>オンライン</t>
        </is>
      </c>
      <c r="L166" s="10" t="inlineStr">
        <is>
          <t>オンライン 日本</t>
        </is>
      </c>
      <c r="M166" s="10" t="inlineStr">
        <is>
          <t>営業・マーケ・CS</t>
        </is>
      </c>
      <c r="N166" s="10" t="inlineStr">
        <is>
          <t>AIエージェント</t>
        </is>
      </c>
      <c r="O166" s="12" t="inlineStr">
        <is>
          <t>◎</t>
        </is>
      </c>
      <c r="P166" s="13" t="n">
        <v>1</v>
      </c>
      <c r="Q166" s="12" t="inlineStr">
        <is>
          <t>イベント参加 1/100</t>
        </is>
      </c>
      <c r="R166" s="14" t="n">
        <v>100</v>
      </c>
      <c r="S166" s="10" t="n"/>
      <c r="T166" s="10" t="inlineStr">
        <is>
          <t>【税理士・会計事務所経営者・幹部向け】 ClaudeCode実践セミナー 業務標準化と人事評価制度で"属人化しない"事務所をつくる活用術 ━━━━━━━━━━━━━━━━━━ ■開催概要 ━━━━━━━━━━━━━━━━━━ 日時：2026年7月28日（火）13:00～14:00 形式：オンライン（Zoom） 参加費：無料 ━━━━━━━━━━━━━━━━━━ ■このようなお悩みはありませんか？ ━━━━━━━━━━━━━━━━━━ ・</t>
        </is>
      </c>
      <c r="U166" s="15" t="inlineStr">
        <is>
          <t>https://www.kokuchpro.com/event/642ddfba3a563108e7202fd1ab950050/</t>
        </is>
      </c>
      <c r="V166" s="10" t="n"/>
      <c r="W166" s="10" t="inlineStr">
        <is>
          <t>タイトル一致</t>
        </is>
      </c>
      <c r="X166" s="10" t="n"/>
    </row>
    <row r="167">
      <c r="A167" s="10" t="n">
        <v>166</v>
      </c>
      <c r="B167" s="11" t="n">
        <v>46231</v>
      </c>
      <c r="C167" s="11" t="n">
        <v>46231</v>
      </c>
      <c r="D167" s="10">
        <f>MONTH(B167)&amp;"月"</f>
        <v/>
      </c>
      <c r="E167" s="12" t="n">
        <v>1</v>
      </c>
      <c r="F167" s="10" t="n"/>
      <c r="G167" s="10" t="inlineStr">
        <is>
          <t>JAWS-UG千葉支部#43 AWS DevOps Agent 祭り</t>
        </is>
      </c>
      <c r="H167" s="10" t="inlineStr">
        <is>
          <t>JAWS-UG千葉支部</t>
        </is>
      </c>
      <c r="I167" s="10" t="n"/>
      <c r="J167" s="10" t="inlineStr">
        <is>
          <t>connpass</t>
        </is>
      </c>
      <c r="K167" s="10" t="inlineStr">
        <is>
          <t>会場</t>
        </is>
      </c>
      <c r="L167" s="10" t="inlineStr">
        <is>
          <t>東京都港区麻布台一丁目三番一号</t>
        </is>
      </c>
      <c r="M167" s="10" t="inlineStr">
        <is>
          <t>開発生産性</t>
        </is>
      </c>
      <c r="N167" s="10" t="inlineStr">
        <is>
          <t>AIエージェント</t>
        </is>
      </c>
      <c r="O167" s="12" t="inlineStr">
        <is>
          <t>○</t>
        </is>
      </c>
      <c r="P167" s="13" t="n">
        <v>174</v>
      </c>
      <c r="Q167" s="12" t="inlineStr">
        <is>
          <t>参加者数</t>
        </is>
      </c>
      <c r="R167" s="14" t="n"/>
      <c r="S167" s="10" t="n"/>
      <c r="T167" s="10" t="n"/>
      <c r="U167" s="15" t="inlineStr">
        <is>
          <t>https://jawsug-chiba.connpass.com/event/398349/</t>
        </is>
      </c>
      <c r="V167" s="10" t="n"/>
      <c r="W167" s="10" t="inlineStr">
        <is>
          <t>タイトル一致</t>
        </is>
      </c>
      <c r="X167" s="10" t="n"/>
    </row>
    <row r="168">
      <c r="A168" s="10" t="n">
        <v>167</v>
      </c>
      <c r="B168" s="11" t="n">
        <v>46231</v>
      </c>
      <c r="C168" s="11" t="n">
        <v>46231</v>
      </c>
      <c r="D168" s="10">
        <f>MONTH(B168)&amp;"月"</f>
        <v/>
      </c>
      <c r="E168" s="12" t="n">
        <v>1</v>
      </c>
      <c r="F168" s="10" t="n"/>
      <c r="G168" s="10" t="inlineStr">
        <is>
          <t>「侵入技術への招待」 AIエージェントが招く新たな脅威 - 攻撃者の武器となるAIと狙われたAI -</t>
        </is>
      </c>
      <c r="H168" s="10" t="inlineStr">
        <is>
          <t>ファインディ／Findy</t>
        </is>
      </c>
      <c r="I168" s="10" t="n"/>
      <c r="J168" s="10" t="inlineStr">
        <is>
          <t>connpass</t>
        </is>
      </c>
      <c r="K168" s="10" t="inlineStr">
        <is>
          <t>オンライン</t>
        </is>
      </c>
      <c r="L168" s="10" t="inlineStr">
        <is>
          <t>オンライン</t>
        </is>
      </c>
      <c r="M168" s="10" t="inlineStr">
        <is>
          <t>技術・AI全般</t>
        </is>
      </c>
      <c r="N168" s="10" t="inlineStr">
        <is>
          <t>AIエージェント</t>
        </is>
      </c>
      <c r="O168" s="12" t="inlineStr">
        <is>
          <t>○</t>
        </is>
      </c>
      <c r="P168" s="13" t="n">
        <v>661</v>
      </c>
      <c r="Q168" s="12" t="inlineStr">
        <is>
          <t>参加者数</t>
        </is>
      </c>
      <c r="R168" s="14" t="n">
        <v>700</v>
      </c>
      <c r="S168" s="10" t="n"/>
      <c r="T168" s="10" t="n"/>
      <c r="U168" s="15" t="inlineStr">
        <is>
          <t>https://findy.connpass.com/event/398367/</t>
        </is>
      </c>
      <c r="V168" s="10" t="n"/>
      <c r="W168" s="10" t="inlineStr">
        <is>
          <t>タイトル一致</t>
        </is>
      </c>
      <c r="X168" s="10" t="n"/>
    </row>
    <row r="169">
      <c r="A169" s="10" t="n">
        <v>168</v>
      </c>
      <c r="B169" s="11" t="n">
        <v>46231</v>
      </c>
      <c r="C169" s="11" t="n">
        <v>46231</v>
      </c>
      <c r="D169" s="10">
        <f>MONTH(B169)&amp;"月"</f>
        <v/>
      </c>
      <c r="E169" s="12" t="n">
        <v>1</v>
      </c>
      <c r="F169" s="10" t="n"/>
      <c r="G169" s="10" t="inlineStr">
        <is>
          <t>【7/28(火)18:00】Claudeを導入しても思うような結果を出せないその理由と解決法</t>
        </is>
      </c>
      <c r="H169" s="10" t="inlineStr">
        <is>
          <t>AIビジネスフォーラム事務局</t>
        </is>
      </c>
      <c r="I169" s="10" t="n"/>
      <c r="J169" s="10" t="inlineStr">
        <is>
          <t>こくちーずプロ</t>
        </is>
      </c>
      <c r="K169" s="10" t="inlineStr">
        <is>
          <t>オンライン</t>
        </is>
      </c>
      <c r="L169" s="10" t="inlineStr">
        <is>
          <t>オンライン 日本</t>
        </is>
      </c>
      <c r="M169" s="10" t="inlineStr">
        <is>
          <t>営業・マーケ・CS</t>
        </is>
      </c>
      <c r="N169" s="10" t="inlineStr">
        <is>
          <t>AIエージェント</t>
        </is>
      </c>
      <c r="O169" s="12" t="inlineStr">
        <is>
          <t>○</t>
        </is>
      </c>
      <c r="P169" s="13" t="n">
        <v>0</v>
      </c>
      <c r="Q169" s="12" t="inlineStr">
        <is>
          <t>イベント参加 0/30</t>
        </is>
      </c>
      <c r="R169" s="14" t="n">
        <v>30</v>
      </c>
      <c r="S169" s="10" t="n"/>
      <c r="T169" s="10" t="inlineStr">
        <is>
          <t>Claudeを導入しても思うように結果が出せない理由は？ その鍵はループエンジニアリングだ！ ループ開発（エージェント・ループ）の基本概念：人間が毎回プロンプトを入力するのではなく、AI自身が「思考→行動→観察→修正」のループ（反復）を自律的に回してタスクを完遂する仕組み（例：ReActプロンプト、AutoGPTなど）についての基礎解説をいたします。 今回は、「Claudeを導入しても思うような結果を出せないその理由と解決法」をメインテ</t>
        </is>
      </c>
      <c r="U169" s="15" t="inlineStr">
        <is>
          <t>https://www.kokuchpro.com/event/aac91b86475652b41da3da0e38a76864/</t>
        </is>
      </c>
      <c r="V169" s="10" t="n"/>
      <c r="W169" s="10" t="inlineStr">
        <is>
          <t>本文一致</t>
        </is>
      </c>
      <c r="X169" s="10" t="n"/>
    </row>
    <row r="170">
      <c r="A170" s="10" t="n">
        <v>169</v>
      </c>
      <c r="B170" s="11" t="n">
        <v>46231</v>
      </c>
      <c r="C170" s="11" t="n">
        <v>46231</v>
      </c>
      <c r="D170" s="10">
        <f>MONTH(B170)&amp;"月"</f>
        <v/>
      </c>
      <c r="E170" s="12" t="n">
        <v>1</v>
      </c>
      <c r="F170" s="10" t="n"/>
      <c r="G170" s="10" t="inlineStr">
        <is>
          <t>【Zenlab】Zendesk×Claude Code活用術〜AI時代のCSスタンダードはコレ〜</t>
        </is>
      </c>
      <c r="H170" s="10" t="inlineStr">
        <is>
          <t>Zenlab</t>
        </is>
      </c>
      <c r="I170" s="10" t="n"/>
      <c r="J170" s="10" t="inlineStr">
        <is>
          <t>connpass</t>
        </is>
      </c>
      <c r="K170" s="10" t="inlineStr">
        <is>
          <t>会場</t>
        </is>
      </c>
      <c r="L170" s="10" t="inlineStr">
        <is>
          <t>〒104-0031 東京都中央区京橋 2-2-1 京橋エドグラン20F</t>
        </is>
      </c>
      <c r="M170" s="10" t="inlineStr">
        <is>
          <t>開発生産性</t>
        </is>
      </c>
      <c r="N170" s="10" t="inlineStr">
        <is>
          <t>AIエージェント</t>
        </is>
      </c>
      <c r="O170" s="12" t="inlineStr">
        <is>
          <t>○</t>
        </is>
      </c>
      <c r="P170" s="13" t="n">
        <v>24</v>
      </c>
      <c r="Q170" s="12" t="inlineStr">
        <is>
          <t>参加者数</t>
        </is>
      </c>
      <c r="R170" s="14" t="n">
        <v>50</v>
      </c>
      <c r="S170" s="10" t="n"/>
      <c r="T170" s="10" t="n"/>
      <c r="U170" s="15" t="inlineStr">
        <is>
          <t>https://zenlab.connpass.com/event/398601/</t>
        </is>
      </c>
      <c r="V170" s="10" t="n"/>
      <c r="W170" s="10" t="inlineStr">
        <is>
          <t>タイトル一致</t>
        </is>
      </c>
      <c r="X170" s="10" t="n"/>
    </row>
    <row r="171">
      <c r="A171" s="10" t="n">
        <v>170</v>
      </c>
      <c r="B171" s="11" t="n">
        <v>46231</v>
      </c>
      <c r="C171" s="11" t="n">
        <v>46231</v>
      </c>
      <c r="D171" s="10">
        <f>MONTH(B171)&amp;"月"</f>
        <v/>
      </c>
      <c r="E171" s="12" t="n">
        <v>1</v>
      </c>
      <c r="F171" s="10" t="n"/>
      <c r="G171" s="10" t="inlineStr">
        <is>
          <t>【ライブデモ】AIが直接会計ソフトを操作！マネーフォワード×MCPによる「次世代の記帳」体感イベント</t>
        </is>
      </c>
      <c r="H171" s="10" t="inlineStr">
        <is>
          <t>AI・DXゆるシェア作業会</t>
        </is>
      </c>
      <c r="I171" s="10" t="n"/>
      <c r="J171" s="10" t="inlineStr">
        <is>
          <t>connpass</t>
        </is>
      </c>
      <c r="K171" s="10" t="inlineStr">
        <is>
          <t>会場</t>
        </is>
      </c>
      <c r="L171" s="10" t="inlineStr">
        <is>
          <t>大阪府大阪市北区本庄東1丁目18-8 ベルハイツ1 Ⅰ-1階</t>
        </is>
      </c>
      <c r="M171" s="10" t="inlineStr">
        <is>
          <t>生産性向上・業務効率化</t>
        </is>
      </c>
      <c r="N171" s="10" t="inlineStr">
        <is>
          <t>MCP</t>
        </is>
      </c>
      <c r="O171" s="12" t="inlineStr">
        <is>
          <t>◎</t>
        </is>
      </c>
      <c r="P171" s="13" t="n">
        <v>1</v>
      </c>
      <c r="Q171" s="12" t="inlineStr">
        <is>
          <t>参加者数</t>
        </is>
      </c>
      <c r="R171" s="14" t="n">
        <v>4</v>
      </c>
      <c r="S171" s="10" t="n"/>
      <c r="T171" s="10" t="n"/>
      <c r="U171" s="15" t="inlineStr">
        <is>
          <t>https://yurusharekai.connpass.com/event/400860/</t>
        </is>
      </c>
      <c r="V171" s="10" t="n"/>
      <c r="W171" s="10" t="inlineStr">
        <is>
          <t>タイトル一致</t>
        </is>
      </c>
      <c r="X171" s="10" t="n"/>
    </row>
    <row r="172">
      <c r="A172" s="10" t="n">
        <v>171</v>
      </c>
      <c r="B172" s="11" t="n">
        <v>46231</v>
      </c>
      <c r="C172" s="11" t="n">
        <v>46231</v>
      </c>
      <c r="D172" s="10">
        <f>MONTH(B172)&amp;"月"</f>
        <v/>
      </c>
      <c r="E172" s="12" t="n">
        <v>1</v>
      </c>
      <c r="F172" s="10" t="n"/>
      <c r="G172" s="10" t="inlineStr">
        <is>
          <t>【中堅・大企業向け】AI活用定着の壁、導入したAIはなぜ現場で使われないのか ～回答精度と業務適合を高め、現場に根付き成果につながるAIエージェントの事例・デモ～</t>
        </is>
      </c>
      <c r="H172" s="10" t="inlineStr">
        <is>
          <t>株式会社エクサ</t>
        </is>
      </c>
      <c r="I172" s="10" t="inlineStr">
        <is>
          <t>マジセミ株式会社</t>
        </is>
      </c>
      <c r="J172" s="10" t="inlineStr">
        <is>
          <t>Doorkeeper</t>
        </is>
      </c>
      <c r="K172" s="10" t="inlineStr">
        <is>
          <t>不明</t>
        </is>
      </c>
      <c r="L172" s="10" t="n"/>
      <c r="M172" s="10" t="inlineStr">
        <is>
          <t>生産性向上・業務効率化</t>
        </is>
      </c>
      <c r="N172" s="10" t="inlineStr">
        <is>
          <t>AIエージェント</t>
        </is>
      </c>
      <c r="O172" s="12" t="inlineStr">
        <is>
          <t>◎</t>
        </is>
      </c>
      <c r="P172" s="13" t="n">
        <v>3</v>
      </c>
      <c r="Q172" s="12" t="inlineStr">
        <is>
          <t>参加者数</t>
        </is>
      </c>
      <c r="R172" s="14" t="n">
        <v>3</v>
      </c>
      <c r="S172" s="10" t="n"/>
      <c r="T172"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本セミナーの講演部分は、事前に収録した録画を配信します。 質疑応答タイムはライブ配信にて、皆様からのご質問をお待ちしております。 AI導入は進む一方、活用成果が見えてこない 生成AIやAIツールの導入は</t>
        </is>
      </c>
      <c r="U172" s="15" t="inlineStr">
        <is>
          <t>https://majisemi-technology.doorkeeper.jp/events/198149</t>
        </is>
      </c>
      <c r="V172" s="10" t="n"/>
      <c r="W172" s="10" t="inlineStr">
        <is>
          <t>タイトル一致</t>
        </is>
      </c>
      <c r="X172" s="10" t="n"/>
    </row>
    <row r="173">
      <c r="A173" s="10" t="n">
        <v>172</v>
      </c>
      <c r="B173" s="11" t="n">
        <v>46231</v>
      </c>
      <c r="C173" s="11" t="n">
        <v>46231</v>
      </c>
      <c r="D173" s="10">
        <f>MONTH(B173)&amp;"月"</f>
        <v/>
      </c>
      <c r="E173" s="12" t="n">
        <v>1</v>
      </c>
      <c r="F173" s="10" t="n"/>
      <c r="G173" s="10" t="inlineStr">
        <is>
          <t>世界は「AIエージェント自走」へ、なぜ日本企業のAI活用は失速するのか？</t>
        </is>
      </c>
      <c r="H173" s="10" t="inlineStr">
        <is>
          <t>テックタッチ株式会社</t>
        </is>
      </c>
      <c r="I173" s="10" t="n"/>
      <c r="J173" s="10" t="inlineStr">
        <is>
          <t>個別調査（公式サイト・PR TIMES等）</t>
        </is>
      </c>
      <c r="K173" s="10" t="inlineStr">
        <is>
          <t>オンライン</t>
        </is>
      </c>
      <c r="L173" s="10" t="inlineStr">
        <is>
          <t>EventHub</t>
        </is>
      </c>
      <c r="M173" s="10" t="inlineStr">
        <is>
          <t>生産性向上・業務効率化</t>
        </is>
      </c>
      <c r="N173" s="10" t="inlineStr">
        <is>
          <t>AIエージェント</t>
        </is>
      </c>
      <c r="O173" s="12" t="inlineStr">
        <is>
          <t>◎</t>
        </is>
      </c>
      <c r="P173" s="13" t="n">
        <v>100</v>
      </c>
      <c r="Q173" s="12" t="inlineStr">
        <is>
          <t>定員</t>
        </is>
      </c>
      <c r="R173" s="14" t="n">
        <v>100</v>
      </c>
      <c r="S173" s="10" t="n"/>
      <c r="T173" s="10" t="inlineStr">
        <is>
          <t>Transform 2026の現地レポートをもとに海外のAI実装トレンドを紹介し、AIエージェント時代のガバナンスと組織実装を解説する。</t>
        </is>
      </c>
      <c r="U173" s="15" t="inlineStr">
        <is>
          <t>https://prtimes.jp/main/html/rd/p/000000442.000048939.html</t>
        </is>
      </c>
      <c r="V173" s="10" t="n"/>
      <c r="W173" s="10" t="inlineStr">
        <is>
          <t>個別確認</t>
        </is>
      </c>
      <c r="X173" s="10" t="n"/>
    </row>
    <row r="174">
      <c r="A174" s="10" t="n">
        <v>173</v>
      </c>
      <c r="B174" s="11" t="n">
        <v>46231</v>
      </c>
      <c r="C174" s="11" t="n">
        <v>46231</v>
      </c>
      <c r="D174" s="10">
        <f>MONTH(B174)&amp;"月"</f>
        <v/>
      </c>
      <c r="E174" s="12" t="n">
        <v>1</v>
      </c>
      <c r="F174" s="10" t="n"/>
      <c r="G174" s="10" t="inlineStr">
        <is>
          <t>人材紹介会社の商談化率を2倍にする ─ AIが“今動く企業”を検知する掘り起こしオペレーション再設計</t>
        </is>
      </c>
      <c r="H174" s="10" t="inlineStr">
        <is>
          <t>SalesNowウェビナー事務局</t>
        </is>
      </c>
      <c r="I174" s="10" t="n"/>
      <c r="J174" s="10" t="inlineStr">
        <is>
          <t>こくちーずプロ</t>
        </is>
      </c>
      <c r="K174" s="10" t="inlineStr">
        <is>
          <t>オンライン</t>
        </is>
      </c>
      <c r="L174" s="10" t="inlineStr">
        <is>
          <t>オンライン 日本</t>
        </is>
      </c>
      <c r="M174" s="10" t="inlineStr">
        <is>
          <t>営業・マーケ・CS</t>
        </is>
      </c>
      <c r="N174" s="10" t="inlineStr">
        <is>
          <t>AIエージェント</t>
        </is>
      </c>
      <c r="O174" s="12" t="inlineStr">
        <is>
          <t>○</t>
        </is>
      </c>
      <c r="P174" s="13" t="n"/>
      <c r="Q174" s="12" t="inlineStr">
        <is>
          <t>不明</t>
        </is>
      </c>
      <c r="R174" s="14" t="n"/>
      <c r="S174" s="10" t="n"/>
      <c r="T174" s="10" t="inlineStr">
        <is>
          <t>ウェビナー概要 「新しいリストを買い足しても、商談化率がなかなか上がらない」——そう感じている人材紹介の経営者・営業責任者の方は、少なくありません。 実は、商談を増やす鍵は、新規を追い続けることよりも、すでに手元にある“ハウスリスト”をどう掘り起こすかにあります。ところが、その多くはSFAに眠ったまま、宝の持ち腐れになっていることが多いです。 掘り起こそうにも「その企業が今、採用で動いているのか」が分からず、今まさに採用を始めた企業を競</t>
        </is>
      </c>
      <c r="U174" s="15" t="inlineStr">
        <is>
          <t>https://www.kokuchpro.com/event/8d8a42e1c7a2bc187241f0741d554e20/</t>
        </is>
      </c>
      <c r="V174" s="10" t="n"/>
      <c r="W174" s="10" t="inlineStr">
        <is>
          <t>本文一致</t>
        </is>
      </c>
      <c r="X174" s="10" t="n"/>
    </row>
    <row r="175">
      <c r="A175" s="10" t="n">
        <v>174</v>
      </c>
      <c r="B175" s="11" t="n">
        <v>46231</v>
      </c>
      <c r="C175" s="11" t="n">
        <v>46231</v>
      </c>
      <c r="D175" s="10">
        <f>MONTH(B175)&amp;"月"</f>
        <v/>
      </c>
      <c r="E175" s="12" t="n">
        <v>1</v>
      </c>
      <c r="F175" s="10" t="n"/>
      <c r="G175" s="10" t="inlineStr">
        <is>
          <t>日テレAI-HRが汎用AIエージェント活用をテーマにした無料ウェビナーを開催</t>
        </is>
      </c>
      <c r="H175" s="10" t="inlineStr">
        <is>
          <t>株式会社日テレHR総合研究所</t>
        </is>
      </c>
      <c r="I175" s="10" t="n"/>
      <c r="J175" s="10" t="inlineStr">
        <is>
          <t>PR TIMES</t>
        </is>
      </c>
      <c r="K175" s="10" t="inlineStr">
        <is>
          <t>online</t>
        </is>
      </c>
      <c r="L175" s="10" t="inlineStr">
        <is>
          <t>オンライン（Zoomウェビナー）</t>
        </is>
      </c>
      <c r="M175" s="10" t="inlineStr">
        <is>
          <t>生産性向上・業務効率化</t>
        </is>
      </c>
      <c r="N175" s="10" t="inlineStr">
        <is>
          <t>AIエージェント</t>
        </is>
      </c>
      <c r="O175" s="12" t="inlineStr">
        <is>
          <t>◎</t>
        </is>
      </c>
      <c r="P175" s="13" t="n"/>
      <c r="Q175" s="12" t="inlineStr">
        <is>
          <t>不明</t>
        </is>
      </c>
      <c r="R175" s="14" t="n"/>
      <c r="S175" s="10" t="n"/>
      <c r="T175" s="10" t="inlineStr">
        <is>
          <t>株式会社日テレHR総合研究所（本社：東京都港区、代表取締役社長：中村博行）が運営する日テレAI-HRが、汎用AIエージェントの業務活用をテーマにした無料ウェビナー「汎用AIエージェントは日常業務をどう変えるのか ― 実演で学ぶ、仕事での使い方と活用のリアル ―」を、2026年7月28日（火）18:00より開催します。 ◾️ウェビナーお申し込みはこちら https://ai.ntv-hr.com/webinar/ai-webinar06/</t>
        </is>
      </c>
      <c r="U175" s="15" t="inlineStr">
        <is>
          <t>https://prtimes.jp/main/html/rd/p/000000034.000167191.html</t>
        </is>
      </c>
      <c r="V175" s="10" t="n"/>
      <c r="W175" s="10" t="inlineStr">
        <is>
          <t>タイトル一致</t>
        </is>
      </c>
      <c r="X175" s="10" t="n"/>
    </row>
    <row r="176">
      <c r="A176" s="10" t="n">
        <v>175</v>
      </c>
      <c r="B176" s="11" t="n">
        <v>46231</v>
      </c>
      <c r="C176" s="11" t="n">
        <v>46231</v>
      </c>
      <c r="D176" s="10">
        <f>MONTH(B176)&amp;"月"</f>
        <v/>
      </c>
      <c r="E176" s="12" t="n">
        <v>1</v>
      </c>
      <c r="F176" s="10" t="n"/>
      <c r="G176" s="10" t="inlineStr">
        <is>
          <t>日経メッセ　プレミアム・カンファレンス・シリーズ AIエージェント時代の音声コミュニケーション戦略 ～顧客体験最適化とコンプライアンス強化の両立～</t>
        </is>
      </c>
      <c r="H176" s="10" t="inlineStr">
        <is>
          <t>日本経済新聞社</t>
        </is>
      </c>
      <c r="I176" s="10" t="n"/>
      <c r="J176" s="10" t="inlineStr">
        <is>
          <t>日経イベント</t>
        </is>
      </c>
      <c r="K176" s="10" t="inlineStr">
        <is>
          <t>オンライン</t>
        </is>
      </c>
      <c r="L176" s="10" t="inlineStr">
        <is>
          <t>オンライン</t>
        </is>
      </c>
      <c r="M176" s="10" t="inlineStr">
        <is>
          <t>営業・マーケ・CS</t>
        </is>
      </c>
      <c r="N176" s="10" t="inlineStr">
        <is>
          <t>AIエージェント</t>
        </is>
      </c>
      <c r="O176" s="12" t="inlineStr">
        <is>
          <t>◎</t>
        </is>
      </c>
      <c r="P176" s="13" t="n"/>
      <c r="Q176" s="12" t="inlineStr">
        <is>
          <t>不明</t>
        </is>
      </c>
      <c r="R176" s="14" t="n"/>
      <c r="S176" s="10" t="n"/>
      <c r="T176" s="10" t="inlineStr">
        <is>
          <t>【アーカイブ配信】日経メッセ プレミアム・カンファレンス・シリーズ AIエージェント時代の音声コミュニケーション戦... | NEONセミナールーム ※7月28日に開催された日経メッセ プレミアム・カンファレンス・シリーズのアーカイブ配信です。 営業・接客・コールセンターなどの現場では、商談記録の属人化や対応品質のばらつき、不適切対応や不正行為、カスタマーハラスメントへの備えが重要な課題となっています。とりわけ対面・電話でのコミュニケー</t>
        </is>
      </c>
      <c r="U176" s="15" t="inlineStr">
        <is>
          <t>https://events.nikkei.co.jp/82909/</t>
        </is>
      </c>
      <c r="V176" s="10" t="n"/>
      <c r="W176" s="10" t="inlineStr">
        <is>
          <t>タイトル一致</t>
        </is>
      </c>
      <c r="X176" s="10" t="n"/>
    </row>
    <row r="177">
      <c r="A177" s="10" t="n">
        <v>176</v>
      </c>
      <c r="B177" s="11" t="n">
        <v>46231</v>
      </c>
      <c r="C177" s="11" t="n">
        <v>46254</v>
      </c>
      <c r="D177" s="10">
        <f>MONTH(B177)&amp;"月"</f>
        <v/>
      </c>
      <c r="E177" s="12" t="n">
        <v>2</v>
      </c>
      <c r="F177" s="10" t="inlineStr">
        <is>
          <t>07/28、08/20</t>
        </is>
      </c>
      <c r="G177" s="10" t="inlineStr">
        <is>
          <t>生成AI時代のエンタープライズ検索基盤『Glean』とは 〜全社データを”使える知識”に変えるGlean活用戦略〜</t>
        </is>
      </c>
      <c r="H177" s="10" t="inlineStr">
        <is>
          <t>cloudace</t>
        </is>
      </c>
      <c r="I177" s="10" t="n"/>
      <c r="J177" s="10" t="inlineStr">
        <is>
          <t>Doorkeeper</t>
        </is>
      </c>
      <c r="K177" s="10" t="inlineStr">
        <is>
          <t>不明</t>
        </is>
      </c>
      <c r="L177" s="10" t="n"/>
      <c r="M177" s="10" t="inlineStr">
        <is>
          <t>営業・マーケ・CS</t>
        </is>
      </c>
      <c r="N177" s="10" t="inlineStr">
        <is>
          <t>AIエージェント</t>
        </is>
      </c>
      <c r="O177" s="12" t="inlineStr">
        <is>
          <t>○</t>
        </is>
      </c>
      <c r="P177" s="13" t="n">
        <v>0</v>
      </c>
      <c r="Q177" s="12" t="inlineStr">
        <is>
          <t>参加者数</t>
        </is>
      </c>
      <c r="R177" s="14" t="n">
        <v>60</v>
      </c>
      <c r="S177" s="10" t="inlineStr">
        <is>
          <t>全2回の合計</t>
        </is>
      </c>
      <c r="T177" s="10" t="inlineStr">
        <is>
          <t xml:space="preserve"> 【重要】本セミナーはdoorkeeperだけではお申し込み完了となりません。下記リンク先よりクラウドエースのwebサイトにてお申し込みをお願いいたします。 お申し込みはこちら https://cloud-ace.jp/event/260728/?utm_source=doorkeeper&amp;utm_medium=referral 本セミナーでは、社内に点在するナレッジを業務で活用しやすくする、次世代Work AI「Glean」について解</t>
        </is>
      </c>
      <c r="U177" s="15" t="inlineStr">
        <is>
          <t>https://cloudace.doorkeeper.jp/events/198053</t>
        </is>
      </c>
      <c r="V177" s="10" t="n"/>
      <c r="W177" s="10" t="inlineStr">
        <is>
          <t>本文一致</t>
        </is>
      </c>
      <c r="X177" s="10" t="n"/>
    </row>
    <row r="178">
      <c r="A178" s="10" t="n">
        <v>177</v>
      </c>
      <c r="B178" s="11" t="n">
        <v>46231</v>
      </c>
      <c r="C178" s="11" t="n">
        <v>46294</v>
      </c>
      <c r="D178" s="10">
        <f>MONTH(B178)&amp;"月"</f>
        <v/>
      </c>
      <c r="E178" s="12" t="n">
        <v>3</v>
      </c>
      <c r="F178" s="10" t="inlineStr">
        <is>
          <t>07/28、08/11、09/29</t>
        </is>
      </c>
      <c r="G178" s="10" t="inlineStr">
        <is>
          <t>第66回 MLOps/LLMOps/AgentOps 勉強会</t>
        </is>
      </c>
      <c r="H178" s="10" t="inlineStr">
        <is>
          <t>MLOps/LLMOps/AgentOps 勉強会</t>
        </is>
      </c>
      <c r="I178" s="10" t="n"/>
      <c r="J178" s="10" t="inlineStr">
        <is>
          <t>connpass</t>
        </is>
      </c>
      <c r="K178" s="10" t="inlineStr">
        <is>
          <t>オンライン</t>
        </is>
      </c>
      <c r="L178" s="10" t="inlineStr">
        <is>
          <t>オンライン</t>
        </is>
      </c>
      <c r="M178" s="10" t="inlineStr">
        <is>
          <t>開発生産性</t>
        </is>
      </c>
      <c r="N178" s="10" t="inlineStr">
        <is>
          <t>AIエージェント</t>
        </is>
      </c>
      <c r="O178" s="12" t="inlineStr">
        <is>
          <t>○</t>
        </is>
      </c>
      <c r="P178" s="13" t="n">
        <v>477</v>
      </c>
      <c r="Q178" s="12" t="inlineStr">
        <is>
          <t>参加者数</t>
        </is>
      </c>
      <c r="R178" s="14" t="n">
        <v>3000</v>
      </c>
      <c r="S178" s="10" t="inlineStr">
        <is>
          <t>全3回の合計</t>
        </is>
      </c>
      <c r="T178" s="10" t="n"/>
      <c r="U178" s="15" t="inlineStr">
        <is>
          <t>https://mlops.connpass.com/event/400451/</t>
        </is>
      </c>
      <c r="V178" s="10" t="n"/>
      <c r="W178" s="10" t="inlineStr">
        <is>
          <t>タイトル一致</t>
        </is>
      </c>
      <c r="X178" s="10" t="n"/>
    </row>
    <row r="179">
      <c r="A179" s="10" t="n">
        <v>178</v>
      </c>
      <c r="B179" s="11" t="n">
        <v>46231</v>
      </c>
      <c r="C179" s="11" t="n">
        <v>46231</v>
      </c>
      <c r="D179" s="10">
        <f>MONTH(B179)&amp;"月"</f>
        <v/>
      </c>
      <c r="E179" s="12" t="n">
        <v>1</v>
      </c>
      <c r="F179" s="10" t="n"/>
      <c r="G179" s="10" t="inlineStr">
        <is>
          <t>製造業 経営企画サミット2026「AX(AI変革)で変わる経営判断の在り方」</t>
        </is>
      </c>
      <c r="H179" s="10" t="inlineStr">
        <is>
          <t>NEC</t>
        </is>
      </c>
      <c r="I179" s="10" t="inlineStr">
        <is>
          <t>元AGC副社長 宮地氏が基調講演</t>
        </is>
      </c>
      <c r="J179" s="10" t="inlineStr">
        <is>
          <t>個別調査（公式サイト・PR TIMES等）</t>
        </is>
      </c>
      <c r="K179" s="10" t="inlineStr">
        <is>
          <t>オンライン</t>
        </is>
      </c>
      <c r="L179" s="10" t="n"/>
      <c r="M179" s="10" t="inlineStr">
        <is>
          <t>生産管理・製造・SCM</t>
        </is>
      </c>
      <c r="N179" s="10" t="inlineStr">
        <is>
          <t>AIエージェント（AX）</t>
        </is>
      </c>
      <c r="O179" s="12" t="inlineStr">
        <is>
          <t>◎</t>
        </is>
      </c>
      <c r="P179" s="13" t="n"/>
      <c r="Q179" s="12" t="inlineStr">
        <is>
          <t>不明</t>
        </is>
      </c>
      <c r="R179" s="14" t="n"/>
      <c r="S179" s="10" t="n"/>
      <c r="T179" s="10" t="inlineStr">
        <is>
          <t>AI Native Companyへの道のりと経営企画部門の役割を扱う。NECの製造業AX推進の事例を紹介する。</t>
        </is>
      </c>
      <c r="U179" s="15" t="inlineStr">
        <is>
          <t>https://jpn.nec.com/event/260728seizo-cox/index.html</t>
        </is>
      </c>
      <c r="V179" s="10" t="n"/>
      <c r="W179" s="10" t="inlineStr">
        <is>
          <t>個別確認</t>
        </is>
      </c>
      <c r="X179" s="10" t="inlineStr">
        <is>
          <t>ページ本文は取得できず（403）、検索要約で確認した</t>
        </is>
      </c>
    </row>
    <row r="180">
      <c r="A180" s="10" t="n">
        <v>179</v>
      </c>
      <c r="B180" s="11" t="n">
        <v>46231</v>
      </c>
      <c r="C180" s="11" t="n">
        <v>46231</v>
      </c>
      <c r="D180" s="10">
        <f>MONTH(B180)&amp;"月"</f>
        <v/>
      </c>
      <c r="E180" s="12" t="n">
        <v>1</v>
      </c>
      <c r="F180" s="10" t="n"/>
      <c r="G180" s="10" t="inlineStr">
        <is>
          <t>製造業におけるAIエージェント活用！RAG/ScalarDBで支える部品選定支援システム</t>
        </is>
      </c>
      <c r="H180" s="10" t="inlineStr">
        <is>
          <t>Scalar</t>
        </is>
      </c>
      <c r="I180" s="10" t="n"/>
      <c r="J180" s="10" t="inlineStr">
        <is>
          <t>connpass</t>
        </is>
      </c>
      <c r="K180" s="10" t="inlineStr">
        <is>
          <t>オンライン</t>
        </is>
      </c>
      <c r="L180" s="10" t="inlineStr">
        <is>
          <t>オンライン</t>
        </is>
      </c>
      <c r="M180" s="10" t="inlineStr">
        <is>
          <t>生産管理・製造・SCM</t>
        </is>
      </c>
      <c r="N180" s="10" t="inlineStr">
        <is>
          <t>AIエージェント</t>
        </is>
      </c>
      <c r="O180" s="12" t="inlineStr">
        <is>
          <t>◎</t>
        </is>
      </c>
      <c r="P180" s="13" t="n">
        <v>30</v>
      </c>
      <c r="Q180" s="12" t="inlineStr">
        <is>
          <t>参加者数</t>
        </is>
      </c>
      <c r="R180" s="14" t="n">
        <v>100</v>
      </c>
      <c r="S180" s="10" t="n"/>
      <c r="T180" s="10" t="n"/>
      <c r="U180" s="15" t="inlineStr">
        <is>
          <t>https://scalar.connpass.com/event/400004/</t>
        </is>
      </c>
      <c r="V180" s="10" t="n"/>
      <c r="W180" s="10" t="inlineStr">
        <is>
          <t>タイトル一致</t>
        </is>
      </c>
      <c r="X180" s="10" t="n"/>
    </row>
    <row r="181">
      <c r="A181" s="10" t="n">
        <v>180</v>
      </c>
      <c r="B181" s="11" t="n">
        <v>46232</v>
      </c>
      <c r="C181" s="11" t="n">
        <v>46232</v>
      </c>
      <c r="D181" s="10">
        <f>MONTH(B181)&amp;"月"</f>
        <v/>
      </c>
      <c r="E181" s="12" t="n">
        <v>1</v>
      </c>
      <c r="F181" s="10" t="n"/>
      <c r="G181" s="10" t="inlineStr">
        <is>
          <t>7/29(水)16:00- 【大好評セミナーを再配信！】汎用AIでは届かない「本丸業務」を自動化する ～KICONIA WORKS流・「特化型AIエージェント」開発と要件定義の極意～</t>
        </is>
      </c>
      <c r="H181" s="10" t="inlineStr">
        <is>
          <t>skillupai</t>
        </is>
      </c>
      <c r="I181" s="10" t="n"/>
      <c r="J181" s="10" t="inlineStr">
        <is>
          <t>Doorkeeper</t>
        </is>
      </c>
      <c r="K181" s="10" t="inlineStr">
        <is>
          <t>オンライン</t>
        </is>
      </c>
      <c r="L181" s="10" t="n"/>
      <c r="M181" s="10" t="inlineStr">
        <is>
          <t>生産性向上・業務効率化</t>
        </is>
      </c>
      <c r="N181" s="10" t="inlineStr">
        <is>
          <t>AIエージェント</t>
        </is>
      </c>
      <c r="O181" s="12" t="inlineStr">
        <is>
          <t>◎</t>
        </is>
      </c>
      <c r="P181" s="13" t="n">
        <v>0</v>
      </c>
      <c r="Q181" s="12" t="inlineStr">
        <is>
          <t>参加者数</t>
        </is>
      </c>
      <c r="R181" s="14" t="n">
        <v>30</v>
      </c>
      <c r="S181" s="10" t="n"/>
      <c r="T181" s="10" t="inlineStr">
        <is>
          <t xml:space="preserve"> ■ プログラム概要 2026年4月に配信され、大好評だったセミナーを再配信します。 多くの企業が生成AIの導入に乗り出す一方で、「汎用的なAIツールを導入したものの、自社特有の複雑な業務に適合しない」「プロンプト調整だけでは限界があり、現場の『本丸業務』に活用しきれていない」といった壁に直面するケースが増加しています。 この停滞を打破する鍵は、標準的なSaaSの枠を超え、自社の業務プロセスに深く入り込む「特化型AIエージェント」のカス</t>
        </is>
      </c>
      <c r="U181" s="15" t="inlineStr">
        <is>
          <t>https://skillupai.doorkeeper.jp/events/197997</t>
        </is>
      </c>
      <c r="V181" s="10" t="n"/>
      <c r="W181" s="10" t="inlineStr">
        <is>
          <t>タイトル一致</t>
        </is>
      </c>
      <c r="X181" s="10" t="n"/>
    </row>
    <row r="182">
      <c r="A182" s="10" t="n">
        <v>181</v>
      </c>
      <c r="B182" s="11" t="n">
        <v>46232</v>
      </c>
      <c r="C182" s="11" t="n">
        <v>46232</v>
      </c>
      <c r="D182" s="10">
        <f>MONTH(B182)&amp;"月"</f>
        <v/>
      </c>
      <c r="E182" s="12" t="n">
        <v>1</v>
      </c>
      <c r="F182" s="10" t="n"/>
      <c r="G182" s="10" t="inlineStr">
        <is>
          <t>AIを導入したのに、なぜ現場で使われないのか？ ～PoC止まり・定着しないAI活用から脱却する 業務設計と運用定着の進め方～</t>
        </is>
      </c>
      <c r="H182" s="10" t="inlineStr">
        <is>
          <t>株式会社テンダ 株式会社Almondo</t>
        </is>
      </c>
      <c r="I182" s="10" t="inlineStr">
        <is>
          <t>株式会社テンダ 株式会社Almondo</t>
        </is>
      </c>
      <c r="J182" s="10" t="inlineStr">
        <is>
          <t>Doorkeeper</t>
        </is>
      </c>
      <c r="K182" s="10" t="inlineStr">
        <is>
          <t>不明</t>
        </is>
      </c>
      <c r="L182" s="10" t="n"/>
      <c r="M182" s="10" t="inlineStr">
        <is>
          <t>生産性向上・業務効率化</t>
        </is>
      </c>
      <c r="N182" s="10" t="inlineStr">
        <is>
          <t>AIエージェント</t>
        </is>
      </c>
      <c r="O182" s="12" t="inlineStr">
        <is>
          <t>○</t>
        </is>
      </c>
      <c r="P182" s="13" t="n">
        <v>0</v>
      </c>
      <c r="Q182" s="12" t="inlineStr">
        <is>
          <t>参加者数</t>
        </is>
      </c>
      <c r="R182" s="14" t="n"/>
      <c r="S182" s="10" t="n"/>
      <c r="T182"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AIツールを導入したのに、なぜ成果につながらないのか 生成AIやAIエージェントへの期待が高まる中、多くの企業でAI活用の取り組みが進められています。しかし実際には、「AIツールを導入したものの現場で使</t>
        </is>
      </c>
      <c r="U182" s="15" t="inlineStr">
        <is>
          <t>https://majisemi-technology.doorkeeper.jp/events/198025</t>
        </is>
      </c>
      <c r="V182" s="10" t="n"/>
      <c r="W182" s="10" t="inlineStr">
        <is>
          <t>本文一致</t>
        </is>
      </c>
      <c r="X182" s="10" t="n"/>
    </row>
    <row r="183">
      <c r="A183" s="10" t="n">
        <v>182</v>
      </c>
      <c r="B183" s="11" t="n">
        <v>46232</v>
      </c>
      <c r="C183" s="11" t="n">
        <v>46232</v>
      </c>
      <c r="D183" s="10">
        <f>MONTH(B183)&amp;"月"</f>
        <v/>
      </c>
      <c r="E183" s="12" t="n">
        <v>1</v>
      </c>
      <c r="F183" s="10" t="n"/>
      <c r="G183" s="10" t="inlineStr">
        <is>
          <t>AIエージェントサミットSummer2026</t>
        </is>
      </c>
      <c r="H183" s="10" t="inlineStr">
        <is>
          <t>株式会社アイスマイリー</t>
        </is>
      </c>
      <c r="I183" s="10" t="inlineStr">
        <is>
          <t>ストックマーク・PKSHA・ミライのゲンバ・発注ナビなど11社</t>
        </is>
      </c>
      <c r="J183" s="10" t="inlineStr">
        <is>
          <t>個別調査（公式サイト・PR TIMES等）</t>
        </is>
      </c>
      <c r="K183" s="10" t="inlineStr">
        <is>
          <t>オンライン</t>
        </is>
      </c>
      <c r="L183" s="10" t="n"/>
      <c r="M183" s="10" t="inlineStr">
        <is>
          <t>生産性向上・業務効率化</t>
        </is>
      </c>
      <c r="N183" s="10" t="inlineStr">
        <is>
          <t>AIエージェント</t>
        </is>
      </c>
      <c r="O183" s="12" t="inlineStr">
        <is>
          <t>◎</t>
        </is>
      </c>
      <c r="P183" s="13" t="n"/>
      <c r="Q183" s="12" t="inlineStr">
        <is>
          <t>不明</t>
        </is>
      </c>
      <c r="R183" s="14" t="n"/>
      <c r="S183" s="10" t="n"/>
      <c r="T183" s="10" t="inlineStr">
        <is>
          <t>自律型AIの最新動向と、生成AIの枠を超えた業務自動化を11社が解説する。マーケの効率化や社内DXも扱う。</t>
        </is>
      </c>
      <c r="U183" s="15" t="inlineStr">
        <is>
          <t>https://aismiley.co.jp/company_news/20260729webinar/</t>
        </is>
      </c>
      <c r="V183" s="15" t="inlineStr">
        <is>
          <t>https://gais.jp/ai-agent-summit-summer2026/</t>
        </is>
      </c>
      <c r="W183" s="10" t="inlineStr">
        <is>
          <t>個別確認</t>
        </is>
      </c>
      <c r="X183" s="10" t="n"/>
    </row>
    <row r="184">
      <c r="A184" s="10" t="n">
        <v>183</v>
      </c>
      <c r="B184" s="11" t="n">
        <v>46232</v>
      </c>
      <c r="C184" s="11" t="n">
        <v>46232</v>
      </c>
      <c r="D184" s="10">
        <f>MONTH(B184)&amp;"月"</f>
        <v/>
      </c>
      <c r="E184" s="12" t="n">
        <v>1</v>
      </c>
      <c r="F184" s="10" t="n"/>
      <c r="G184" s="10" t="inlineStr">
        <is>
          <t>AI活用実践マネジメント研修</t>
        </is>
      </c>
      <c r="H184" s="10" t="inlineStr">
        <is>
          <t>関西経営管理協会</t>
        </is>
      </c>
      <c r="I184" s="10" t="n"/>
      <c r="J184" s="10" t="inlineStr">
        <is>
          <t>こくちーずプロ</t>
        </is>
      </c>
      <c r="K184" s="10" t="inlineStr">
        <is>
          <t>オフライン（会場）</t>
        </is>
      </c>
      <c r="L184" s="10" t="inlineStr">
        <is>
          <t>中央電気倶楽部 大阪府大阪市北区堂島浜2-1-25</t>
        </is>
      </c>
      <c r="M184" s="10" t="inlineStr">
        <is>
          <t>生産性向上・業務効率化</t>
        </is>
      </c>
      <c r="N184" s="10" t="inlineStr">
        <is>
          <t>AIエージェント</t>
        </is>
      </c>
      <c r="O184" s="12" t="inlineStr">
        <is>
          <t>○</t>
        </is>
      </c>
      <c r="P184" s="13" t="n">
        <v>0</v>
      </c>
      <c r="Q184" s="12" t="inlineStr">
        <is>
          <t>イベント参加 0/10</t>
        </is>
      </c>
      <c r="R184" s="14" t="n">
        <v>10</v>
      </c>
      <c r="S184" s="10" t="n"/>
      <c r="T184" s="10" t="inlineStr">
        <is>
          <t>詳細・お申し込みはコチラから！ ●毎日1650人の労働力が減少する時代、AIと「共働」できない企業は生き残れない！ ●AIを一部の社員の「武器」ではなく、全社員で使いこなす「会社の文化」とするためには？ こんな企業にお勧めです ◆DXを推進したいが、具体的にどの業務にどのAIをどう導入すればよいか手順がわからない経営者・管理者の方 ◆ChatGPTなどの生成AIを導入してみたものの、一部の人しか使えておらず属人化してしまっている企業 ◆</t>
        </is>
      </c>
      <c r="U184" s="15" t="inlineStr">
        <is>
          <t>https://www.kokuchpro.com/event/bd8a8161611562ded6d6da219d100aad/</t>
        </is>
      </c>
      <c r="V184" s="10" t="n"/>
      <c r="W184" s="10" t="inlineStr">
        <is>
          <t>本文一致</t>
        </is>
      </c>
      <c r="X184" s="10" t="n"/>
    </row>
    <row r="185">
      <c r="A185" s="10" t="n">
        <v>184</v>
      </c>
      <c r="B185" s="11" t="n">
        <v>46232</v>
      </c>
      <c r="C185" s="11" t="n">
        <v>46232</v>
      </c>
      <c r="D185" s="10">
        <f>MONTH(B185)&amp;"月"</f>
        <v/>
      </c>
      <c r="E185" s="12" t="n">
        <v>1</v>
      </c>
      <c r="F185" s="10" t="n"/>
      <c r="G185" s="10" t="inlineStr">
        <is>
          <t>ClaudeCode実践セミナー|ClaudeCode実践セミナー|現場効率化と人事評価制度で"人手不足でも回る"会社をつくる活用術</t>
        </is>
      </c>
      <c r="H185" s="10" t="inlineStr">
        <is>
          <t>給与アップ研究所セミナー事務局</t>
        </is>
      </c>
      <c r="I185" s="10" t="n"/>
      <c r="J185" s="10" t="inlineStr">
        <is>
          <t>こくちーずプロ</t>
        </is>
      </c>
      <c r="K185" s="10" t="inlineStr">
        <is>
          <t>オンライン</t>
        </is>
      </c>
      <c r="L185" s="10" t="inlineStr">
        <is>
          <t>オンライン 日本</t>
        </is>
      </c>
      <c r="M185" s="10" t="inlineStr">
        <is>
          <t>営業・マーケ・CS</t>
        </is>
      </c>
      <c r="N185" s="10" t="inlineStr">
        <is>
          <t>AIエージェント</t>
        </is>
      </c>
      <c r="O185" s="12" t="inlineStr">
        <is>
          <t>◎</t>
        </is>
      </c>
      <c r="P185" s="13" t="n">
        <v>1</v>
      </c>
      <c r="Q185" s="12" t="inlineStr">
        <is>
          <t>イベント参加 1/100</t>
        </is>
      </c>
      <c r="R185" s="14" t="n">
        <v>100</v>
      </c>
      <c r="S185" s="10" t="n"/>
      <c r="T185" s="10" t="inlineStr">
        <is>
          <t xml:space="preserve">【建設業経営者・現場責任者向け】 ClaudeCode実践セミナー 現場効率化と人事評価制度で"人手不足でも回る"会社をつくる活用術 ━━━━━━━━━━━━━━━━━━ ■開催概要 ━━━━━━━━━━━━━━━━━━ 日時 ：2026年7月29日（水）12:00～13:00 形式 ：オンライン（Zoom） 参加費 ：無料 ━━━━━━━━━━━━━━━━━━ ■このようなお悩みはありませんか？ ━━━━━━━━━━━━━━━━━━ </t>
        </is>
      </c>
      <c r="U185" s="15" t="inlineStr">
        <is>
          <t>https://www.kokuchpro.com/event/5547d9fca6b4575f9401f7a39010d93b/</t>
        </is>
      </c>
      <c r="V185" s="10" t="n"/>
      <c r="W185" s="10" t="inlineStr">
        <is>
          <t>タイトル一致</t>
        </is>
      </c>
      <c r="X185" s="10" t="n"/>
    </row>
    <row r="186">
      <c r="A186" s="10" t="n">
        <v>185</v>
      </c>
      <c r="B186" s="11" t="n">
        <v>46232</v>
      </c>
      <c r="C186" s="11" t="n">
        <v>46233</v>
      </c>
      <c r="D186" s="10">
        <f>MONTH(B186)&amp;"月"</f>
        <v/>
      </c>
      <c r="E186" s="12" t="n">
        <v>1</v>
      </c>
      <c r="F186" s="10" t="n"/>
      <c r="G186" s="10" t="inlineStr">
        <is>
          <t>ITインフラSummit 2026 Summer〜AIエージェント時代に不可欠なITインフラの条件とは〜</t>
        </is>
      </c>
      <c r="H186" s="10" t="inlineStr">
        <is>
          <t>日経クロステック（日経BP）</t>
        </is>
      </c>
      <c r="I186" s="10" t="n"/>
      <c r="J186" s="10" t="inlineStr">
        <is>
          <t>個別調査（公式サイト・PR TIMES等）</t>
        </is>
      </c>
      <c r="K186" s="10" t="inlineStr">
        <is>
          <t>オンライン</t>
        </is>
      </c>
      <c r="L186" s="10" t="n"/>
      <c r="M186" s="10" t="inlineStr">
        <is>
          <t>生産性向上・業務効率化</t>
        </is>
      </c>
      <c r="N186" s="10" t="inlineStr">
        <is>
          <t>両方</t>
        </is>
      </c>
      <c r="O186" s="12" t="inlineStr">
        <is>
          <t>◎</t>
        </is>
      </c>
      <c r="P186" s="13" t="n"/>
      <c r="Q186" s="12" t="inlineStr">
        <is>
          <t>不明</t>
        </is>
      </c>
      <c r="R186" s="14" t="n"/>
      <c r="S186" s="10" t="inlineStr">
        <is>
          <t>先着順</t>
        </is>
      </c>
      <c r="T186" s="10" t="inlineStr">
        <is>
          <t>AIエージェントを動かすためのデータ基盤、APIマネジメント、セキュリティを解説する。MCPはクラウド連携の技術として扱われる。</t>
        </is>
      </c>
      <c r="U186" s="15" t="inlineStr">
        <is>
          <t>https://events.nikkeibp.co.jp/event/2026/nxt0729infra/</t>
        </is>
      </c>
      <c r="V186" s="10" t="n"/>
      <c r="W186" s="10" t="inlineStr">
        <is>
          <t>個別確認</t>
        </is>
      </c>
      <c r="X186" s="10" t="inlineStr">
        <is>
          <t>IT部門向け</t>
        </is>
      </c>
    </row>
    <row r="187">
      <c r="A187" s="10" t="n">
        <v>186</v>
      </c>
      <c r="B187" s="11" t="n">
        <v>46232</v>
      </c>
      <c r="C187" s="11" t="n">
        <v>46232</v>
      </c>
      <c r="D187" s="10">
        <f>MONTH(B187)&amp;"月"</f>
        <v/>
      </c>
      <c r="E187" s="12" t="n">
        <v>1</v>
      </c>
      <c r="F187" s="10" t="n"/>
      <c r="G187" s="10" t="inlineStr">
        <is>
          <t>SAP NOW AI Tour TOKYO</t>
        </is>
      </c>
      <c r="H187" s="10" t="inlineStr">
        <is>
          <t>SAPジャパン株式会社</t>
        </is>
      </c>
      <c r="I187" s="10" t="n"/>
      <c r="J187" s="10" t="inlineStr">
        <is>
          <t>ビジネス+IT</t>
        </is>
      </c>
      <c r="K187" s="10" t="inlineStr">
        <is>
          <t>offline</t>
        </is>
      </c>
      <c r="L187" s="10" t="inlineStr">
        <is>
          <t>東京都</t>
        </is>
      </c>
      <c r="M187" s="10" t="inlineStr">
        <is>
          <t>生産性向上・業務効率化</t>
        </is>
      </c>
      <c r="N187" s="10" t="inlineStr">
        <is>
          <t>AIエージェント</t>
        </is>
      </c>
      <c r="O187" s="12" t="inlineStr">
        <is>
          <t>○</t>
        </is>
      </c>
      <c r="P187" s="13" t="n"/>
      <c r="Q187" s="12" t="inlineStr">
        <is>
          <t>不明</t>
        </is>
      </c>
      <c r="R187" s="14" t="n"/>
      <c r="S187" s="10" t="n"/>
      <c r="T187" s="10" t="inlineStr">
        <is>
          <t>外部環境が急速に変化する中、企業には部門最適ではなく全体最適で競争力を高める視点が求められています。SAP NOW AI Tour 2026 は、SAP Business Suite を基盤に、AI エージェント「Joule」が切り拓く次の経営と業務の姿をご紹介するイベントです。主役は SAP ではなく、次に選ばれる企業となるための進化を目指す皆様です。Bring out your best! ― 企業の力を、次の次元へ。ぜひ会場でご体</t>
        </is>
      </c>
      <c r="U187" s="15" t="inlineStr">
        <is>
          <t>https://www.sbbit.jp/eventinfo/89001</t>
        </is>
      </c>
      <c r="V187" s="10" t="n"/>
      <c r="W187" s="10" t="inlineStr">
        <is>
          <t>本文一致</t>
        </is>
      </c>
      <c r="X187" s="10" t="n"/>
    </row>
    <row r="188">
      <c r="A188" s="10" t="n">
        <v>187</v>
      </c>
      <c r="B188" s="11" t="n">
        <v>46232</v>
      </c>
      <c r="C188" s="11" t="n">
        <v>46232</v>
      </c>
      <c r="D188" s="10">
        <f>MONTH(B188)&amp;"月"</f>
        <v/>
      </c>
      <c r="E188" s="12" t="n">
        <v>1</v>
      </c>
      <c r="F188" s="10" t="n"/>
      <c r="G188" s="10" t="inlineStr">
        <is>
          <t>Skillsでなくす！定形業務へのClaude Code活用</t>
        </is>
      </c>
      <c r="H188" s="10" t="inlineStr">
        <is>
          <t>Solvio｜生成AI活用支援</t>
        </is>
      </c>
      <c r="I188" s="10" t="n"/>
      <c r="J188" s="10" t="inlineStr">
        <is>
          <t>connpass</t>
        </is>
      </c>
      <c r="K188" s="10" t="inlineStr">
        <is>
          <t>オンライン</t>
        </is>
      </c>
      <c r="L188" s="10" t="inlineStr">
        <is>
          <t>オンライン</t>
        </is>
      </c>
      <c r="M188" s="10" t="inlineStr">
        <is>
          <t>生産性向上・業務効率化</t>
        </is>
      </c>
      <c r="N188" s="10" t="inlineStr">
        <is>
          <t>AIエージェント</t>
        </is>
      </c>
      <c r="O188" s="12" t="inlineStr">
        <is>
          <t>◎</t>
        </is>
      </c>
      <c r="P188" s="13" t="n">
        <v>25</v>
      </c>
      <c r="Q188" s="12" t="inlineStr">
        <is>
          <t>参加者数</t>
        </is>
      </c>
      <c r="R188" s="14" t="n">
        <v>100</v>
      </c>
      <c r="S188" s="10" t="n"/>
      <c r="T188" s="10" t="n"/>
      <c r="U188" s="15" t="inlineStr">
        <is>
          <t>https://solvio.connpass.com/event/400965/</t>
        </is>
      </c>
      <c r="V188" s="10" t="n"/>
      <c r="W188" s="10" t="inlineStr">
        <is>
          <t>タイトル一致</t>
        </is>
      </c>
      <c r="X188" s="10" t="n"/>
    </row>
    <row r="189">
      <c r="A189" s="10" t="n">
        <v>188</v>
      </c>
      <c r="B189" s="11" t="n">
        <v>46232</v>
      </c>
      <c r="C189" s="11" t="n">
        <v>46232</v>
      </c>
      <c r="D189" s="10">
        <f>MONTH(B189)&amp;"月"</f>
        <v/>
      </c>
      <c r="E189" s="12" t="n">
        <v>1</v>
      </c>
      <c r="F189" s="10" t="n"/>
      <c r="G189" s="10" t="inlineStr">
        <is>
          <t>【7/29開催ウェビナー】AIエージェントサミットSummer2026</t>
        </is>
      </c>
      <c r="H189" s="10" t="inlineStr">
        <is>
          <t>（記載なし）</t>
        </is>
      </c>
      <c r="I189" s="10" t="n"/>
      <c r="J189" s="10" t="inlineStr">
        <is>
          <t>AIsmiley</t>
        </is>
      </c>
      <c r="K189" s="10" t="inlineStr">
        <is>
          <t>ウェビナー</t>
        </is>
      </c>
      <c r="L189" s="10" t="inlineStr">
        <is>
          <t>オンライン</t>
        </is>
      </c>
      <c r="M189" s="10" t="inlineStr">
        <is>
          <t>営業・マーケ・CS</t>
        </is>
      </c>
      <c r="N189" s="10" t="inlineStr">
        <is>
          <t>AIエージェント</t>
        </is>
      </c>
      <c r="O189" s="12" t="inlineStr">
        <is>
          <t>◎</t>
        </is>
      </c>
      <c r="P189" s="13" t="n"/>
      <c r="Q189" s="12" t="inlineStr">
        <is>
          <t>不明</t>
        </is>
      </c>
      <c r="R189" s="14" t="n"/>
      <c r="S189" s="10" t="n"/>
      <c r="T189" s="10" t="inlineStr">
        <is>
          <t xml:space="preserve"> 【7/29開催ウェビナー】AIエージェントサミットSummer2026 こんな方にお勧めのウェビナーです！ ・AIエージェントの具体的な活用方法や導入事例に興味のある方 ・最新AIを活用して、広報・マーケティング業務の成果を最大化したい方 ・社内DXや業務自動化の推進において、従来のツール（生成AI等）の限界や課題を感じている方 ・2026年最新のAIエージェント動向や、今後のBI・データ活用の未来を一気網羅したい方 ・自社サービスへ</t>
        </is>
      </c>
      <c r="U189" s="15" t="inlineStr">
        <is>
          <t>https://aismiley.co.jp/webinar/20260729webinar/</t>
        </is>
      </c>
      <c r="V189" s="10" t="n"/>
      <c r="W189" s="10" t="inlineStr">
        <is>
          <t>タイトル一致</t>
        </is>
      </c>
      <c r="X189" s="10" t="n"/>
    </row>
    <row r="190">
      <c r="A190" s="10" t="n">
        <v>189</v>
      </c>
      <c r="B190" s="11" t="n">
        <v>46232</v>
      </c>
      <c r="C190" s="11" t="n">
        <v>46232</v>
      </c>
      <c r="D190" s="10">
        <f>MONTH(B190)&amp;"月"</f>
        <v/>
      </c>
      <c r="E190" s="12" t="n">
        <v>1</v>
      </c>
      <c r="F190" s="10" t="n"/>
      <c r="G190" s="10" t="inlineStr">
        <is>
          <t>【Dify活用無料ウェビナー】Difyで整理する、既製AIツールのできること・できないこと〜既存AIツールの限界とDifyによる補完アプローチ〜</t>
        </is>
      </c>
      <c r="H190" s="10" t="inlineStr">
        <is>
          <t>バイタリフィ|セミナー事務局</t>
        </is>
      </c>
      <c r="I190" s="10" t="n"/>
      <c r="J190" s="10" t="inlineStr">
        <is>
          <t>こくちーずプロ</t>
        </is>
      </c>
      <c r="K190" s="10" t="inlineStr">
        <is>
          <t>オンライン</t>
        </is>
      </c>
      <c r="L190" s="10" t="inlineStr">
        <is>
          <t>オンライン 日本</t>
        </is>
      </c>
      <c r="M190" s="10" t="inlineStr">
        <is>
          <t>生産性向上・業務効率化</t>
        </is>
      </c>
      <c r="N190" s="10" t="inlineStr">
        <is>
          <t>AIエージェント</t>
        </is>
      </c>
      <c r="O190" s="12" t="inlineStr">
        <is>
          <t>◎</t>
        </is>
      </c>
      <c r="P190" s="13" t="n">
        <v>2</v>
      </c>
      <c r="Q190" s="12" t="inlineStr">
        <is>
          <t>イベント参加 2/50</t>
        </is>
      </c>
      <c r="R190" s="14" t="n">
        <v>50</v>
      </c>
      <c r="S190" s="10" t="n"/>
      <c r="T190" s="10" t="inlineStr">
        <is>
          <t>■ ウェビナー概要 生成AIツールの導入は急速に進んでいます。 しかし、「Copilotは既にあるが、期待したほど使われていない」、「Geminiで一部は効率化できたが、肝心の業務には手が届かない」そんな“導入したその先”の物足りなさを感じていませんか。 本ウェビナーでは、既製AIツールの「できること・できないこと」と、そこに立ちはだかる3つの壁（コスト・精度・カスタマイズ）をRAG観点をメインに明らかにします。 そのうえで、オープンソ</t>
        </is>
      </c>
      <c r="U190" s="15" t="inlineStr">
        <is>
          <t>https://www.kokuchpro.com/event/7e918602def8d8458c93265fa1e48eb4/</t>
        </is>
      </c>
      <c r="V190" s="10" t="n"/>
      <c r="W190" s="10" t="inlineStr">
        <is>
          <t>タイトル一致</t>
        </is>
      </c>
      <c r="X190" s="10" t="n"/>
    </row>
    <row r="191">
      <c r="A191" s="10" t="n">
        <v>190</v>
      </c>
      <c r="B191" s="11" t="n">
        <v>46232</v>
      </c>
      <c r="C191" s="11" t="n">
        <v>46232</v>
      </c>
      <c r="D191" s="10">
        <f>MONTH(B191)&amp;"月"</f>
        <v/>
      </c>
      <c r="E191" s="12" t="n">
        <v>1</v>
      </c>
      <c r="F191" s="10" t="n"/>
      <c r="G191" s="10" t="inlineStr">
        <is>
          <t>【Dos攻撃対策】最新のAIが発見した脆弱性 ～HTTP/2 Bomb 攻撃とその検知～</t>
        </is>
      </c>
      <c r="H191" s="10" t="inlineStr">
        <is>
          <t>アルプス システム インテグレーション株式会社</t>
        </is>
      </c>
      <c r="I191" s="10" t="inlineStr">
        <is>
          <t>マジセミ株式会社</t>
        </is>
      </c>
      <c r="J191" s="10" t="inlineStr">
        <is>
          <t>Doorkeeper</t>
        </is>
      </c>
      <c r="K191" s="10" t="inlineStr">
        <is>
          <t>オンライン</t>
        </is>
      </c>
      <c r="L191" s="10" t="inlineStr">
        <is>
          <t>Webセミナー（URLは主催企業からメールでお知らせします） オンライン</t>
        </is>
      </c>
      <c r="M191" s="10" t="inlineStr">
        <is>
          <t>営業・マーケ・CS</t>
        </is>
      </c>
      <c r="N191" s="10" t="inlineStr">
        <is>
          <t>AIエージェント</t>
        </is>
      </c>
      <c r="O191" s="12" t="inlineStr">
        <is>
          <t>○</t>
        </is>
      </c>
      <c r="P191" s="13" t="n">
        <v>0</v>
      </c>
      <c r="Q191" s="12" t="inlineStr">
        <is>
          <t>参加者数</t>
        </is>
      </c>
      <c r="R191" s="14" t="n"/>
      <c r="S191" s="10" t="n"/>
      <c r="T191" s="10" t="inlineStr">
        <is>
          <t xml:space="preserve"> 本セミナーはWebセミナーです 参加方法（URL）は主催企業より直接メールにてご連絡いたします。 「eventhub.jp」「osslabo.com」「majisemi.com」からのメールが迷惑メールとならないよう、メールの設定をご確認下さい。 本セミナーは、10:00～23:59のお好きな時間にご視聴いただけます。 概要 昨今、生成AIの急速な進化によって、AIが未知の脆弱性を発見し、瞬時に攻撃手法を組み立てる時代が現実のものとな</t>
        </is>
      </c>
      <c r="U191" s="15" t="inlineStr">
        <is>
          <t>https://majisemi-security.doorkeeper.jp/events/198139</t>
        </is>
      </c>
      <c r="V191" s="10" t="n"/>
      <c r="W191" s="10" t="inlineStr">
        <is>
          <t>本文一致</t>
        </is>
      </c>
      <c r="X191" s="10" t="n"/>
    </row>
    <row r="192">
      <c r="A192" s="10" t="n">
        <v>191</v>
      </c>
      <c r="B192" s="11" t="n">
        <v>46232</v>
      </c>
      <c r="C192" s="11" t="n">
        <v>46232</v>
      </c>
      <c r="D192" s="10">
        <f>MONTH(B192)&amp;"月"</f>
        <v/>
      </c>
      <c r="E192" s="12" t="n">
        <v>1</v>
      </c>
      <c r="F192" s="10" t="n"/>
      <c r="G192" s="10" t="inlineStr">
        <is>
          <t>【Studio plume主催】Manusで加速させるビジネス画像戦略!AI画像生成実践講座</t>
        </is>
      </c>
      <c r="H192" s="10" t="inlineStr">
        <is>
          <t>株式会社Femme Creatives</t>
        </is>
      </c>
      <c r="I192" s="10" t="n"/>
      <c r="J192" s="10" t="inlineStr">
        <is>
          <t>こくちーずプロ</t>
        </is>
      </c>
      <c r="K192" s="10" t="inlineStr">
        <is>
          <t>オンライン</t>
        </is>
      </c>
      <c r="L192" s="10" t="inlineStr">
        <is>
          <t>オンライン 日本</t>
        </is>
      </c>
      <c r="M192" s="10" t="inlineStr">
        <is>
          <t>生産性向上・業務効率化</t>
        </is>
      </c>
      <c r="N192" s="10" t="inlineStr">
        <is>
          <t>AIエージェント</t>
        </is>
      </c>
      <c r="O192" s="12" t="inlineStr">
        <is>
          <t>◎</t>
        </is>
      </c>
      <c r="P192" s="13" t="n">
        <v>3</v>
      </c>
      <c r="Q192" s="12" t="inlineStr">
        <is>
          <t>イベント参加 3/30</t>
        </is>
      </c>
      <c r="R192" s="14" t="n">
        <v>30</v>
      </c>
      <c r="S192" s="10" t="n"/>
      <c r="T192" s="10" t="inlineStr">
        <is>
          <t xml:space="preserve">「AIで画像を作ってみたいけれど、思い通りの画像ができない…」 「自分のビジネス（SNS、パンフレット、広告など）にどう活かせばいいかわからない…」 そんなお悩みを持つ方に向けた、 AI画像生成実践講座 を開催いたします！ 今回は、目標を伝えると自律的に作業を実行するAIエージェント「Manus」を活用し、思い通りの画像を生成するための具体的なワークフローを学びます。初心者の方でも安心してご参加いただける内容です。 ■ 開催概要 項目 </t>
        </is>
      </c>
      <c r="U192" s="15" t="inlineStr">
        <is>
          <t>https://www.kokuchpro.com/event/9c7c3edf4ceb4ddd42df93774e27be83/</t>
        </is>
      </c>
      <c r="V192" s="10" t="n"/>
      <c r="W192" s="10" t="inlineStr">
        <is>
          <t>タイトル一致</t>
        </is>
      </c>
      <c r="X192" s="10" t="n"/>
    </row>
    <row r="193">
      <c r="A193" s="10" t="n">
        <v>192</v>
      </c>
      <c r="B193" s="11" t="n">
        <v>46232</v>
      </c>
      <c r="C193" s="11" t="n">
        <v>46234</v>
      </c>
      <c r="D193" s="10">
        <f>MONTH(B193)&amp;"月"</f>
        <v/>
      </c>
      <c r="E193" s="12" t="n">
        <v>3</v>
      </c>
      <c r="F193" s="10" t="inlineStr">
        <is>
          <t>07/29、07/30、07/31</t>
        </is>
      </c>
      <c r="G193" s="10" t="inlineStr">
        <is>
          <t>イプロスAI 2026 夏 ｜AIイベント詳細（展示会・セミナー・講演会）</t>
        </is>
      </c>
      <c r="H193" s="10" t="inlineStr">
        <is>
          <t>株式会社イプロス</t>
        </is>
      </c>
      <c r="I193" s="10" t="n"/>
      <c r="J193" s="10" t="inlineStr">
        <is>
          <t>AIsmiley</t>
        </is>
      </c>
      <c r="K193" s="10" t="inlineStr">
        <is>
          <t>会場（展示会/イベント）</t>
        </is>
      </c>
      <c r="L193" s="10" t="inlineStr">
        <is>
          <t>有明GYM-EX（ジメックス）</t>
        </is>
      </c>
      <c r="M193" s="10" t="inlineStr">
        <is>
          <t>生産管理・製造・SCM</t>
        </is>
      </c>
      <c r="N193" s="10" t="inlineStr">
        <is>
          <t>AIエージェント</t>
        </is>
      </c>
      <c r="O193" s="12" t="inlineStr">
        <is>
          <t>○</t>
        </is>
      </c>
      <c r="P193" s="13" t="n"/>
      <c r="Q193" s="12" t="inlineStr">
        <is>
          <t>不明</t>
        </is>
      </c>
      <c r="R193" s="14" t="n"/>
      <c r="S193" s="10" t="inlineStr">
        <is>
          <t>全3回の合計</t>
        </is>
      </c>
      <c r="T193" s="10" t="inlineStr">
        <is>
          <t>「イプロスAI 2026 夏」は、“明日から使えるAIが見つかる展示会”として開催する展示会です。 「第1回 AI/DX 経営課題の解決展」「第2回 AI/DX 営業・マーケティング展」の2展示会で構成され、生成AIやAIエージェントをはじめ、営業DX、業務自動化、データ活用、バックオフィスDX、製造業DXなど、企業の課題解決につながる最新AI・DXソリューションが集結します。 AIを導入したい。業務をもっと効率化したい。営業やマーケテ</t>
        </is>
      </c>
      <c r="U193" s="15" t="inlineStr">
        <is>
          <t>https://aismiley.co.jp/event_detail/iprosai-summer-20260729/</t>
        </is>
      </c>
      <c r="V193" s="10" t="n"/>
      <c r="W193" s="10" t="inlineStr">
        <is>
          <t>本文一致</t>
        </is>
      </c>
      <c r="X193" s="10" t="n"/>
    </row>
    <row r="194">
      <c r="A194" s="10" t="n">
        <v>193</v>
      </c>
      <c r="B194" s="11" t="n">
        <v>46232</v>
      </c>
      <c r="C194" s="11" t="n">
        <v>46234</v>
      </c>
      <c r="D194" s="10">
        <f>MONTH(B194)&amp;"月"</f>
        <v/>
      </c>
      <c r="E194" s="12" t="n">
        <v>1</v>
      </c>
      <c r="F194" s="10" t="n"/>
      <c r="G194" s="10" t="inlineStr">
        <is>
          <t>イプロスAI 2026 夏（講演：富士通「自社で実証。AIエージェントがもたらす別次元の業務変革」）</t>
        </is>
      </c>
      <c r="H194" s="10" t="inlineStr">
        <is>
          <t>イプロス</t>
        </is>
      </c>
      <c r="I194" s="10" t="n"/>
      <c r="J194" s="10" t="inlineStr">
        <is>
          <t>個別調査（公式サイト・PR TIMES等）</t>
        </is>
      </c>
      <c r="K194" s="10" t="inlineStr">
        <is>
          <t>会場</t>
        </is>
      </c>
      <c r="L194" s="10" t="inlineStr">
        <is>
          <t>有明GYM-EX</t>
        </is>
      </c>
      <c r="M194" s="10" t="inlineStr">
        <is>
          <t>生産管理・製造・SCM</t>
        </is>
      </c>
      <c r="N194" s="10" t="inlineStr">
        <is>
          <t>AIエージェント</t>
        </is>
      </c>
      <c r="O194" s="12" t="inlineStr">
        <is>
          <t>◎</t>
        </is>
      </c>
      <c r="P194" s="13" t="n">
        <v>10000</v>
      </c>
      <c r="Q194" s="12" t="inlineStr">
        <is>
          <t>予定来場者数</t>
        </is>
      </c>
      <c r="R194" s="14" t="n"/>
      <c r="S194" s="10" t="inlineStr">
        <is>
          <t>実績値は未確認。予定値は検索要約から取得した</t>
        </is>
      </c>
      <c r="T194" s="10" t="inlineStr">
        <is>
          <t>製造業DXを含むAIソリューションの展示会。7/29の富士通の講演は満員となった。</t>
        </is>
      </c>
      <c r="U194" s="15" t="inlineStr">
        <is>
          <t>https://ex.ipros.jp/expo/iprosai/</t>
        </is>
      </c>
      <c r="V194" s="15" t="inlineStr">
        <is>
          <t>https://prtimes.jp/main/html/rd/p/000000144.000001332.html</t>
        </is>
      </c>
      <c r="W194" s="10" t="inlineStr">
        <is>
          <t>個別確認</t>
        </is>
      </c>
      <c r="X194" s="10" t="n"/>
    </row>
    <row r="195">
      <c r="A195" s="10" t="n">
        <v>194</v>
      </c>
      <c r="B195" s="11" t="n">
        <v>46232</v>
      </c>
      <c r="C195" s="11" t="n">
        <v>46232</v>
      </c>
      <c r="D195" s="10">
        <f>MONTH(B195)&amp;"月"</f>
        <v/>
      </c>
      <c r="E195" s="12" t="n">
        <v>1</v>
      </c>
      <c r="F195" s="10" t="n"/>
      <c r="G195" s="10" t="inlineStr">
        <is>
          <t>エグゼクティブ・エクスチェンジ： エージェント型AIとエンタープライズ・リーダーシップの未来</t>
        </is>
      </c>
      <c r="H195" s="10" t="inlineStr">
        <is>
          <t>（記載なし）</t>
        </is>
      </c>
      <c r="I195" s="10" t="inlineStr">
        <is>
          <t>マジセミ株式会社</t>
        </is>
      </c>
      <c r="J195" s="10" t="inlineStr">
        <is>
          <t>Doorkeeper</t>
        </is>
      </c>
      <c r="K195" s="10" t="inlineStr">
        <is>
          <t>オンライン</t>
        </is>
      </c>
      <c r="L195" s="10" t="inlineStr">
        <is>
          <t>Webセミナー（URLは主催企業からメールでお知らせします） オンライン</t>
        </is>
      </c>
      <c r="M195" s="10" t="inlineStr">
        <is>
          <t>生産性向上・業務効率化</t>
        </is>
      </c>
      <c r="N195" s="10" t="inlineStr">
        <is>
          <t>AIエージェント</t>
        </is>
      </c>
      <c r="O195" s="12" t="inlineStr">
        <is>
          <t>◎</t>
        </is>
      </c>
      <c r="P195" s="13" t="n">
        <v>0</v>
      </c>
      <c r="Q195" s="12" t="inlineStr">
        <is>
          <t>参加者数</t>
        </is>
      </c>
      <c r="R195" s="14" t="n"/>
      <c r="S195" s="10" t="n"/>
      <c r="T195" s="10" t="inlineStr">
        <is>
          <t xml:space="preserve"> 本セミナーはWebセミナーです 参加方法（URL）は主催企業より直接メールにてご連絡いたします。 「event.nutanix.com」「osslabo.com」「majisemi.com」からのメールが迷惑メールとならないよう、メールの設定をご確認ください。 Nutanix主催の「エグゼクティブ・エクスチェンジ」にぜひご参加ください。 本プログラムは、企業向けテクノロジーの次なる展望を模索するCIOおよびIT部門経営幹部やご担当者の</t>
        </is>
      </c>
      <c r="U195" s="15" t="inlineStr">
        <is>
          <t>https://osslabo.doorkeeper.jp/events/198182</t>
        </is>
      </c>
      <c r="V195" s="10" t="n"/>
      <c r="W195" s="10" t="inlineStr">
        <is>
          <t>タイトル一致</t>
        </is>
      </c>
      <c r="X195" s="10" t="n"/>
    </row>
    <row r="196">
      <c r="A196" s="10" t="n">
        <v>195</v>
      </c>
      <c r="B196" s="11" t="n">
        <v>46232</v>
      </c>
      <c r="C196" s="11" t="n">
        <v>46232</v>
      </c>
      <c r="D196" s="10">
        <f>MONTH(B196)&amp;"月"</f>
        <v/>
      </c>
      <c r="E196" s="12" t="n">
        <v>1</v>
      </c>
      <c r="F196" s="10" t="n"/>
      <c r="G196" s="10" t="inlineStr">
        <is>
          <t>コマース＆マーケティングのAI活用戦略  AI Commerce Forum Tokyo 2026</t>
        </is>
      </c>
      <c r="H196" s="10" t="inlineStr">
        <is>
          <t>パーフェクト株式会社 [共催] SparkLabs Taiwan</t>
        </is>
      </c>
      <c r="I196" s="10" t="n"/>
      <c r="J196" s="10" t="inlineStr">
        <is>
          <t>EventRegist</t>
        </is>
      </c>
      <c r="K196" s="10" t="inlineStr">
        <is>
          <t>会場</t>
        </is>
      </c>
      <c r="L196" s="10" t="inlineStr">
        <is>
          <t>東京都港区産業振興センター11階 東京都 港区芝 五丁目36番4号 札の辻スクエア 11F</t>
        </is>
      </c>
      <c r="M196" s="10" t="inlineStr">
        <is>
          <t>営業・マーケ・CS</t>
        </is>
      </c>
      <c r="N196" s="10" t="inlineStr">
        <is>
          <t>AIエージェント</t>
        </is>
      </c>
      <c r="O196" s="12" t="inlineStr">
        <is>
          <t>○</t>
        </is>
      </c>
      <c r="P196" s="13" t="n"/>
      <c r="Q196" s="12" t="inlineStr">
        <is>
          <t>不明</t>
        </is>
      </c>
      <c r="R196" s="14" t="n"/>
      <c r="S196" s="10" t="n"/>
      <c r="T196" s="10" t="inlineStr">
        <is>
          <t xml:space="preserve"> AIは「バズワード」から「ビジネス実装」のフェーズへ突入！ 「AI Commerce Forum Tokyo 2026」では、共催パートナーとして台湾と日本を結ぶアジア有数のAI特化型アクセラレーター兼ベンチャーキャピタル「SparkLabs Taiwan」を迎え、コマース・マーケティング領域におけるAI活用の最前線に迫ります。 当日は、ベンチャーキャピタル、ブランド、リテール、広告・制作代理店、インテグレーターなど、さまざまな業界の</t>
        </is>
      </c>
      <c r="U196" s="15" t="inlineStr">
        <is>
          <t>https://eventregist.com/e/AIForum2026</t>
        </is>
      </c>
      <c r="V196" s="10" t="n"/>
      <c r="W196" s="10" t="inlineStr">
        <is>
          <t>本文一致</t>
        </is>
      </c>
      <c r="X196" s="10" t="n"/>
    </row>
    <row r="197">
      <c r="A197" s="10" t="n">
        <v>196</v>
      </c>
      <c r="B197" s="11" t="n">
        <v>46233</v>
      </c>
      <c r="C197" s="11" t="n">
        <v>46233</v>
      </c>
      <c r="D197" s="10">
        <f>MONTH(B197)&amp;"月"</f>
        <v/>
      </c>
      <c r="E197" s="12" t="n">
        <v>1</v>
      </c>
      <c r="F197" s="10" t="n"/>
      <c r="G197" s="10" t="inlineStr">
        <is>
          <t>AIが自社のTableauを操作する世界へ：Tableau MCP超入門</t>
        </is>
      </c>
      <c r="H197" s="10" t="inlineStr">
        <is>
          <t>アゼスト / Azest</t>
        </is>
      </c>
      <c r="I197" s="10" t="n"/>
      <c r="J197" s="10" t="inlineStr">
        <is>
          <t>connpass</t>
        </is>
      </c>
      <c r="K197" s="10" t="inlineStr">
        <is>
          <t>オンライン</t>
        </is>
      </c>
      <c r="L197" s="10" t="inlineStr">
        <is>
          <t>オンライン</t>
        </is>
      </c>
      <c r="M197" s="10" t="inlineStr">
        <is>
          <t>技術・AI全般</t>
        </is>
      </c>
      <c r="N197" s="10" t="inlineStr">
        <is>
          <t>MCP</t>
        </is>
      </c>
      <c r="O197" s="12" t="inlineStr">
        <is>
          <t>○</t>
        </is>
      </c>
      <c r="P197" s="13" t="n">
        <v>75</v>
      </c>
      <c r="Q197" s="12" t="inlineStr">
        <is>
          <t>参加者数</t>
        </is>
      </c>
      <c r="R197" s="14" t="n">
        <v>100</v>
      </c>
      <c r="S197" s="10" t="n"/>
      <c r="T197" s="10" t="n"/>
      <c r="U197" s="15" t="inlineStr">
        <is>
          <t>https://azest.connpass.com/event/400048/</t>
        </is>
      </c>
      <c r="V197" s="10" t="n"/>
      <c r="W197" s="10" t="inlineStr">
        <is>
          <t>タイトル一致</t>
        </is>
      </c>
      <c r="X197" s="10" t="n"/>
    </row>
    <row r="198">
      <c r="A198" s="10" t="n">
        <v>197</v>
      </c>
      <c r="B198" s="11" t="n">
        <v>46233</v>
      </c>
      <c r="C198" s="11" t="n">
        <v>46233</v>
      </c>
      <c r="D198" s="10">
        <f>MONTH(B198)&amp;"月"</f>
        <v/>
      </c>
      <c r="E198" s="12" t="n">
        <v>1</v>
      </c>
      <c r="F198" s="10" t="n"/>
      <c r="G198" s="10" t="inlineStr">
        <is>
          <t>AIを導入したのになぜ成果が出ないのか?</t>
        </is>
      </c>
      <c r="H198" s="10" t="inlineStr">
        <is>
          <t>SBモバイルサービス株式会社</t>
        </is>
      </c>
      <c r="I198" s="10" t="n"/>
      <c r="J198" s="10" t="inlineStr">
        <is>
          <t>こくちーずプロ</t>
        </is>
      </c>
      <c r="K198" s="10" t="inlineStr">
        <is>
          <t>オンライン</t>
        </is>
      </c>
      <c r="L198" s="10" t="inlineStr">
        <is>
          <t>オンライン 日本</t>
        </is>
      </c>
      <c r="M198" s="10" t="inlineStr">
        <is>
          <t>生産性向上・業務効率化</t>
        </is>
      </c>
      <c r="N198" s="10" t="inlineStr">
        <is>
          <t>AIエージェント</t>
        </is>
      </c>
      <c r="O198" s="12" t="inlineStr">
        <is>
          <t>○</t>
        </is>
      </c>
      <c r="P198" s="13" t="n">
        <v>2</v>
      </c>
      <c r="Q198" s="12" t="inlineStr">
        <is>
          <t>イベント参加 2/30</t>
        </is>
      </c>
      <c r="R198" s="14" t="n">
        <v>30</v>
      </c>
      <c r="S198" s="10" t="n"/>
      <c r="T198" s="10" t="inlineStr">
        <is>
          <t>AIを導入したのに、なぜ成果が出ないのか？ ～AI活用が定着する企業と定着しない企業の違い～ ソフトバンクグループ企業 × AI・DXコンサルティング会社による共同開催！ SBモバイルサービス株式会社 と DXコンサルティングジャパン株式会社 が共同開催する、 経営者・DX推進責任者向けセミナー です。 AI導入後に多くの企業が抱える課題をもとに、 AIを成果につなげるための考え方から、最新生成AIの活用方法まで実演を交えて解説します。</t>
        </is>
      </c>
      <c r="U198" s="15" t="inlineStr">
        <is>
          <t>https://www.kokuchpro.com/event/c851dfe5c2ac166452d1af36b30a07c9/</t>
        </is>
      </c>
      <c r="V198" s="10" t="n"/>
      <c r="W198" s="10" t="inlineStr">
        <is>
          <t>本文一致</t>
        </is>
      </c>
      <c r="X198" s="10" t="n"/>
    </row>
    <row r="199">
      <c r="A199" s="10" t="n">
        <v>198</v>
      </c>
      <c r="B199" s="11" t="n">
        <v>46233</v>
      </c>
      <c r="C199" s="11" t="n">
        <v>46233</v>
      </c>
      <c r="D199" s="10">
        <f>MONTH(B199)&amp;"月"</f>
        <v/>
      </c>
      <c r="E199" s="12" t="n">
        <v>1</v>
      </c>
      <c r="F199" s="10" t="n"/>
      <c r="G199" s="10" t="inlineStr">
        <is>
          <t>AIエージェントマニアNight #4 〜AIエージェント×セールス〜</t>
        </is>
      </c>
      <c r="H199" s="10" t="inlineStr">
        <is>
          <t>マネーフォワード</t>
        </is>
      </c>
      <c r="I199" s="10" t="n"/>
      <c r="J199" s="10" t="inlineStr">
        <is>
          <t>connpass</t>
        </is>
      </c>
      <c r="K199" s="10" t="inlineStr">
        <is>
          <t>会場</t>
        </is>
      </c>
      <c r="L199" s="10" t="inlineStr">
        <is>
          <t>東京都港区芝浦3-1-21 msb Tamachi 田町ステーションタワーS 21F</t>
        </is>
      </c>
      <c r="M199" s="10" t="inlineStr">
        <is>
          <t>営業・マーケ・CS</t>
        </is>
      </c>
      <c r="N199" s="10" t="inlineStr">
        <is>
          <t>AIエージェント</t>
        </is>
      </c>
      <c r="O199" s="12" t="inlineStr">
        <is>
          <t>◎</t>
        </is>
      </c>
      <c r="P199" s="13" t="n">
        <v>48</v>
      </c>
      <c r="Q199" s="12" t="inlineStr">
        <is>
          <t>参加者数</t>
        </is>
      </c>
      <c r="R199" s="14" t="n">
        <v>90</v>
      </c>
      <c r="S199" s="10" t="n"/>
      <c r="T199" s="10" t="n"/>
      <c r="U199" s="15" t="inlineStr">
        <is>
          <t>https://moneyforward.connpass.com/event/396660/</t>
        </is>
      </c>
      <c r="V199" s="10" t="n"/>
      <c r="W199" s="10" t="inlineStr">
        <is>
          <t>タイトル一致</t>
        </is>
      </c>
      <c r="X199" s="10" t="n"/>
    </row>
    <row r="200">
      <c r="A200" s="10" t="n">
        <v>199</v>
      </c>
      <c r="B200" s="11" t="n">
        <v>46233</v>
      </c>
      <c r="C200" s="11" t="n">
        <v>46234</v>
      </c>
      <c r="D200" s="10">
        <f>MONTH(B200)&amp;"月"</f>
        <v/>
      </c>
      <c r="E200" s="12" t="n">
        <v>1</v>
      </c>
      <c r="F200" s="10" t="n"/>
      <c r="G200" s="10" t="inlineStr">
        <is>
          <t>AI駆動開発カンファレンス 2026夏</t>
        </is>
      </c>
      <c r="H200" s="10" t="inlineStr">
        <is>
          <t>AI駆動開発カンファレンス実行委員会</t>
        </is>
      </c>
      <c r="I200" s="10" t="n"/>
      <c r="J200" s="10" t="inlineStr">
        <is>
          <t>個別調査（公式サイト・PR TIMES等）</t>
        </is>
      </c>
      <c r="K200" s="10" t="inlineStr">
        <is>
          <t>ハイブリッド</t>
        </is>
      </c>
      <c r="L200" s="10" t="inlineStr">
        <is>
          <t>日本マイクロソフト品川オフィス＋YouTube Live</t>
        </is>
      </c>
      <c r="M200" s="10" t="inlineStr">
        <is>
          <t>開発生産性</t>
        </is>
      </c>
      <c r="N200" s="10" t="inlineStr">
        <is>
          <t>AIエージェント</t>
        </is>
      </c>
      <c r="O200" s="12" t="inlineStr">
        <is>
          <t>○</t>
        </is>
      </c>
      <c r="P200" s="13" t="n">
        <v>3860</v>
      </c>
      <c r="Q200" s="12" t="inlineStr">
        <is>
          <t>申込数</t>
        </is>
      </c>
      <c r="R200" s="14" t="n"/>
      <c r="S200" s="10" t="inlineStr">
        <is>
          <t>オンライン申込3,560名（定員4,500名）と会場300名（満席）の合計。connpassの表示</t>
        </is>
      </c>
      <c r="T200" s="10" t="inlineStr">
        <is>
          <t>GitHub CopilotやCursorなどのコーディングエージェントを使い、開発ライフサイクル全体をAIで進める方法を扱うカンファレンス。</t>
        </is>
      </c>
      <c r="U200" s="15" t="inlineStr">
        <is>
          <t>https://aid.connpass.com/event/392229/</t>
        </is>
      </c>
      <c r="V200" s="15" t="inlineStr">
        <is>
          <t>https://aid.connpass.com/event/392230/</t>
        </is>
      </c>
      <c r="W200" s="10" t="inlineStr">
        <is>
          <t>個別確認</t>
        </is>
      </c>
      <c r="X200" s="10" t="inlineStr">
        <is>
          <t>開発者向け</t>
        </is>
      </c>
    </row>
    <row r="201">
      <c r="A201" s="10" t="n">
        <v>200</v>
      </c>
      <c r="B201" s="11" t="n">
        <v>46233</v>
      </c>
      <c r="C201" s="11" t="n">
        <v>46234</v>
      </c>
      <c r="D201" s="10">
        <f>MONTH(B201)&amp;"月"</f>
        <v/>
      </c>
      <c r="E201" s="12" t="n">
        <v>1</v>
      </c>
      <c r="F201" s="10" t="n"/>
      <c r="G201" s="10" t="inlineStr">
        <is>
          <t>Google Cloud Next Tokyo 26</t>
        </is>
      </c>
      <c r="H201" s="10" t="inlineStr">
        <is>
          <t>グーグル・クラウド・ジャパン</t>
        </is>
      </c>
      <c r="I201" s="10" t="n"/>
      <c r="J201" s="10" t="inlineStr">
        <is>
          <t>個別調査（公式サイト・PR TIMES等）</t>
        </is>
      </c>
      <c r="K201" s="10" t="inlineStr">
        <is>
          <t>会場</t>
        </is>
      </c>
      <c r="L201" s="10" t="inlineStr">
        <is>
          <t>東京ビッグサイト南展示棟</t>
        </is>
      </c>
      <c r="M201" s="10" t="inlineStr">
        <is>
          <t>大型カンファレンス・展示会</t>
        </is>
      </c>
      <c r="N201" s="10" t="inlineStr">
        <is>
          <t>AIエージェント</t>
        </is>
      </c>
      <c r="O201" s="12" t="inlineStr">
        <is>
          <t>◎</t>
        </is>
      </c>
      <c r="P201" s="13" t="n"/>
      <c r="Q201" s="12" t="inlineStr">
        <is>
          <t>不明</t>
        </is>
      </c>
      <c r="R201" s="14" t="n"/>
      <c r="S201" s="10" t="n"/>
      <c r="T201" s="10" t="inlineStr">
        <is>
          <t>基調講演のテーマは「AIエージェントは検証から本番運用へ」。SOMPOが作った1万体超のAIエージェントなどを紹介した。セッション数は200以上。</t>
        </is>
      </c>
      <c r="U201" s="15" t="inlineStr">
        <is>
          <t>https://xtech.nikkei.com/atcl/nxt/news/24/03322/</t>
        </is>
      </c>
      <c r="V201" s="10" t="n"/>
      <c r="W201" s="10" t="inlineStr">
        <is>
          <t>個別確認</t>
        </is>
      </c>
      <c r="X201" s="10" t="n"/>
    </row>
    <row r="202">
      <c r="A202" s="10" t="n">
        <v>201</v>
      </c>
      <c r="B202" s="11" t="n">
        <v>46233</v>
      </c>
      <c r="C202" s="11" t="n">
        <v>46233</v>
      </c>
      <c r="D202" s="10">
        <f>MONTH(B202)&amp;"月"</f>
        <v/>
      </c>
      <c r="E202" s="12" t="n">
        <v>1</v>
      </c>
      <c r="F202" s="10" t="n"/>
      <c r="G202" s="10" t="inlineStr">
        <is>
          <t>Google Workspace Studioで実現する、 "AIが働く"業務自動化 最前線</t>
        </is>
      </c>
      <c r="H202" s="10" t="inlineStr">
        <is>
          <t>beyond</t>
        </is>
      </c>
      <c r="I202" s="10" t="n"/>
      <c r="J202" s="10" t="inlineStr">
        <is>
          <t>Doorkeeper</t>
        </is>
      </c>
      <c r="K202" s="10" t="inlineStr">
        <is>
          <t>不明</t>
        </is>
      </c>
      <c r="L202" s="10" t="n"/>
      <c r="M202" s="10" t="inlineStr">
        <is>
          <t>生産性向上・業務効率化</t>
        </is>
      </c>
      <c r="N202" s="10" t="inlineStr">
        <is>
          <t>AIエージェント</t>
        </is>
      </c>
      <c r="O202" s="12" t="inlineStr">
        <is>
          <t>○</t>
        </is>
      </c>
      <c r="P202" s="13" t="n">
        <v>4</v>
      </c>
      <c r="Q202" s="12" t="inlineStr">
        <is>
          <t>参加者数</t>
        </is>
      </c>
      <c r="R202" s="14" t="n"/>
      <c r="S202" s="10" t="n"/>
      <c r="T202" s="10" t="inlineStr">
        <is>
          <t xml:space="preserve"> ■セミナー概要 『生成AIの導入は進んでいるが、「使いこなし」で差がついている』 生成AIを業務で活用している企業が増える一方で、「効果的な活用方法がわからない」ために活用が進まないといった課題を抱える企業も多く存在しています。「導入するかどうか」ではなく「どの業務に、どう組み込むか」が すでに勝敗を分ける段階に入っています。 今回は、Google Workspaceの機能としてリリースされ、少し前に日本語表示にも対応になった 「Go</t>
        </is>
      </c>
      <c r="U202" s="15" t="inlineStr">
        <is>
          <t>https://beyond.doorkeeper.jp/events/198332</t>
        </is>
      </c>
      <c r="V202" s="10" t="n"/>
      <c r="W202" s="10" t="inlineStr">
        <is>
          <t>本文一致</t>
        </is>
      </c>
      <c r="X202" s="10" t="n"/>
    </row>
    <row r="203">
      <c r="A203" s="10" t="n">
        <v>202</v>
      </c>
      <c r="B203" s="11" t="n">
        <v>46233</v>
      </c>
      <c r="C203" s="11" t="n">
        <v>46233</v>
      </c>
      <c r="D203" s="10">
        <f>MONTH(B203)&amp;"月"</f>
        <v/>
      </c>
      <c r="E203" s="12" t="n">
        <v>1</v>
      </c>
      <c r="F203" s="10" t="n"/>
      <c r="G203" s="10" t="inlineStr">
        <is>
          <t>MCP徹底解説！Auth0×MCPで実現するAI Agent Ready</t>
        </is>
      </c>
      <c r="H203" s="10" t="inlineStr">
        <is>
          <t>株式会社マクニカ</t>
        </is>
      </c>
      <c r="I203" s="10" t="n"/>
      <c r="J203" s="10" t="inlineStr">
        <is>
          <t>ZDNET Japan イベント</t>
        </is>
      </c>
      <c r="K203" s="10" t="inlineStr">
        <is>
          <t>オンライン</t>
        </is>
      </c>
      <c r="L203" s="10" t="inlineStr">
        <is>
          <t>WEB</t>
        </is>
      </c>
      <c r="M203" s="10" t="inlineStr">
        <is>
          <t>生産性向上・業務効率化</t>
        </is>
      </c>
      <c r="N203" s="10" t="inlineStr">
        <is>
          <t>両方</t>
        </is>
      </c>
      <c r="O203" s="12" t="inlineStr">
        <is>
          <t>◎</t>
        </is>
      </c>
      <c r="P203" s="13" t="n"/>
      <c r="Q203" s="12" t="inlineStr">
        <is>
          <t>不明</t>
        </is>
      </c>
      <c r="R203" s="14" t="n"/>
      <c r="S203" s="10" t="n"/>
      <c r="T203" s="10" t="inlineStr">
        <is>
          <t>開催場所： WEB 開催日： 2026-07-30 AIエージェントの台頭により、ユーザーとサービスの関わり方は大きく変わりつつあります。 人はAIエージェントを介して外部ツールやデータへアクセスし、業務を遂行する時代が始まっています。 一方で、「誰が」「何に」「どこまでアクセスできるのか」を適切に管理することが、これまで以上に重要になっています。 その裏側で重要となるのが、安全かつシームレスな認証・認可の仕組みです。 本セミナーでは、</t>
        </is>
      </c>
      <c r="U203" s="15" t="inlineStr">
        <is>
          <t>https://japan.zdnet.com/event_info/30015006/</t>
        </is>
      </c>
      <c r="V203" s="10" t="n"/>
      <c r="W203" s="10" t="inlineStr">
        <is>
          <t>タイトル一致</t>
        </is>
      </c>
      <c r="X203" s="10" t="n"/>
    </row>
    <row r="204">
      <c r="A204" s="10" t="n">
        <v>203</v>
      </c>
      <c r="B204" s="11" t="n">
        <v>46233</v>
      </c>
      <c r="C204" s="11" t="n">
        <v>46273</v>
      </c>
      <c r="D204" s="10">
        <f>MONTH(B204)&amp;"月"</f>
        <v/>
      </c>
      <c r="E204" s="12" t="n">
        <v>1</v>
      </c>
      <c r="F204" s="10" t="n"/>
      <c r="G204" s="10" t="inlineStr">
        <is>
          <t>【博報堂】エース社員の"暗黙知"をチームの武器に～属人化から脱却し、誰でも成果を出せる「AI Ready」な組織へ～</t>
        </is>
      </c>
      <c r="H204" s="10" t="inlineStr">
        <is>
          <t>博報堂 BIZ GARAGE</t>
        </is>
      </c>
      <c r="I204" s="10" t="n"/>
      <c r="J204" s="10" t="inlineStr">
        <is>
          <t>Peatix</t>
        </is>
      </c>
      <c r="K204" s="10" t="inlineStr">
        <is>
          <t>オンライン</t>
        </is>
      </c>
      <c r="L204" s="10" t="n"/>
      <c r="M204" s="10" t="inlineStr">
        <is>
          <t>技術・AI全般</t>
        </is>
      </c>
      <c r="N204" s="10" t="inlineStr">
        <is>
          <t>AIエージェント</t>
        </is>
      </c>
      <c r="O204" s="12" t="inlineStr">
        <is>
          <t>△</t>
        </is>
      </c>
      <c r="P204" s="13" t="n"/>
      <c r="Q204" s="12" t="inlineStr">
        <is>
          <t>不明</t>
        </is>
      </c>
      <c r="R204" s="14" t="n"/>
      <c r="S204" s="10" t="n"/>
      <c r="T204" s="10" t="inlineStr">
        <is>
          <t>複数回開催: 2026年7月30日15:00-16:00、2026年9月8日(火)11:00-12:00（9月回申込締切9/3 15:00）無料LIVE配信・見逃し配信あり。エース社員の暗黙知をAIエージェント化</t>
        </is>
      </c>
      <c r="U204" s="15" t="inlineStr">
        <is>
          <t>https://peatix.com/event/5083577</t>
        </is>
      </c>
      <c r="V204" s="10" t="n"/>
      <c r="W204" s="10" t="inlineStr">
        <is>
          <t>本文一致</t>
        </is>
      </c>
      <c r="X204" s="10" t="n"/>
    </row>
    <row r="205">
      <c r="A205" s="10" t="n">
        <v>204</v>
      </c>
      <c r="B205" s="11" t="n">
        <v>46233</v>
      </c>
      <c r="C205" s="11" t="n">
        <v>46263</v>
      </c>
      <c r="D205" s="10">
        <f>MONTH(B205)&amp;"月"</f>
        <v/>
      </c>
      <c r="E205" s="12" t="n">
        <v>2</v>
      </c>
      <c r="F205" s="10" t="inlineStr">
        <is>
          <t>07/30、08/29</t>
        </is>
      </c>
      <c r="G205" s="10" t="inlineStr">
        <is>
          <t>【第6回】【初心者/中級者歓迎】Claude Codeもくもく会 @渋谷</t>
        </is>
      </c>
      <c r="H205" s="10" t="inlineStr">
        <is>
          <t>もくもくセキュリティAI会</t>
        </is>
      </c>
      <c r="I205" s="10" t="n"/>
      <c r="J205" s="10" t="inlineStr">
        <is>
          <t>connpass</t>
        </is>
      </c>
      <c r="K205" s="10" t="inlineStr">
        <is>
          <t>会場</t>
        </is>
      </c>
      <c r="L205" s="10" t="inlineStr">
        <is>
          <t>〒150-0002 東京都渋谷区渋谷2丁目14-13 岡崎ビル708</t>
        </is>
      </c>
      <c r="M205" s="10" t="inlineStr">
        <is>
          <t>開発生産性</t>
        </is>
      </c>
      <c r="N205" s="10" t="inlineStr">
        <is>
          <t>AIエージェント</t>
        </is>
      </c>
      <c r="O205" s="12" t="inlineStr">
        <is>
          <t>○</t>
        </is>
      </c>
      <c r="P205" s="13" t="n">
        <v>8</v>
      </c>
      <c r="Q205" s="12" t="inlineStr">
        <is>
          <t>参加者数</t>
        </is>
      </c>
      <c r="R205" s="14" t="n">
        <v>30</v>
      </c>
      <c r="S205" s="10" t="inlineStr">
        <is>
          <t>全2回の合計</t>
        </is>
      </c>
      <c r="T205" s="10" t="n"/>
      <c r="U205" s="15" t="inlineStr">
        <is>
          <t>https://mokumoku-infra-ai.connpass.com/event/401810/</t>
        </is>
      </c>
      <c r="V205" s="10" t="n"/>
      <c r="W205" s="10" t="inlineStr">
        <is>
          <t>タイトル一致</t>
        </is>
      </c>
      <c r="X205" s="10" t="n"/>
    </row>
    <row r="206">
      <c r="A206" s="10" t="n">
        <v>205</v>
      </c>
      <c r="B206" s="11" t="n">
        <v>46233</v>
      </c>
      <c r="C206" s="11" t="n">
        <v>46233</v>
      </c>
      <c r="D206" s="10">
        <f>MONTH(B206)&amp;"月"</f>
        <v/>
      </c>
      <c r="E206" s="12" t="n">
        <v>1</v>
      </c>
      <c r="F206" s="10" t="n"/>
      <c r="G206" s="10" t="inlineStr">
        <is>
          <t>アクロニスオンラインイベント、「Acronis Accelerate：自律型ITへのロードマップ」</t>
        </is>
      </c>
      <c r="H206" s="10" t="inlineStr">
        <is>
          <t>アクロニス・ジャパン株式会社</t>
        </is>
      </c>
      <c r="I206" s="10" t="n"/>
      <c r="J206" s="10" t="inlineStr">
        <is>
          <t>ZDNET Japan イベント</t>
        </is>
      </c>
      <c r="K206" s="10" t="inlineStr">
        <is>
          <t>オンライン</t>
        </is>
      </c>
      <c r="L206" s="10" t="inlineStr">
        <is>
          <t>WEB</t>
        </is>
      </c>
      <c r="M206" s="10" t="inlineStr">
        <is>
          <t>生産性向上・業務効率化</t>
        </is>
      </c>
      <c r="N206" s="10" t="inlineStr">
        <is>
          <t>AIエージェント</t>
        </is>
      </c>
      <c r="O206" s="12" t="inlineStr">
        <is>
          <t>◎</t>
        </is>
      </c>
      <c r="P206" s="13" t="n"/>
      <c r="Q206" s="12" t="inlineStr">
        <is>
          <t>不明</t>
        </is>
      </c>
      <c r="R206" s="14" t="n"/>
      <c r="S206" s="10" t="n"/>
      <c r="T206" s="10" t="inlineStr">
        <is>
          <t>生成AIの活用が進む中、企業のIT運用やマネージドサービス市場は、自律化を前提とした大きな転換期を迎えています。本イベントでは、アクロニスCEOのヤン＝ヤープ（JJ）・ヤーガーをはじめとするアクロニス経営陣やグローバルIT業界を代表するリーダーらが登壇し、AIネイティブなプラットフォームを基盤とした自律型IT（Autonomous IT）の実現に向けた戦略や、サイバーセキュリティと運用管理の統合を支える今後の製品ロードマップ、自社AIサ</t>
        </is>
      </c>
      <c r="U206" s="15" t="inlineStr">
        <is>
          <t>https://japan.zdnet.com/event_info/30015004/</t>
        </is>
      </c>
      <c r="V206" s="10" t="n"/>
      <c r="W206" s="10" t="inlineStr">
        <is>
          <t>タイトル一致</t>
        </is>
      </c>
      <c r="X206" s="10" t="n"/>
    </row>
    <row r="207">
      <c r="A207" s="10" t="n">
        <v>206</v>
      </c>
      <c r="B207" s="11" t="n">
        <v>46233</v>
      </c>
      <c r="C207" s="11" t="n">
        <v>46263</v>
      </c>
      <c r="D207" s="10">
        <f>MONTH(B207)&amp;"月"</f>
        <v/>
      </c>
      <c r="E207" s="12" t="n">
        <v>2</v>
      </c>
      <c r="F207" s="10" t="inlineStr">
        <is>
          <t>07/30、08/29</t>
        </is>
      </c>
      <c r="G207" s="10" t="inlineStr">
        <is>
          <t>生成AIエージェント 業務効率化のコツ、全公開 「作業はAIへ、判断は人へ」。この2か月で学んだこと、すべてお話しします</t>
        </is>
      </c>
      <c r="H207" s="10" t="inlineStr">
        <is>
          <t>ランマッチ</t>
        </is>
      </c>
      <c r="I207" s="10" t="n"/>
      <c r="J207" s="10" t="inlineStr">
        <is>
          <t>こくちーずプロ</t>
        </is>
      </c>
      <c r="K207" s="10" t="inlineStr">
        <is>
          <t>オンライン</t>
        </is>
      </c>
      <c r="L207" s="10" t="inlineStr">
        <is>
          <t>オンライン 日本</t>
        </is>
      </c>
      <c r="M207" s="10" t="inlineStr">
        <is>
          <t>生産性向上・業務効率化</t>
        </is>
      </c>
      <c r="N207" s="10" t="inlineStr">
        <is>
          <t>AIエージェント</t>
        </is>
      </c>
      <c r="O207" s="12" t="inlineStr">
        <is>
          <t>◎</t>
        </is>
      </c>
      <c r="P207" s="13" t="n">
        <v>0</v>
      </c>
      <c r="Q207" s="12" t="inlineStr">
        <is>
          <t>イベント参加 0/10</t>
        </is>
      </c>
      <c r="R207" s="14" t="n">
        <v>20</v>
      </c>
      <c r="S207" s="10" t="inlineStr">
        <is>
          <t>全2回の合計</t>
        </is>
      </c>
      <c r="T207" s="10" t="inlineStr">
        <is>
          <t>生成AIエージェント 業務効率化のコツ、全公開 「作業はAIへ、判断は人へ」。この2か月で学んだこと、すべてお話しします 新しい働き方では、プロモーションも営業も、企業や個人へのコンサル・コーチング・アドバイスも、基本は『自分ひとり』で回していくことになります。正直、大変です。 でも今は、生成AIエージェントという強力な相棒がいます。私自身この2か月ほど本気で学び、日々の仕事がガラリと変わりました。この回では、提案書のたたき台づくり、議</t>
        </is>
      </c>
      <c r="U207" s="15" t="inlineStr">
        <is>
          <t>https://www.kokuchpro.com/event/5bf8d52b0d847f6dec45bef3fbcc10fa/</t>
        </is>
      </c>
      <c r="V207" s="10" t="n"/>
      <c r="W207" s="10" t="inlineStr">
        <is>
          <t>タイトル一致</t>
        </is>
      </c>
      <c r="X207" s="10" t="n"/>
    </row>
    <row r="208">
      <c r="A208" s="10" t="n">
        <v>207</v>
      </c>
      <c r="B208" s="11" t="n">
        <v>46233</v>
      </c>
      <c r="C208" s="11" t="n">
        <v>46268</v>
      </c>
      <c r="D208" s="10">
        <f>MONTH(B208)&amp;"月"</f>
        <v/>
      </c>
      <c r="E208" s="12" t="n">
        <v>2</v>
      </c>
      <c r="F208" s="10" t="inlineStr">
        <is>
          <t>07/30、09/03</t>
        </is>
      </c>
      <c r="G208" s="10" t="inlineStr">
        <is>
          <t>１時間でAI秘書をつくる！ビジネスマンのためのClaude Code活用セミナー【実践編】</t>
        </is>
      </c>
      <c r="H208" s="10" t="inlineStr">
        <is>
          <t>Polyscape</t>
        </is>
      </c>
      <c r="I208" s="10" t="n"/>
      <c r="J208" s="10" t="inlineStr">
        <is>
          <t>connpass</t>
        </is>
      </c>
      <c r="K208" s="10" t="inlineStr">
        <is>
          <t>オンライン</t>
        </is>
      </c>
      <c r="L208" s="10" t="inlineStr">
        <is>
          <t>オンライン</t>
        </is>
      </c>
      <c r="M208" s="10" t="inlineStr">
        <is>
          <t>生産性向上・業務効率化</t>
        </is>
      </c>
      <c r="N208" s="10" t="inlineStr">
        <is>
          <t>AIエージェント</t>
        </is>
      </c>
      <c r="O208" s="12" t="inlineStr">
        <is>
          <t>◎</t>
        </is>
      </c>
      <c r="P208" s="13" t="n">
        <v>53</v>
      </c>
      <c r="Q208" s="12" t="inlineStr">
        <is>
          <t>参加者数</t>
        </is>
      </c>
      <c r="R208" s="14" t="n"/>
      <c r="S208" s="10" t="inlineStr">
        <is>
          <t>全2回の合計</t>
        </is>
      </c>
      <c r="T208" s="10" t="n"/>
      <c r="U208" s="15" t="inlineStr">
        <is>
          <t>https://polyscape.connpass.com/event/398438/</t>
        </is>
      </c>
      <c r="V208" s="10" t="n"/>
      <c r="W208" s="10" t="inlineStr">
        <is>
          <t>タイトル一致</t>
        </is>
      </c>
      <c r="X208" s="10" t="n"/>
    </row>
    <row r="209">
      <c r="A209" s="10" t="n">
        <v>208</v>
      </c>
      <c r="B209" s="11" t="n">
        <v>46234</v>
      </c>
      <c r="C209" s="11" t="n">
        <v>46234</v>
      </c>
      <c r="D209" s="10">
        <f>MONTH(B209)&amp;"月"</f>
        <v/>
      </c>
      <c r="E209" s="12" t="n">
        <v>1</v>
      </c>
      <c r="F209" s="10" t="n"/>
      <c r="G209" s="10" t="inlineStr">
        <is>
          <t>AIエージェント導入加速のため必要な“備え”とは ～Ciscoと描く「見えないリスク」の可視化と対策～</t>
        </is>
      </c>
      <c r="H209" s="10" t="inlineStr">
        <is>
          <t>株式会社マクニカ</t>
        </is>
      </c>
      <c r="I209" s="10" t="n"/>
      <c r="J209" s="10" t="inlineStr">
        <is>
          <t>ZDNET Japan イベント</t>
        </is>
      </c>
      <c r="K209" s="10" t="inlineStr">
        <is>
          <t>オンライン</t>
        </is>
      </c>
      <c r="L209" s="10" t="inlineStr">
        <is>
          <t>WEB</t>
        </is>
      </c>
      <c r="M209" s="10" t="inlineStr">
        <is>
          <t>生産性向上・業務効率化</t>
        </is>
      </c>
      <c r="N209" s="10" t="inlineStr">
        <is>
          <t>AIエージェント</t>
        </is>
      </c>
      <c r="O209" s="12" t="inlineStr">
        <is>
          <t>◎</t>
        </is>
      </c>
      <c r="P209" s="13" t="n"/>
      <c r="Q209" s="12" t="inlineStr">
        <is>
          <t>不明</t>
        </is>
      </c>
      <c r="R209" s="14" t="n"/>
      <c r="S209" s="10" t="n"/>
      <c r="T209" s="10" t="inlineStr">
        <is>
          <t>開催場所： WEB 開催日： 2026-07-31 生成AIの活用が急速に進展し、AIエージェントが自律的に業務を遂行する時代が到来しています。AIエージェントは企業の推進力にもなる一方で、下記に代表される可視化・セキュリティ・品質・コストなどの新たな課題も顕在化しています。 ・シャドーAI ・エージェントの暴走（意図しないアクセスによるデータ流出など） ・経路・ID・権限など守るべき対象の拡大と比例する運用負荷 ・AIエージェントの回</t>
        </is>
      </c>
      <c r="U209" s="15" t="inlineStr">
        <is>
          <t>https://japan.zdnet.com/event_info/30015008/</t>
        </is>
      </c>
      <c r="V209" s="10" t="n"/>
      <c r="W209" s="10" t="inlineStr">
        <is>
          <t>タイトル一致</t>
        </is>
      </c>
      <c r="X209" s="10" t="n"/>
    </row>
    <row r="210">
      <c r="A210" s="10" t="n">
        <v>209</v>
      </c>
      <c r="B210" s="11" t="n">
        <v>46234</v>
      </c>
      <c r="C210" s="11" t="n">
        <v>46234</v>
      </c>
      <c r="D210" s="10">
        <f>MONTH(B210)&amp;"月"</f>
        <v/>
      </c>
      <c r="E210" s="12" t="n">
        <v>1</v>
      </c>
      <c r="F210" s="10" t="n"/>
      <c r="G210" s="10" t="inlineStr">
        <is>
          <t>Microsoft Agent Frameworkの宣言型エージェントとワークフロー</t>
        </is>
      </c>
      <c r="H210" s="10" t="inlineStr">
        <is>
          <t>WeDX Talks</t>
        </is>
      </c>
      <c r="I210" s="10" t="n"/>
      <c r="J210" s="10" t="inlineStr">
        <is>
          <t>connpass</t>
        </is>
      </c>
      <c r="K210" s="10" t="inlineStr">
        <is>
          <t>オンライン</t>
        </is>
      </c>
      <c r="L210" s="10" t="inlineStr">
        <is>
          <t>オンライン</t>
        </is>
      </c>
      <c r="M210" s="10" t="inlineStr">
        <is>
          <t>生産性向上・業務効率化</t>
        </is>
      </c>
      <c r="N210" s="10" t="inlineStr">
        <is>
          <t>AIエージェント</t>
        </is>
      </c>
      <c r="O210" s="12" t="inlineStr">
        <is>
          <t>◎</t>
        </is>
      </c>
      <c r="P210" s="13" t="n">
        <v>16</v>
      </c>
      <c r="Q210" s="12" t="inlineStr">
        <is>
          <t>参加者数</t>
        </is>
      </c>
      <c r="R210" s="14" t="n">
        <v>35</v>
      </c>
      <c r="S210" s="10" t="n"/>
      <c r="T210" s="10" t="n"/>
      <c r="U210" s="15" t="inlineStr">
        <is>
          <t>https://wedxtalks.connpass.com/event/401566/</t>
        </is>
      </c>
      <c r="V210" s="10" t="n"/>
      <c r="W210" s="10" t="inlineStr">
        <is>
          <t>タイトル一致</t>
        </is>
      </c>
      <c r="X210" s="10" t="n"/>
    </row>
    <row r="211">
      <c r="A211" s="10" t="n">
        <v>210</v>
      </c>
      <c r="B211" s="11" t="n">
        <v>46234</v>
      </c>
      <c r="C211" s="11" t="n">
        <v>46234</v>
      </c>
      <c r="D211" s="10">
        <f>MONTH(B211)&amp;"月"</f>
        <v/>
      </c>
      <c r="E211" s="12" t="n">
        <v>1</v>
      </c>
      <c r="F211" s="10" t="n"/>
      <c r="G211" s="10" t="inlineStr">
        <is>
          <t>【エキスパート講座】【好評につき再演】非エンジニアのためのChatGPTワーク/Codex業務自動化・実践講座 Part2（2日間講座）</t>
        </is>
      </c>
      <c r="H211" s="10" t="inlineStr">
        <is>
          <t>一般社団法人ウェブ解析士協会 講座企画運営部（担当：沖本一生）</t>
        </is>
      </c>
      <c r="I211" s="10" t="n"/>
      <c r="J211" s="10" t="inlineStr">
        <is>
          <t>Doorkeeper</t>
        </is>
      </c>
      <c r="K211" s="10" t="inlineStr">
        <is>
          <t>不明</t>
        </is>
      </c>
      <c r="L211" s="10" t="n"/>
      <c r="M211" s="10" t="inlineStr">
        <is>
          <t>生産性向上・業務効率化</t>
        </is>
      </c>
      <c r="N211" s="10" t="inlineStr">
        <is>
          <t>AIエージェント</t>
        </is>
      </c>
      <c r="O211" s="12" t="inlineStr">
        <is>
          <t>◎</t>
        </is>
      </c>
      <c r="P211" s="13" t="n">
        <v>3</v>
      </c>
      <c r="Q211" s="12" t="inlineStr">
        <is>
          <t>参加者数</t>
        </is>
      </c>
      <c r="R211" s="14" t="n"/>
      <c r="S211" s="10" t="n"/>
      <c r="T211" s="10" t="inlineStr">
        <is>
          <t xml:space="preserve"> 講座概要 こちらの講座は、7/31（金）9:00～10:30、8/7（金）9:00～10:30 の２日間講座となります。 本講座は、AIを「チャット（対話）」として使う段階から卒業し、自律的に動く「エージェント（実行）」として使いこなすための実践型プログラムです。 最新のCodexを優秀なデジタルアシスタントとして迎え入れ、スライド作成、データ分析、コンテンツの量産、さらにはWebサイトの構築までを「自然言語の指示（プロンプト）」だけ</t>
        </is>
      </c>
      <c r="U211" s="15" t="inlineStr">
        <is>
          <t>https://web-mining.doorkeeper.jp/events/198326</t>
        </is>
      </c>
      <c r="V211" s="10" t="n"/>
      <c r="W211" s="10" t="inlineStr">
        <is>
          <t>タイトル一致</t>
        </is>
      </c>
      <c r="X211" s="10" t="n"/>
    </row>
    <row r="212">
      <c r="A212" s="10" t="n">
        <v>211</v>
      </c>
      <c r="B212" s="11" t="n">
        <v>46234</v>
      </c>
      <c r="C212" s="11" t="n">
        <v>46234</v>
      </c>
      <c r="D212" s="10">
        <f>MONTH(B212)&amp;"月"</f>
        <v/>
      </c>
      <c r="E212" s="12" t="n">
        <v>1</v>
      </c>
      <c r="F212" s="10" t="n"/>
      <c r="G212" s="10" t="inlineStr">
        <is>
          <t>【三宮】コーディングエージェントを使った開発テクニック Meet UP</t>
        </is>
      </c>
      <c r="H212" s="10" t="inlineStr">
        <is>
          <t>COPLI-NEXT</t>
        </is>
      </c>
      <c r="I212" s="10" t="n"/>
      <c r="J212" s="10" t="inlineStr">
        <is>
          <t>connpass</t>
        </is>
      </c>
      <c r="K212" s="10" t="inlineStr">
        <is>
          <t>会場</t>
        </is>
      </c>
      <c r="L212" s="10" t="inlineStr">
        <is>
          <t>兵庫県神戸市中央区​小野柄通７丁目１番１号​ 日本生命三宮駅前ビル11F</t>
        </is>
      </c>
      <c r="M212" s="10" t="inlineStr">
        <is>
          <t>開発生産性</t>
        </is>
      </c>
      <c r="N212" s="10" t="inlineStr">
        <is>
          <t>AIエージェント</t>
        </is>
      </c>
      <c r="O212" s="12" t="inlineStr">
        <is>
          <t>○</t>
        </is>
      </c>
      <c r="P212" s="13" t="n"/>
      <c r="Q212" s="12" t="inlineStr">
        <is>
          <t>不明</t>
        </is>
      </c>
      <c r="R212" s="14" t="n"/>
      <c r="S212" s="10" t="n"/>
      <c r="T212" s="10" t="n"/>
      <c r="U212" s="15" t="inlineStr">
        <is>
          <t>https://copli-next.connpass.com/event/398527/</t>
        </is>
      </c>
      <c r="V212" s="10" t="n"/>
      <c r="W212" s="10" t="inlineStr">
        <is>
          <t>タイトル一致</t>
        </is>
      </c>
      <c r="X212" s="10" t="n"/>
    </row>
    <row r="213">
      <c r="A213" s="10" t="n">
        <v>212</v>
      </c>
      <c r="B213" s="11" t="n">
        <v>46234</v>
      </c>
      <c r="C213" s="11" t="n">
        <v>46248</v>
      </c>
      <c r="D213" s="10">
        <f>MONTH(B213)&amp;"月"</f>
        <v/>
      </c>
      <c r="E213" s="12" t="n">
        <v>1</v>
      </c>
      <c r="F213" s="10" t="n"/>
      <c r="G213" s="10" t="inlineStr">
        <is>
          <t>【開催中】24セッション36名によるAIエージェント活用事例を徹底解剖 | AI Agent Day 2026 Summer</t>
        </is>
      </c>
      <c r="H213" s="10" t="inlineStr">
        <is>
          <t>AICX協会</t>
        </is>
      </c>
      <c r="I213" s="10" t="n"/>
      <c r="J213" s="10" t="inlineStr">
        <is>
          <t>Peatix</t>
        </is>
      </c>
      <c r="K213" s="10" t="inlineStr">
        <is>
          <t>オンライン</t>
        </is>
      </c>
      <c r="L213" s="10" t="n"/>
      <c r="M213" s="10" t="inlineStr">
        <is>
          <t>技術・AI全般</t>
        </is>
      </c>
      <c r="N213" s="10" t="inlineStr">
        <is>
          <t>AIエージェント</t>
        </is>
      </c>
      <c r="O213" s="12" t="inlineStr">
        <is>
          <t>○</t>
        </is>
      </c>
      <c r="P213" s="13" t="n"/>
      <c r="Q213" s="12" t="inlineStr">
        <is>
          <t>不明</t>
        </is>
      </c>
      <c r="R213" s="14" t="n"/>
      <c r="S213" s="10" t="n"/>
      <c r="T213" s="10" t="inlineStr">
        <is>
          <t>7/31-8/14 開催、アーカイブあり。24セッション36名、累計視聴登録12,000名</t>
        </is>
      </c>
      <c r="U213" s="15" t="inlineStr">
        <is>
          <t>https://peatix.com/event/4982007</t>
        </is>
      </c>
      <c r="V213" s="10" t="n"/>
      <c r="W213" s="10" t="inlineStr">
        <is>
          <t>タイトル一致</t>
        </is>
      </c>
      <c r="X213" s="10" t="n"/>
    </row>
    <row r="214">
      <c r="A214" s="10" t="n">
        <v>213</v>
      </c>
      <c r="B214" s="11" t="n">
        <v>46234</v>
      </c>
      <c r="C214" s="11" t="n">
        <v>46234</v>
      </c>
      <c r="D214" s="10">
        <f>MONTH(B214)&amp;"月"</f>
        <v/>
      </c>
      <c r="E214" s="12" t="n">
        <v>1</v>
      </c>
      <c r="F214" s="10" t="n"/>
      <c r="G214" s="10" t="inlineStr">
        <is>
          <t>情報処理学会 連続セミナー2026第5回：「AI駆動ソフトウェア開発最前線」(7月31日) 配布資料とアーカイブ配信</t>
        </is>
      </c>
      <c r="H214" s="10" t="inlineStr">
        <is>
          <t>情報処理学会</t>
        </is>
      </c>
      <c r="I214" s="10" t="n"/>
      <c r="J214" s="10" t="inlineStr">
        <is>
          <t>Peatix</t>
        </is>
      </c>
      <c r="K214" s="10" t="inlineStr">
        <is>
          <t>オンライン(アーカイブ)</t>
        </is>
      </c>
      <c r="L214" s="10" t="n"/>
      <c r="M214" s="10" t="inlineStr">
        <is>
          <t>開発生産性</t>
        </is>
      </c>
      <c r="N214" s="10" t="inlineStr">
        <is>
          <t>AIエージェント</t>
        </is>
      </c>
      <c r="O214" s="12" t="inlineStr">
        <is>
          <t>△</t>
        </is>
      </c>
      <c r="P214" s="13" t="n"/>
      <c r="Q214" s="12" t="inlineStr">
        <is>
          <t>不明</t>
        </is>
      </c>
      <c r="R214" s="14" t="n"/>
      <c r="S214" s="10" t="n"/>
      <c r="T214" s="10" t="inlineStr">
        <is>
          <t>タイトルに7月31日、配布資料とアーカイブ配信</t>
        </is>
      </c>
      <c r="U214" s="15" t="inlineStr">
        <is>
          <t>https://peatix.com/event/4987590</t>
        </is>
      </c>
      <c r="V214" s="10" t="n"/>
      <c r="W214" s="10" t="inlineStr">
        <is>
          <t>本文一致</t>
        </is>
      </c>
      <c r="X214" s="10" t="n"/>
    </row>
    <row r="215">
      <c r="A215" s="10" t="n">
        <v>214</v>
      </c>
      <c r="B215" s="11" t="n">
        <v>46235</v>
      </c>
      <c r="C215" s="11" t="n">
        <v>46290</v>
      </c>
      <c r="D215" s="10">
        <f>MONTH(B215)&amp;"月"</f>
        <v/>
      </c>
      <c r="E215" s="12" t="n">
        <v>3</v>
      </c>
      <c r="F215" s="10" t="inlineStr">
        <is>
          <t>08/01、09/11、09/25</t>
        </is>
      </c>
      <c r="G215" s="10" t="inlineStr">
        <is>
          <t>【人生・ビジネスが飛躍する】AI-エージェント "Claude Code" ゼロから学べる超入門編</t>
        </is>
      </c>
      <c r="H215" s="10" t="inlineStr">
        <is>
          <t>アンカーズ事務局</t>
        </is>
      </c>
      <c r="I215" s="10" t="n"/>
      <c r="J215" s="10" t="inlineStr">
        <is>
          <t>こくちーずプロ</t>
        </is>
      </c>
      <c r="K215" s="10" t="inlineStr">
        <is>
          <t>オンライン</t>
        </is>
      </c>
      <c r="L215" s="10" t="inlineStr">
        <is>
          <t>オンライン 日本</t>
        </is>
      </c>
      <c r="M215" s="10" t="inlineStr">
        <is>
          <t>生産性向上・業務効率化</t>
        </is>
      </c>
      <c r="N215" s="10" t="inlineStr">
        <is>
          <t>AIエージェント</t>
        </is>
      </c>
      <c r="O215" s="12" t="inlineStr">
        <is>
          <t>◎</t>
        </is>
      </c>
      <c r="P215" s="13" t="n">
        <v>5</v>
      </c>
      <c r="Q215" s="12" t="inlineStr">
        <is>
          <t>イベント参加 4/10</t>
        </is>
      </c>
      <c r="R215" s="14" t="n">
        <v>30</v>
      </c>
      <c r="S215" s="10" t="inlineStr">
        <is>
          <t>全3回の合計</t>
        </is>
      </c>
      <c r="T215" s="10" t="inlineStr">
        <is>
          <t>── 「むずかしそう」と思った、その感覚のまま来てください。 「プログラミングは、自分には関係ない」 「AIって聞くけど、結局エンジニア向けの話でしょ？」 「Claude Code、名前は聞いたことあるけど……よくわからない」 それで、まったく大丈夫です。 このセミナーは、そこからのスタートを前提にしています。 パソコンの操作に自信がなくても。 技術的な知識がゼロでも。 「自分にできるわけがない」と半信半疑でも。 AIエージェント「Cl</t>
        </is>
      </c>
      <c r="U215" s="15" t="inlineStr">
        <is>
          <t>https://www.kokuchpro.com/event/16a61b71a30d40413dd74fd9028baa29/3852134/</t>
        </is>
      </c>
      <c r="V215" s="10" t="n"/>
      <c r="W215" s="10" t="inlineStr">
        <is>
          <t>タイトル一致</t>
        </is>
      </c>
      <c r="X215" s="10" t="n"/>
    </row>
    <row r="216">
      <c r="A216" s="10" t="n">
        <v>215</v>
      </c>
      <c r="B216" s="11" t="n">
        <v>46236</v>
      </c>
      <c r="C216" s="11" t="n">
        <v>46236</v>
      </c>
      <c r="D216" s="10">
        <f>MONTH(B216)&amp;"月"</f>
        <v/>
      </c>
      <c r="E216" s="12" t="n">
        <v>1</v>
      </c>
      <c r="F216" s="10" t="n"/>
      <c r="G216" s="10" t="inlineStr">
        <is>
          <t>【法人研修・生成AI活用】AIチャットからの次のステップ！AIエージェント実践型ワークショップ「Claude Cowork 入門 1Day Sprint」を新規開講</t>
        </is>
      </c>
      <c r="H216" s="10" t="inlineStr">
        <is>
          <t>株式会社Aoba-BBT</t>
        </is>
      </c>
      <c r="I216" s="10" t="n"/>
      <c r="J216" s="10" t="inlineStr">
        <is>
          <t>PR TIMES</t>
        </is>
      </c>
      <c r="K216" s="10" t="inlineStr">
        <is>
          <t>online</t>
        </is>
      </c>
      <c r="L216" s="10" t="inlineStr">
        <is>
          <t>オンライン（Zoom）</t>
        </is>
      </c>
      <c r="M216" s="10" t="inlineStr">
        <is>
          <t>開発生産性</t>
        </is>
      </c>
      <c r="N216" s="10" t="inlineStr">
        <is>
          <t>AIエージェント</t>
        </is>
      </c>
      <c r="O216" s="12" t="inlineStr">
        <is>
          <t>○</t>
        </is>
      </c>
      <c r="P216" s="13" t="n"/>
      <c r="Q216" s="12" t="inlineStr">
        <is>
          <t>定員</t>
        </is>
      </c>
      <c r="R216" s="14" t="n">
        <v>100</v>
      </c>
      <c r="S216" s="10" t="n"/>
      <c r="T216" s="10" t="inlineStr">
        <is>
          <t>株式会社Aoba-BBT（所在地：東京都千代田区、代表取締役：柴田巌、以下「Aoba-BBT」）は、生成AIの活用を一歩進め、AIエージェントを実務で使いこなすための実践型ワークショップ「Claude Cowork 入門 1Day Sprint」を新たに開講します。2026年8月2日（日）にオンライン（Zoom）で開催し、プログラミング不要で、AIエージェントの設計・構築を一日で体得することを目指します。 お申込みはこちら：https:</t>
        </is>
      </c>
      <c r="U216" s="15" t="inlineStr">
        <is>
          <t>https://prtimes.jp/main/html/rd/p/000000434.000059894.html</t>
        </is>
      </c>
      <c r="V216" s="10" t="n"/>
      <c r="W216" s="10" t="inlineStr">
        <is>
          <t>タイトル一致</t>
        </is>
      </c>
      <c r="X216" s="10" t="n"/>
    </row>
    <row r="217">
      <c r="A217" s="10" t="n">
        <v>216</v>
      </c>
      <c r="B217" s="11" t="n">
        <v>46236</v>
      </c>
      <c r="C217" s="11" t="n">
        <v>46236</v>
      </c>
      <c r="D217" s="10">
        <f>MONTH(B217)&amp;"月"</f>
        <v/>
      </c>
      <c r="E217" s="12" t="n">
        <v>1</v>
      </c>
      <c r="F217" s="10" t="n"/>
      <c r="G217" s="10" t="inlineStr">
        <is>
          <t>満足度96.3%！Claude Code勉強会 @STATION Ai 名古屋</t>
        </is>
      </c>
      <c r="H217" s="10" t="inlineStr">
        <is>
          <t>anzi_kosaka</t>
        </is>
      </c>
      <c r="I217" s="10" t="n"/>
      <c r="J217" s="10" t="inlineStr">
        <is>
          <t>connpass</t>
        </is>
      </c>
      <c r="K217" s="10" t="inlineStr">
        <is>
          <t>会場</t>
        </is>
      </c>
      <c r="L217" s="10" t="inlineStr">
        <is>
          <t>愛知県名古屋市昭和区鶴舞1丁目2番32号</t>
        </is>
      </c>
      <c r="M217" s="10" t="inlineStr">
        <is>
          <t>開発生産性</t>
        </is>
      </c>
      <c r="N217" s="10" t="inlineStr">
        <is>
          <t>AIエージェント</t>
        </is>
      </c>
      <c r="O217" s="12" t="inlineStr">
        <is>
          <t>○</t>
        </is>
      </c>
      <c r="P217" s="13" t="n">
        <v>2</v>
      </c>
      <c r="Q217" s="12" t="inlineStr">
        <is>
          <t>参加者数</t>
        </is>
      </c>
      <c r="R217" s="14" t="n">
        <v>60</v>
      </c>
      <c r="S217" s="10" t="n"/>
      <c r="T217" s="10" t="n"/>
      <c r="U217" s="15" t="inlineStr">
        <is>
          <t>https://connpass.com/event/400828/</t>
        </is>
      </c>
      <c r="V217" s="10" t="n"/>
      <c r="W217" s="10" t="inlineStr">
        <is>
          <t>タイトル一致</t>
        </is>
      </c>
      <c r="X217" s="10" t="n"/>
    </row>
    <row r="218">
      <c r="A218" s="10" t="n">
        <v>217</v>
      </c>
      <c r="B218" s="11" t="n">
        <v>46237</v>
      </c>
      <c r="C218" s="11" t="n">
        <v>46237</v>
      </c>
      <c r="D218" s="10">
        <f>MONTH(B218)&amp;"月"</f>
        <v/>
      </c>
      <c r="E218" s="12" t="n">
        <v>1</v>
      </c>
      <c r="F218" s="10" t="n"/>
      <c r="G218" s="10" t="inlineStr">
        <is>
          <t>AIエージェントで知財業務はここまで変わる！「IP Samurai MCPサーバー」無料オンラインセミナーを8月3日に開催！</t>
        </is>
      </c>
      <c r="H218" s="10" t="inlineStr">
        <is>
          <t>株式会社AI Samurai</t>
        </is>
      </c>
      <c r="I218" s="10" t="n"/>
      <c r="J218" s="10" t="inlineStr">
        <is>
          <t>PR TIMES</t>
        </is>
      </c>
      <c r="K218" s="10" t="inlineStr">
        <is>
          <t>online</t>
        </is>
      </c>
      <c r="L218" s="10" t="inlineStr">
        <is>
          <t>オンライン開催（Teams）</t>
        </is>
      </c>
      <c r="M218" s="10" t="inlineStr">
        <is>
          <t>生産性向上・業務効率化</t>
        </is>
      </c>
      <c r="N218" s="10" t="inlineStr">
        <is>
          <t>両方</t>
        </is>
      </c>
      <c r="O218" s="12" t="inlineStr">
        <is>
          <t>◎</t>
        </is>
      </c>
      <c r="P218" s="13" t="n"/>
      <c r="Q218" s="12" t="inlineStr">
        <is>
          <t>不明</t>
        </is>
      </c>
      <c r="R218" s="14" t="n"/>
      <c r="S218" s="10" t="n"/>
      <c r="T218" s="10" t="inlineStr">
        <is>
          <t>株式会社AI Samurai（本社：東京都千代田区、代表取締役：白坂 一）は、2026年7月2日に提供開始を発表した「IP Samurai MCPサーバー」の無料オンライン体験セミナーを、2026年8月3日（月）17:00～18:00に開催いたします。 通常は5万円（税別）で対面開催している体験セミナー・実践講座の内容の一部を、今回特別にオンラインにて無償でご体験いただけます。 ■ 開催の背景 当社は、MCP（Model Context</t>
        </is>
      </c>
      <c r="U218" s="15" t="inlineStr">
        <is>
          <t>https://prtimes.jp/main/html/rd/p/000000303.000021559.html</t>
        </is>
      </c>
      <c r="V218" s="10" t="n"/>
      <c r="W218" s="10" t="inlineStr">
        <is>
          <t>タイトル一致</t>
        </is>
      </c>
      <c r="X218" s="10" t="n"/>
    </row>
    <row r="219">
      <c r="A219" s="10" t="n">
        <v>218</v>
      </c>
      <c r="B219" s="11" t="n">
        <v>46237</v>
      </c>
      <c r="C219" s="11" t="n">
        <v>46237</v>
      </c>
      <c r="D219" s="10">
        <f>MONTH(B219)&amp;"月"</f>
        <v/>
      </c>
      <c r="E219" s="12" t="n">
        <v>1</v>
      </c>
      <c r="F219" s="10" t="n"/>
      <c r="G219" s="10" t="inlineStr">
        <is>
          <t>【初心者向け】AI駆動開発を学ぶ - AI駆動開発の流れとClaude Codeの基本操作</t>
        </is>
      </c>
      <c r="H219" s="10" t="inlineStr">
        <is>
          <t>シンギュラリティ・ラボ</t>
        </is>
      </c>
      <c r="I219" s="10" t="n"/>
      <c r="J219" s="10" t="inlineStr">
        <is>
          <t>connpass</t>
        </is>
      </c>
      <c r="K219" s="10" t="inlineStr">
        <is>
          <t>オンライン</t>
        </is>
      </c>
      <c r="L219" s="10" t="inlineStr">
        <is>
          <t>オンライン</t>
        </is>
      </c>
      <c r="M219" s="10" t="inlineStr">
        <is>
          <t>開発生産性</t>
        </is>
      </c>
      <c r="N219" s="10" t="inlineStr">
        <is>
          <t>AIエージェント</t>
        </is>
      </c>
      <c r="O219" s="12" t="inlineStr">
        <is>
          <t>○</t>
        </is>
      </c>
      <c r="P219" s="13" t="n"/>
      <c r="Q219" s="12" t="inlineStr">
        <is>
          <t>不明</t>
        </is>
      </c>
      <c r="R219" s="14" t="n"/>
      <c r="S219" s="10" t="n"/>
      <c r="T219" s="10" t="n"/>
      <c r="U219" s="15" t="inlineStr">
        <is>
          <t>https://future-tech-association.connpass.com/event/399651/</t>
        </is>
      </c>
      <c r="V219" s="10" t="n"/>
      <c r="W219" s="10" t="inlineStr">
        <is>
          <t>タイトル一致</t>
        </is>
      </c>
      <c r="X219" s="10" t="n"/>
    </row>
    <row r="220">
      <c r="A220" s="10" t="n">
        <v>219</v>
      </c>
      <c r="B220" s="11" t="n">
        <v>46238</v>
      </c>
      <c r="C220" s="11" t="n">
        <v>46281</v>
      </c>
      <c r="D220" s="10">
        <f>MONTH(B220)&amp;"月"</f>
        <v/>
      </c>
      <c r="E220" s="12" t="n">
        <v>2</v>
      </c>
      <c r="F220" s="10" t="inlineStr">
        <is>
          <t>08/04、09/16</t>
        </is>
      </c>
      <c r="G220" s="10" t="inlineStr">
        <is>
          <t>#1 Copilot Studio 勉強会</t>
        </is>
      </c>
      <c r="H220" s="10" t="inlineStr">
        <is>
          <t>Microsoft Copilot Studio User Group</t>
        </is>
      </c>
      <c r="I220" s="10" t="n"/>
      <c r="J220" s="10" t="inlineStr">
        <is>
          <t>connpass</t>
        </is>
      </c>
      <c r="K220" s="10" t="inlineStr">
        <is>
          <t>オンライン</t>
        </is>
      </c>
      <c r="L220" s="10" t="inlineStr">
        <is>
          <t>オンライン</t>
        </is>
      </c>
      <c r="M220" s="10" t="inlineStr">
        <is>
          <t>生産性向上・業務効率化</t>
        </is>
      </c>
      <c r="N220" s="10" t="inlineStr">
        <is>
          <t>AIエージェント</t>
        </is>
      </c>
      <c r="O220" s="12" t="inlineStr">
        <is>
          <t>◎</t>
        </is>
      </c>
      <c r="P220" s="13" t="n">
        <v>473</v>
      </c>
      <c r="Q220" s="12" t="inlineStr">
        <is>
          <t>参加者数</t>
        </is>
      </c>
      <c r="R220" s="14" t="n"/>
      <c r="S220" s="10" t="inlineStr">
        <is>
          <t>全2回の合計</t>
        </is>
      </c>
      <c r="T220" s="10" t="n"/>
      <c r="U220" s="15" t="inlineStr">
        <is>
          <t>https://mcsug.connpass.com/event/401562/</t>
        </is>
      </c>
      <c r="V220" s="10" t="n"/>
      <c r="W220" s="10" t="inlineStr">
        <is>
          <t>タイトル一致</t>
        </is>
      </c>
      <c r="X220" s="10" t="n"/>
    </row>
    <row r="221">
      <c r="A221" s="10" t="n">
        <v>220</v>
      </c>
      <c r="B221" s="11" t="n">
        <v>46238</v>
      </c>
      <c r="C221" s="11" t="n">
        <v>46238</v>
      </c>
      <c r="D221" s="10">
        <f>MONTH(B221)&amp;"月"</f>
        <v/>
      </c>
      <c r="E221" s="12" t="n">
        <v>1</v>
      </c>
      <c r="F221" s="10" t="n"/>
      <c r="G221" s="10" t="inlineStr">
        <is>
          <t>「点の効率化」から「線の業務変革」へ</t>
        </is>
      </c>
      <c r="H221" s="10" t="inlineStr">
        <is>
          <t>株式会社リンクレア</t>
        </is>
      </c>
      <c r="I221" s="10" t="n"/>
      <c r="J221" s="10" t="inlineStr">
        <is>
          <t>ビジネス+IT</t>
        </is>
      </c>
      <c r="K221" s="10" t="inlineStr">
        <is>
          <t>online</t>
        </is>
      </c>
      <c r="L221" s="10" t="inlineStr">
        <is>
          <t>オンライン</t>
        </is>
      </c>
      <c r="M221" s="10" t="inlineStr">
        <is>
          <t>生産性向上・業務効率化</t>
        </is>
      </c>
      <c r="N221" s="10" t="inlineStr">
        <is>
          <t>AIエージェント</t>
        </is>
      </c>
      <c r="O221" s="12" t="inlineStr">
        <is>
          <t>○</t>
        </is>
      </c>
      <c r="P221" s="13" t="n"/>
      <c r="Q221" s="12" t="inlineStr">
        <is>
          <t>不明</t>
        </is>
      </c>
      <c r="R221" s="14" t="n"/>
      <c r="S221" s="10" t="n"/>
      <c r="T221" s="10" t="inlineStr">
        <is>
          <t>生成AIの活用は進んでいても 「検索や要約」といった個人の効率化で止まっていませんか？ 「組織全体の生産性」を上げる鍵として今注目されているのがAIエージェントです。 従来の「問いに答えるチャットボット」から複数のプロセスをまたいで自律的に動く「実行型」の存在へとAIの役割は今、大きな転換期を迎えています。 本ウェビナーでは、Microsoft Copilot Studioを例に挙げながらAIエージェントがどのように業務プロセスに入り込</t>
        </is>
      </c>
      <c r="U221" s="15" t="inlineStr">
        <is>
          <t>https://www.sbbit.jp/eventinfo/89604</t>
        </is>
      </c>
      <c r="V221" s="10" t="n"/>
      <c r="W221" s="10" t="inlineStr">
        <is>
          <t>本文一致</t>
        </is>
      </c>
      <c r="X221" s="10" t="n"/>
    </row>
    <row r="222">
      <c r="A222" s="10" t="n">
        <v>221</v>
      </c>
      <c r="B222" s="11" t="n">
        <v>46238</v>
      </c>
      <c r="C222" s="11" t="n">
        <v>46238</v>
      </c>
      <c r="D222" s="10">
        <f>MONTH(B222)&amp;"月"</f>
        <v/>
      </c>
      <c r="E222" s="12" t="n">
        <v>1</v>
      </c>
      <c r="F222" s="10" t="n"/>
      <c r="G222" s="10" t="inlineStr">
        <is>
          <t>【再放送】AIエージェント設計・活用の実践力を身に付ける</t>
        </is>
      </c>
      <c r="H222" s="10" t="inlineStr">
        <is>
          <t>JTP株式会社（協力：マジセミ株式会社）</t>
        </is>
      </c>
      <c r="I222" s="10" t="n"/>
      <c r="J222" s="10" t="inlineStr">
        <is>
          <t>マジセミ</t>
        </is>
      </c>
      <c r="K222" s="10" t="inlineStr">
        <is>
          <t>online</t>
        </is>
      </c>
      <c r="L222" s="10" t="inlineStr">
        <is>
          <t>オンライン</t>
        </is>
      </c>
      <c r="M222" s="10" t="inlineStr">
        <is>
          <t>生産性向上・業務効率化</t>
        </is>
      </c>
      <c r="N222" s="10" t="inlineStr">
        <is>
          <t>AIエージェント</t>
        </is>
      </c>
      <c r="O222" s="12" t="inlineStr">
        <is>
          <t>◎</t>
        </is>
      </c>
      <c r="P222" s="13" t="n"/>
      <c r="Q222" s="12" t="inlineStr">
        <is>
          <t>不明</t>
        </is>
      </c>
      <c r="R222" s="14" t="n"/>
      <c r="S222" s="10" t="n"/>
      <c r="T222" s="10" t="inlineStr">
        <is>
          <t>■生成AIの進化で変わるエンジニアの役割 日本社会は、深刻な労働人口減少やデジタルトランスフォーメーションの進展に伴うIT 需要の急増を背景に、2030 年にはIT エンジニアが最大79 万人不足すると予測されています。このような人材不足の中、生成AI技術が急速な進化を遂げ、さまざまな分野でのビジネス活用が広がっているます。今や、AI 技術を正しく理解し、実務に活かせる次世代IT 人財の育成が、ビジネス成長の鍵となっています。 ■AIエ</t>
        </is>
      </c>
      <c r="U222" s="15" t="inlineStr">
        <is>
          <t>https://prtimes.jp/main/html/rd/p/000005465.000054842.html</t>
        </is>
      </c>
      <c r="V222" s="10" t="n"/>
      <c r="W222" s="10" t="inlineStr">
        <is>
          <t>タイトル一致</t>
        </is>
      </c>
      <c r="X222" s="10" t="n"/>
    </row>
    <row r="223">
      <c r="A223" s="10" t="n">
        <v>222</v>
      </c>
      <c r="B223" s="11" t="n">
        <v>46238</v>
      </c>
      <c r="C223" s="11" t="n">
        <v>46238</v>
      </c>
      <c r="D223" s="10">
        <f>MONTH(B223)&amp;"月"</f>
        <v/>
      </c>
      <c r="E223" s="12" t="n">
        <v>1</v>
      </c>
      <c r="F223" s="10" t="n"/>
      <c r="G223" s="10" t="inlineStr">
        <is>
          <t>【再放送】AIエージェント設計・活用の実践力を身に付ける ～生成AIソリューションの開発現場で培った知見を凝縮した「AIエージェント活用実践カリキュラム」～</t>
        </is>
      </c>
      <c r="H223" s="10" t="inlineStr">
        <is>
          <t>JTP株式会社</t>
        </is>
      </c>
      <c r="I223" s="10" t="inlineStr">
        <is>
          <t>マジセミ株式会社</t>
        </is>
      </c>
      <c r="J223" s="10" t="inlineStr">
        <is>
          <t>Doorkeeper</t>
        </is>
      </c>
      <c r="K223" s="10" t="inlineStr">
        <is>
          <t>不明</t>
        </is>
      </c>
      <c r="L223" s="10" t="n"/>
      <c r="M223" s="10" t="inlineStr">
        <is>
          <t>開発生産性</t>
        </is>
      </c>
      <c r="N223" s="10" t="inlineStr">
        <is>
          <t>AIエージェント</t>
        </is>
      </c>
      <c r="O223" s="12" t="inlineStr">
        <is>
          <t>○</t>
        </is>
      </c>
      <c r="P223" s="13" t="n">
        <v>20</v>
      </c>
      <c r="Q223" s="12" t="inlineStr">
        <is>
          <t>参加者数</t>
        </is>
      </c>
      <c r="R223" s="14" t="n">
        <v>14</v>
      </c>
      <c r="S223" s="10" t="n"/>
      <c r="T223" s="10" t="inlineStr">
        <is>
          <t xml:space="preserve"> 本セミナーはWebセミナーです ツールはSPEAKERSを使います。URLは直前にメールにてご連絡いたします。 なお、「osslabo.com」「majisemi.com」からのメールが迷惑メールとならないよう、メールの設定をご確認ください。 本セミナーは2025年11月5日に開催されたセミナーの再放送です。 多くのご要望をいただきましたので、再放送の開催が決まりました。 生成AIの進化で変わるエンジニアの役割 日本社会は、深刻な労働</t>
        </is>
      </c>
      <c r="U223" s="15" t="inlineStr">
        <is>
          <t>https://majisemi-technology.doorkeeper.jp/events/198266</t>
        </is>
      </c>
      <c r="V223" s="10" t="n"/>
      <c r="W223" s="10" t="inlineStr">
        <is>
          <t>タイトル一致</t>
        </is>
      </c>
      <c r="X223" s="10" t="n"/>
    </row>
    <row r="224">
      <c r="A224" s="10" t="n">
        <v>223</v>
      </c>
      <c r="B224" s="11" t="n">
        <v>46238</v>
      </c>
      <c r="C224" s="11" t="n">
        <v>46238</v>
      </c>
      <c r="D224" s="10">
        <f>MONTH(B224)&amp;"月"</f>
        <v/>
      </c>
      <c r="E224" s="12" t="n">
        <v>1</v>
      </c>
      <c r="F224" s="10" t="n"/>
      <c r="G224" s="10" t="inlineStr">
        <is>
          <t>【実演中心】Claudeを仕事でどう使う?〜情報整理から文章・スライド作成まで〜</t>
        </is>
      </c>
      <c r="H224" s="10" t="inlineStr">
        <is>
          <t>みんなシステムズ セミナー担当</t>
        </is>
      </c>
      <c r="I224" s="10" t="n"/>
      <c r="J224" s="10" t="inlineStr">
        <is>
          <t>こくちーずプロ</t>
        </is>
      </c>
      <c r="K224" s="10" t="inlineStr">
        <is>
          <t>オンライン</t>
        </is>
      </c>
      <c r="L224" s="10" t="inlineStr">
        <is>
          <t>オンライン 日本</t>
        </is>
      </c>
      <c r="M224" s="10" t="inlineStr">
        <is>
          <t>営業・マーケ・CS</t>
        </is>
      </c>
      <c r="N224" s="10" t="inlineStr">
        <is>
          <t>AIエージェント</t>
        </is>
      </c>
      <c r="O224" s="12" t="inlineStr">
        <is>
          <t>○</t>
        </is>
      </c>
      <c r="P224" s="13" t="n">
        <v>5</v>
      </c>
      <c r="Q224" s="12" t="inlineStr">
        <is>
          <t>イベント参加 5/30</t>
        </is>
      </c>
      <c r="R224" s="14" t="n">
        <v>30</v>
      </c>
      <c r="S224" s="10" t="n"/>
      <c r="T224" s="10" t="inlineStr">
        <is>
          <t>セミナー情報 「Claudeを使ってみたけど、結局チャットで質問するだけで終わっている」——そんな声を多くいただきます。 本セミナーでは、日常業務におけるClaudeの実践活用を、実演を交えながら徹底解説します。 具体的には、会議メモや参考資料といった「素材」をClaudeに渡すところから始め、 ① 情報の整理・要点の抽出 ② 文章（報告書・提案書・メールなど）への落とし込み ③ スライド資料としての仕上げ という一連の流れを、実際の画</t>
        </is>
      </c>
      <c r="U224" s="15" t="inlineStr">
        <is>
          <t>https://www.kokuchpro.com/event/fcc6f5925aff705dc431032f0260d455/</t>
        </is>
      </c>
      <c r="V224" s="10" t="n"/>
      <c r="W224" s="10" t="inlineStr">
        <is>
          <t>本文一致</t>
        </is>
      </c>
      <c r="X224" s="10" t="n"/>
    </row>
    <row r="225">
      <c r="A225" s="10" t="n">
        <v>224</v>
      </c>
      <c r="B225" s="11" t="n">
        <v>46238</v>
      </c>
      <c r="C225" s="11" t="n">
        <v>46238</v>
      </c>
      <c r="D225" s="10">
        <f>MONTH(B225)&amp;"月"</f>
        <v/>
      </c>
      <c r="E225" s="12" t="n">
        <v>1</v>
      </c>
      <c r="F225" s="10" t="n"/>
      <c r="G225" s="10" t="inlineStr">
        <is>
          <t>【無料ウェビナー】エージェンティックコマース時代のEC戦略｜AI検索時代の新規獲得とLINEで実現するLTV最大化 を8/4(火)に開催</t>
        </is>
      </c>
      <c r="H225" s="10" t="inlineStr">
        <is>
          <t>株式会社LANY</t>
        </is>
      </c>
      <c r="I225" s="10" t="n"/>
      <c r="J225" s="10" t="inlineStr">
        <is>
          <t>PR TIMES</t>
        </is>
      </c>
      <c r="K225" s="10" t="inlineStr">
        <is>
          <t>online</t>
        </is>
      </c>
      <c r="L225" s="10" t="inlineStr">
        <is>
          <t>オンライン（ウェビナー）</t>
        </is>
      </c>
      <c r="M225" s="10" t="inlineStr">
        <is>
          <t>営業・マーケ・CS</t>
        </is>
      </c>
      <c r="N225" s="10" t="inlineStr">
        <is>
          <t>AIエージェント</t>
        </is>
      </c>
      <c r="O225" s="12" t="inlineStr">
        <is>
          <t>○</t>
        </is>
      </c>
      <c r="P225" s="13" t="n"/>
      <c r="Q225" s="12" t="inlineStr">
        <is>
          <t>定員</t>
        </is>
      </c>
      <c r="R225" s="14" t="n">
        <v>500</v>
      </c>
      <c r="S225" s="10" t="n"/>
      <c r="T225" s="10" t="inlineStr">
        <is>
          <t>デジタルマーケティング支援を提供する株式会社LANY（東京都渋谷区、代表取締役社長：竹内渓太）は、【無料ウェビナー】エージェンティックコマース時代のEC戦略｜AI検索時代の新規獲得とLINEで実現するLTV最大化 を株式会社ソーシャルPLUSと8/4(火)に共同開催いたします。 ChatGPTやGeminiなどの生成AIが商品を比較・提案し、そのまま購入先を案内するなど、消費者の購買行動は大きく変化し始めています。海外では、AIエージェ</t>
        </is>
      </c>
      <c r="U225" s="15" t="inlineStr">
        <is>
          <t>https://prtimes.jp/main/html/rd/p/000000432.000071062.html</t>
        </is>
      </c>
      <c r="V225" s="10" t="n"/>
      <c r="W225" s="10" t="inlineStr">
        <is>
          <t>本文一致</t>
        </is>
      </c>
      <c r="X225" s="10" t="n"/>
    </row>
    <row r="226">
      <c r="A226" s="10" t="n">
        <v>225</v>
      </c>
      <c r="B226" s="11" t="n">
        <v>46238</v>
      </c>
      <c r="C226" s="11" t="n">
        <v>46238</v>
      </c>
      <c r="D226" s="10">
        <f>MONTH(B226)&amp;"月"</f>
        <v/>
      </c>
      <c r="E226" s="12" t="n">
        <v>1</v>
      </c>
      <c r="F226" s="10" t="n"/>
      <c r="G226" s="10" t="inlineStr">
        <is>
          <t>著者陣に聞く！Claude Code最新情報~基礎から応用、そしてこれから~</t>
        </is>
      </c>
      <c r="H226" s="10" t="inlineStr">
        <is>
          <t>ファインディ／Findy</t>
        </is>
      </c>
      <c r="I226" s="10" t="n"/>
      <c r="J226" s="10" t="inlineStr">
        <is>
          <t>connpass</t>
        </is>
      </c>
      <c r="K226" s="10" t="inlineStr">
        <is>
          <t>オンライン</t>
        </is>
      </c>
      <c r="L226" s="10" t="inlineStr">
        <is>
          <t>オンライン</t>
        </is>
      </c>
      <c r="M226" s="10" t="inlineStr">
        <is>
          <t>開発生産性</t>
        </is>
      </c>
      <c r="N226" s="10" t="inlineStr">
        <is>
          <t>AIエージェント</t>
        </is>
      </c>
      <c r="O226" s="12" t="inlineStr">
        <is>
          <t>○</t>
        </is>
      </c>
      <c r="P226" s="13" t="n">
        <v>673</v>
      </c>
      <c r="Q226" s="12" t="inlineStr">
        <is>
          <t>参加者数</t>
        </is>
      </c>
      <c r="R226" s="14" t="n"/>
      <c r="S226" s="10" t="n"/>
      <c r="T226" s="10" t="n"/>
      <c r="U226" s="15" t="inlineStr">
        <is>
          <t>https://findy.connpass.com/event/400570/</t>
        </is>
      </c>
      <c r="V226" s="10" t="n"/>
      <c r="W226" s="10" t="inlineStr">
        <is>
          <t>タイトル一致</t>
        </is>
      </c>
      <c r="X226" s="10" t="n"/>
    </row>
    <row r="227">
      <c r="A227" s="10" t="n">
        <v>226</v>
      </c>
      <c r="B227" s="11" t="n">
        <v>46239</v>
      </c>
      <c r="C227" s="11" t="n">
        <v>46239</v>
      </c>
      <c r="D227" s="10">
        <f>MONTH(B227)&amp;"月"</f>
        <v/>
      </c>
      <c r="E227" s="12" t="n">
        <v>1</v>
      </c>
      <c r="F227" s="10" t="n"/>
      <c r="G227" s="10" t="inlineStr">
        <is>
          <t>8/5(水) 16:00-【大好評セミナーを再配信！】「社内データ検索AI」の圧倒的威力と、導入前に知るべき“失敗の現実”</t>
        </is>
      </c>
      <c r="H227" s="10" t="inlineStr">
        <is>
          <t>skillupai</t>
        </is>
      </c>
      <c r="I227" s="10" t="n"/>
      <c r="J227" s="10" t="inlineStr">
        <is>
          <t>Doorkeeper</t>
        </is>
      </c>
      <c r="K227" s="10" t="inlineStr">
        <is>
          <t>オンライン</t>
        </is>
      </c>
      <c r="L227" s="10" t="n"/>
      <c r="M227" s="10" t="inlineStr">
        <is>
          <t>生産性向上・業務効率化</t>
        </is>
      </c>
      <c r="N227" s="10" t="inlineStr">
        <is>
          <t>AIエージェント</t>
        </is>
      </c>
      <c r="O227" s="12" t="inlineStr">
        <is>
          <t>○</t>
        </is>
      </c>
      <c r="P227" s="13" t="n">
        <v>5</v>
      </c>
      <c r="Q227" s="12" t="inlineStr">
        <is>
          <t>参加者数</t>
        </is>
      </c>
      <c r="R227" s="14" t="n">
        <v>30</v>
      </c>
      <c r="S227" s="10" t="n"/>
      <c r="T227" s="10" t="inlineStr">
        <is>
          <t xml:space="preserve"> ■ プログラム概要 2026年3月に配信され、大好評だったセミナーを再配信します。 「あの条件に合う過去の事例を探して」「この要件を満たす社内資料をまとめて」―このような自然言語の指示に対し、AIが数万点にも及ぶ複雑な社内データから瞬時に必要な情報を抽出・回答する。これが単なる「検索」を超えたAIエージェントの威力です。 本セミナーでは、まずこの圧倒的な業務効率化を実現するデモを実演し、AIエージェントが自律的に働く「理想の世界」をご</t>
        </is>
      </c>
      <c r="U227" s="15" t="inlineStr">
        <is>
          <t>https://skillupai.doorkeeper.jp/events/198350</t>
        </is>
      </c>
      <c r="V227" s="10" t="n"/>
      <c r="W227" s="10" t="inlineStr">
        <is>
          <t>本文一致</t>
        </is>
      </c>
      <c r="X227" s="10" t="n"/>
    </row>
    <row r="228">
      <c r="A228" s="10" t="n">
        <v>227</v>
      </c>
      <c r="B228" s="11" t="n">
        <v>46239</v>
      </c>
      <c r="C228" s="11" t="n">
        <v>46239</v>
      </c>
      <c r="D228" s="10">
        <f>MONTH(B228)&amp;"月"</f>
        <v/>
      </c>
      <c r="E228" s="12" t="n">
        <v>1</v>
      </c>
      <c r="F228" s="10" t="n"/>
      <c r="G228" s="10" t="inlineStr">
        <is>
          <t>AIエージェントキャッチアップ #86 - AI Gateway (Portkey)</t>
        </is>
      </c>
      <c r="H228" s="10" t="inlineStr">
        <is>
          <t>ジェネラティブエージェンツ / Generative Agents</t>
        </is>
      </c>
      <c r="I228" s="10" t="n"/>
      <c r="J228" s="10" t="inlineStr">
        <is>
          <t>connpass</t>
        </is>
      </c>
      <c r="K228" s="10" t="inlineStr">
        <is>
          <t>オンライン</t>
        </is>
      </c>
      <c r="L228" s="10" t="inlineStr">
        <is>
          <t>オンライン</t>
        </is>
      </c>
      <c r="M228" s="10" t="inlineStr">
        <is>
          <t>技術・AI全般</t>
        </is>
      </c>
      <c r="N228" s="10" t="inlineStr">
        <is>
          <t>AIエージェント</t>
        </is>
      </c>
      <c r="O228" s="12" t="inlineStr">
        <is>
          <t>○</t>
        </is>
      </c>
      <c r="P228" s="13" t="n">
        <v>55</v>
      </c>
      <c r="Q228" s="12" t="inlineStr">
        <is>
          <t>参加者数</t>
        </is>
      </c>
      <c r="R228" s="14" t="n">
        <v>200</v>
      </c>
      <c r="S228" s="10" t="n"/>
      <c r="T228" s="10" t="n"/>
      <c r="U228" s="15" t="inlineStr">
        <is>
          <t>https://generative-agents.connpass.com/event/401851/</t>
        </is>
      </c>
      <c r="V228" s="10" t="n"/>
      <c r="W228" s="10" t="inlineStr">
        <is>
          <t>タイトル一致</t>
        </is>
      </c>
      <c r="X228" s="10" t="n"/>
    </row>
    <row r="229">
      <c r="A229" s="10" t="n">
        <v>228</v>
      </c>
      <c r="B229" s="11" t="n">
        <v>46239</v>
      </c>
      <c r="C229" s="11" t="n">
        <v>46239</v>
      </c>
      <c r="D229" s="10">
        <f>MONTH(B229)&amp;"月"</f>
        <v/>
      </c>
      <c r="E229" s="12" t="n">
        <v>1</v>
      </c>
      <c r="F229" s="10" t="n"/>
      <c r="G229" s="10" t="inlineStr">
        <is>
          <t>AIコーディングエージェント知見共有会</t>
        </is>
      </c>
      <c r="H229" s="10" t="inlineStr">
        <is>
          <t>FFFFF Cafe（株式会社リロード）</t>
        </is>
      </c>
      <c r="I229" s="10" t="n"/>
      <c r="J229" s="10" t="inlineStr">
        <is>
          <t>個別調査（公式サイト・PR TIMES等）</t>
        </is>
      </c>
      <c r="K229" s="10" t="inlineStr">
        <is>
          <t>会場</t>
        </is>
      </c>
      <c r="L229" s="10" t="inlineStr">
        <is>
          <t>FFFFF Cafe（東京都千代田区）</t>
        </is>
      </c>
      <c r="M229" s="10" t="inlineStr">
        <is>
          <t>開発生産性</t>
        </is>
      </c>
      <c r="N229" s="10" t="inlineStr">
        <is>
          <t>両方</t>
        </is>
      </c>
      <c r="O229" s="12" t="inlineStr">
        <is>
          <t>○</t>
        </is>
      </c>
      <c r="P229" s="13" t="n">
        <v>7</v>
      </c>
      <c r="Q229" s="12" t="inlineStr">
        <is>
          <t>参加者数</t>
        </is>
      </c>
      <c r="R229" s="14" t="n"/>
      <c r="S229" s="10" t="inlineStr">
        <is>
          <t>定員15名。connpassの表示</t>
        </is>
      </c>
      <c r="T229" s="10" t="inlineStr">
        <is>
          <t>Claude Code・Codex・Gemini CLI・Cursorの実践ノウハウ、MCP、AIによる業務改善例を共有する勉強会。</t>
        </is>
      </c>
      <c r="U229" s="15" t="inlineStr">
        <is>
          <t>https://fffff.connpass.com/event/401155/</t>
        </is>
      </c>
      <c r="V229" s="10" t="n"/>
      <c r="W229" s="10" t="inlineStr">
        <is>
          <t>個別確認</t>
        </is>
      </c>
      <c r="X229" s="10" t="inlineStr">
        <is>
          <t>小規模</t>
        </is>
      </c>
    </row>
    <row r="230">
      <c r="A230" s="10" t="n">
        <v>229</v>
      </c>
      <c r="B230" s="11" t="n">
        <v>46239</v>
      </c>
      <c r="C230" s="11" t="n">
        <v>46261</v>
      </c>
      <c r="D230" s="10">
        <f>MONTH(B230)&amp;"月"</f>
        <v/>
      </c>
      <c r="E230" s="12" t="n">
        <v>1</v>
      </c>
      <c r="F230" s="10" t="n"/>
      <c r="G230" s="10" t="inlineStr">
        <is>
          <t>HubSpot AI Breeze エージェント実践ラボ（全6回）</t>
        </is>
      </c>
      <c r="H230" s="10" t="inlineStr">
        <is>
          <t>株式会社100（HubSpot Eliteパートナー）</t>
        </is>
      </c>
      <c r="I230" s="10" t="n"/>
      <c r="J230" s="10" t="inlineStr">
        <is>
          <t>個別調査（公式サイト・PR TIMES等）</t>
        </is>
      </c>
      <c r="K230" s="10" t="inlineStr">
        <is>
          <t>オンライン</t>
        </is>
      </c>
      <c r="L230" s="10" t="inlineStr">
        <is>
          <t>各回40分</t>
        </is>
      </c>
      <c r="M230" s="10" t="inlineStr">
        <is>
          <t>営業・マーケ・CS</t>
        </is>
      </c>
      <c r="N230" s="10" t="inlineStr">
        <is>
          <t>AIエージェント</t>
        </is>
      </c>
      <c r="O230" s="12" t="inlineStr">
        <is>
          <t>◎</t>
        </is>
      </c>
      <c r="P230" s="13" t="n"/>
      <c r="Q230" s="12" t="inlineStr">
        <is>
          <t>不明</t>
        </is>
      </c>
      <c r="R230" s="14" t="n"/>
      <c r="S230" s="10" t="inlineStr">
        <is>
          <t>定員なし</t>
        </is>
      </c>
      <c r="T230" s="10" t="inlineStr">
        <is>
          <t>データ・営業・マーケ・カスタマーサービス・カスタムの各Breezeエージェントを、段階的に実務で使えるようにする連続講座。</t>
        </is>
      </c>
      <c r="U230" s="15" t="inlineStr">
        <is>
          <t>https://www.100inc.co.jp/news/20260710-webinar-hubspot-ai-breeze-lab</t>
        </is>
      </c>
      <c r="V230" s="10" t="n"/>
      <c r="W230" s="10" t="inlineStr">
        <is>
          <t>個別確認</t>
        </is>
      </c>
      <c r="X230" s="10" t="n"/>
    </row>
    <row r="231">
      <c r="A231" s="10" t="n">
        <v>230</v>
      </c>
      <c r="B231" s="11" t="n">
        <v>46239</v>
      </c>
      <c r="C231" s="11" t="n">
        <v>46239</v>
      </c>
      <c r="D231" s="10">
        <f>MONTH(B231)&amp;"月"</f>
        <v/>
      </c>
      <c r="E231" s="12" t="n">
        <v>1</v>
      </c>
      <c r="F231" s="10" t="n"/>
      <c r="G231" s="10" t="inlineStr">
        <is>
          <t>SAP Connect Day &amp; SAP Concur Fusion Exchange 2026 Osaka</t>
        </is>
      </c>
      <c r="H231" s="10" t="inlineStr">
        <is>
          <t>SAPジャパン株式会社</t>
        </is>
      </c>
      <c r="I231" s="10" t="n"/>
      <c r="J231" s="10" t="inlineStr">
        <is>
          <t>ビジネス+IT</t>
        </is>
      </c>
      <c r="K231" s="10" t="inlineStr">
        <is>
          <t>offline</t>
        </is>
      </c>
      <c r="L231" s="10" t="inlineStr">
        <is>
          <t>大阪府</t>
        </is>
      </c>
      <c r="M231" s="10" t="inlineStr">
        <is>
          <t>営業・マーケ・CS</t>
        </is>
      </c>
      <c r="N231" s="10" t="inlineStr">
        <is>
          <t>AIエージェント</t>
        </is>
      </c>
      <c r="O231" s="12" t="inlineStr">
        <is>
          <t>○</t>
        </is>
      </c>
      <c r="P231" s="13" t="n"/>
      <c r="Q231" s="12" t="inlineStr">
        <is>
          <t>不明</t>
        </is>
      </c>
      <c r="R231" s="14" t="n"/>
      <c r="S231" s="10" t="n"/>
      <c r="T231" s="10" t="inlineStr">
        <is>
          <t>Bring out your best at SAP Connect Day. 企業の力を、次の次元へ 外部環境がかつてないスピードで変化する現在、企業には個々の部門最適にとどまらず、全社を俯瞰した全体最適の視点で競争優位を継続的に高めていく力が求められています。SAP Connect Dayは、企業の成長を支えるSAP が掲げる新たな AI ビジョンと、進化した AI エージェント「Joule（ジュール）」を軸に、企業が“次の段階”へ</t>
        </is>
      </c>
      <c r="U231" s="15" t="inlineStr">
        <is>
          <t>https://www.sbbit.jp/eventinfo/89047</t>
        </is>
      </c>
      <c r="V231" s="10" t="n"/>
      <c r="W231" s="10" t="inlineStr">
        <is>
          <t>本文一致</t>
        </is>
      </c>
      <c r="X231" s="10" t="n"/>
    </row>
    <row r="232">
      <c r="A232" s="10" t="n">
        <v>231</v>
      </c>
      <c r="B232" s="11" t="n">
        <v>46239</v>
      </c>
      <c r="C232" s="11" t="n">
        <v>46239</v>
      </c>
      <c r="D232" s="10">
        <f>MONTH(B232)&amp;"月"</f>
        <v/>
      </c>
      <c r="E232" s="12" t="n">
        <v>1</v>
      </c>
      <c r="F232" s="10" t="n"/>
      <c r="G232" s="10" t="inlineStr">
        <is>
          <t>【8/5(水)|経営者限定】エンジニア不在で『Claude Code』は使えるか?「調べるAI」から「やってくれるAI」へ。ChatGPTとの違いを本音解説</t>
        </is>
      </c>
      <c r="H232" s="10" t="inlineStr">
        <is>
          <t>株式会社フルバリュー</t>
        </is>
      </c>
      <c r="I232" s="10" t="n"/>
      <c r="J232" s="10" t="inlineStr">
        <is>
          <t>こくちーずプロ</t>
        </is>
      </c>
      <c r="K232" s="10" t="inlineStr">
        <is>
          <t>オンライン</t>
        </is>
      </c>
      <c r="L232" s="10" t="inlineStr">
        <is>
          <t>オンライン 日本</t>
        </is>
      </c>
      <c r="M232" s="10" t="inlineStr">
        <is>
          <t>生産性向上・業務効率化</t>
        </is>
      </c>
      <c r="N232" s="10" t="inlineStr">
        <is>
          <t>AIエージェント</t>
        </is>
      </c>
      <c r="O232" s="12" t="inlineStr">
        <is>
          <t>◎</t>
        </is>
      </c>
      <c r="P232" s="13" t="n"/>
      <c r="Q232" s="12" t="inlineStr">
        <is>
          <t>不明</t>
        </is>
      </c>
      <c r="R232" s="14" t="n"/>
      <c r="S232" s="10" t="n"/>
      <c r="T232" s="10" t="inlineStr">
        <is>
          <t>【8/5(水)開催｜経営者向けオンラインセミナー】 エンジニアがいない会社で『Claude Code』は使えるのか？〜 「調べる」止まりのAIから、「やってくれる」AIへ。 ChatGPTとの3つの違いと、できること・できないこと〜 ■ このような経営者様におすすめです ・ChatGPTを導入したが、結局「検索」や「文章要約」くらいにしか使えていない ・「業務を自動化したい」と思っているが、社内にエンジニアやIT担当者がいない ・最新の</t>
        </is>
      </c>
      <c r="U232" s="15" t="inlineStr">
        <is>
          <t>https://www.kokuchpro.com/event/5e217a67b0a473746353f8239ed80512/</t>
        </is>
      </c>
      <c r="V232" s="10" t="n"/>
      <c r="W232" s="10" t="inlineStr">
        <is>
          <t>タイトル一致</t>
        </is>
      </c>
      <c r="X232" s="10" t="n"/>
    </row>
    <row r="233">
      <c r="A233" s="10" t="n">
        <v>232</v>
      </c>
      <c r="B233" s="11" t="n">
        <v>46239</v>
      </c>
      <c r="C233" s="11" t="n">
        <v>46239</v>
      </c>
      <c r="D233" s="10">
        <f>MONTH(B233)&amp;"月"</f>
        <v/>
      </c>
      <c r="E233" s="12" t="n">
        <v>1</v>
      </c>
      <c r="F233" s="10" t="n"/>
      <c r="G233" s="10" t="inlineStr">
        <is>
          <t>【AG-UI × A2UI × MCP Apps】Generative UIをやさしく解説する</t>
        </is>
      </c>
      <c r="H233" s="10" t="inlineStr">
        <is>
          <t>NRIネットコム株式会社</t>
        </is>
      </c>
      <c r="I233" s="10" t="n"/>
      <c r="J233" s="10" t="inlineStr">
        <is>
          <t>connpass</t>
        </is>
      </c>
      <c r="K233" s="10" t="inlineStr">
        <is>
          <t>会場</t>
        </is>
      </c>
      <c r="L233" s="10" t="inlineStr">
        <is>
          <t>(場所未定)</t>
        </is>
      </c>
      <c r="M233" s="10" t="inlineStr">
        <is>
          <t>技術・AI全般</t>
        </is>
      </c>
      <c r="N233" s="10" t="inlineStr">
        <is>
          <t>MCP</t>
        </is>
      </c>
      <c r="O233" s="12" t="inlineStr">
        <is>
          <t>○</t>
        </is>
      </c>
      <c r="P233" s="13" t="n">
        <v>11</v>
      </c>
      <c r="Q233" s="12" t="inlineStr">
        <is>
          <t>参加者数</t>
        </is>
      </c>
      <c r="R233" s="14" t="n"/>
      <c r="S233" s="10" t="n"/>
      <c r="T233" s="10" t="n"/>
      <c r="U233" s="15" t="inlineStr">
        <is>
          <t>https://nrinetcom.connpass.com/event/401251/</t>
        </is>
      </c>
      <c r="V233" s="10" t="n"/>
      <c r="W233" s="10" t="inlineStr">
        <is>
          <t>タイトル一致</t>
        </is>
      </c>
      <c r="X233" s="10" t="n"/>
    </row>
    <row r="234">
      <c r="A234" s="10" t="n">
        <v>233</v>
      </c>
      <c r="B234" s="11" t="n">
        <v>46239</v>
      </c>
      <c r="C234" s="11" t="n">
        <v>46239</v>
      </c>
      <c r="D234" s="10">
        <f>MONTH(B234)&amp;"月"</f>
        <v/>
      </c>
      <c r="E234" s="12" t="n">
        <v>1</v>
      </c>
      <c r="F234" s="10" t="n"/>
      <c r="G234" s="10" t="inlineStr">
        <is>
          <t>【AIエージェント】Boomi、サイオステクノロジーと共催ウェビナーを開催『AIエージェントを作る・統制する・組み込む ～安全な本番運用を支えるAIガードレールと連携基盤～』</t>
        </is>
      </c>
      <c r="H234" s="10" t="inlineStr">
        <is>
          <t>サイオステクノロジー株式会社、Boomi株式会社</t>
        </is>
      </c>
      <c r="I234" s="10" t="n"/>
      <c r="J234" s="10" t="inlineStr">
        <is>
          <t>PR TIMES</t>
        </is>
      </c>
      <c r="K234" s="10" t="inlineStr">
        <is>
          <t>online</t>
        </is>
      </c>
      <c r="L234" s="10" t="inlineStr">
        <is>
          <t>オンライン（ウェビナーツール：Zoom）</t>
        </is>
      </c>
      <c r="M234" s="10" t="inlineStr">
        <is>
          <t>生産性向上・業務効率化</t>
        </is>
      </c>
      <c r="N234" s="10" t="inlineStr">
        <is>
          <t>AIエージェント</t>
        </is>
      </c>
      <c r="O234" s="12" t="inlineStr">
        <is>
          <t>◎</t>
        </is>
      </c>
      <c r="P234" s="13" t="n"/>
      <c r="Q234" s="12" t="inlineStr">
        <is>
          <t>不明</t>
        </is>
      </c>
      <c r="R234" s="14" t="n"/>
      <c r="S234" s="10" t="n"/>
      <c r="T234" s="10" t="inlineStr">
        <is>
          <t>AI活用に向けてデータを価値に変える基盤「Boomi Enterprise Platform」を提供するBoomi株式会社（東京都渋谷区、代表取締役社長 CEO：河野 英太郎、以下Boomi）は、サイオステクノロジー株式会社（東京都港区、代表取締役社長：喜多 伸夫、以下サイオステクノロジー）と共催で、2026年8月5日（水）12:15〜13:00に、『AIエージェントを作る・統制する・組み込む ～安全な本番運用を支えるAIガードレールと</t>
        </is>
      </c>
      <c r="U234" s="15" t="inlineStr">
        <is>
          <t>https://prtimes.jp/main/html/rd/p/000000098.000068656.html</t>
        </is>
      </c>
      <c r="V234" s="10" t="n"/>
      <c r="W234" s="10" t="inlineStr">
        <is>
          <t>タイトル一致</t>
        </is>
      </c>
      <c r="X234" s="10" t="n"/>
    </row>
    <row r="235">
      <c r="A235" s="10" t="n">
        <v>234</v>
      </c>
      <c r="B235" s="11" t="n">
        <v>46239</v>
      </c>
      <c r="C235" s="11" t="n">
        <v>46239</v>
      </c>
      <c r="D235" s="10">
        <f>MONTH(B235)&amp;"月"</f>
        <v/>
      </c>
      <c r="E235" s="12" t="n">
        <v>1</v>
      </c>
      <c r="F235" s="10" t="n"/>
      <c r="G235" s="10" t="inlineStr">
        <is>
          <t>【オンラインセミナー】AmiVoice×AWS 声がAIエージェントを動かす 高機能な音声入力との連携で、現場業務はここまで変わる【8月5日（水）共催】</t>
        </is>
      </c>
      <c r="H235" s="10" t="inlineStr">
        <is>
          <t>株式会社アドバンスト・メディア</t>
        </is>
      </c>
      <c r="I235" s="10" t="n"/>
      <c r="J235" s="10" t="inlineStr">
        <is>
          <t>PR TIMES</t>
        </is>
      </c>
      <c r="K235" s="10" t="inlineStr">
        <is>
          <t>online</t>
        </is>
      </c>
      <c r="L235" s="10" t="inlineStr">
        <is>
          <t>オンライン</t>
        </is>
      </c>
      <c r="M235" s="10" t="inlineStr">
        <is>
          <t>生産性向上・業務効率化</t>
        </is>
      </c>
      <c r="N235" s="10" t="inlineStr">
        <is>
          <t>AIエージェント</t>
        </is>
      </c>
      <c r="O235" s="12" t="inlineStr">
        <is>
          <t>◎</t>
        </is>
      </c>
      <c r="P235" s="13" t="n"/>
      <c r="Q235" s="12" t="inlineStr">
        <is>
          <t>不明</t>
        </is>
      </c>
      <c r="R235" s="14" t="n"/>
      <c r="S235" s="10" t="n"/>
      <c r="T235" s="10" t="inlineStr">
        <is>
          <t>2026年8月5日（水）、株式会社アドバンスト・メディア（本社：東京都豊島区、代表取締役会長兼社長：鈴木清幸 以下、アドバンスト・メディア）は、オンラインセミナー「AmiVoice×AWS 声がAIエージェントを動かす 高機能な音声入力との連携で、現場業務はここまで変わる」を共催いたします。 詳細・お申込みはこちら 本セミナーでは、AWSの最新AIサービスとAmiVoice APIを活用した音声インターフェースの実践事例を通じて、AIエ</t>
        </is>
      </c>
      <c r="U235" s="15" t="inlineStr">
        <is>
          <t>https://prtimes.jp/main/html/rd/p/000000783.000020223.html</t>
        </is>
      </c>
      <c r="V235" s="10" t="n"/>
      <c r="W235" s="10" t="inlineStr">
        <is>
          <t>タイトル一致</t>
        </is>
      </c>
      <c r="X235" s="10" t="n"/>
    </row>
    <row r="236">
      <c r="A236" s="10" t="n">
        <v>235</v>
      </c>
      <c r="B236" s="11" t="n">
        <v>46239</v>
      </c>
      <c r="C236" s="11" t="n">
        <v>46239</v>
      </c>
      <c r="D236" s="10">
        <f>MONTH(B236)&amp;"月"</f>
        <v/>
      </c>
      <c r="E236" s="12" t="n">
        <v>1</v>
      </c>
      <c r="F236" s="10" t="n"/>
      <c r="G236" s="10" t="inlineStr">
        <is>
          <t>【営業マネージャー必見!】 B2B営業の失注・期ズレを撲滅する!!  AIに依頼するたった10秒の「案件ヘルスチェックと必殺プロンプト」</t>
        </is>
      </c>
      <c r="H236" s="10" t="inlineStr">
        <is>
          <t>SALES GO株式会社</t>
        </is>
      </c>
      <c r="I236" s="10" t="n"/>
      <c r="J236" s="10" t="inlineStr">
        <is>
          <t>こくちーずプロ</t>
        </is>
      </c>
      <c r="K236" s="10" t="inlineStr">
        <is>
          <t>オンライン</t>
        </is>
      </c>
      <c r="L236" s="10" t="inlineStr">
        <is>
          <t>オンライン 日本</t>
        </is>
      </c>
      <c r="M236" s="10" t="inlineStr">
        <is>
          <t>営業・マーケ・CS</t>
        </is>
      </c>
      <c r="N236" s="10" t="inlineStr">
        <is>
          <t>AIエージェント</t>
        </is>
      </c>
      <c r="O236" s="12" t="inlineStr">
        <is>
          <t>○</t>
        </is>
      </c>
      <c r="P236" s="13" t="n"/>
      <c r="Q236" s="12" t="inlineStr">
        <is>
          <t>不明</t>
        </is>
      </c>
      <c r="R236" s="14" t="n"/>
      <c r="S236" s="10" t="n"/>
      <c r="T236" s="10" t="inlineStr">
        <is>
          <t>【営業×AI】10秒でリスクを見抜く案件管理セミナー イベント形態：オンライン（Zoom） 料金：無料 開催日時：2026年8月5日(水) 16:30〜16:50 ウェビナー概要 多くの営業マネージャーが、部下の"ヨミ"の甘さによる直前の失注や、予期せぬ期ズレに頭を悩ませ、Excelでの進捗管理や度重なる会議に限界を感じています。 しかし、これまでの勘と経験だけに頼る属人的な案件管理の時代はもう終わりにしましょう。 本セミナーでは、プロ</t>
        </is>
      </c>
      <c r="U236" s="15" t="inlineStr">
        <is>
          <t>https://www.kokuchpro.com/event/d4089f7f0de2dfc567d3960f9f5649ea/</t>
        </is>
      </c>
      <c r="V236" s="10" t="n"/>
      <c r="W236" s="10" t="inlineStr">
        <is>
          <t>本文一致</t>
        </is>
      </c>
      <c r="X236" s="10" t="n"/>
    </row>
    <row r="237">
      <c r="A237" s="10" t="n">
        <v>236</v>
      </c>
      <c r="B237" s="11" t="n">
        <v>46239</v>
      </c>
      <c r="C237" s="11" t="n">
        <v>46239</v>
      </c>
      <c r="D237" s="10">
        <f>MONTH(B237)&amp;"月"</f>
        <v/>
      </c>
      <c r="E237" s="12" t="n">
        <v>1</v>
      </c>
      <c r="F237" s="10" t="n"/>
      <c r="G237" s="10" t="inlineStr">
        <is>
          <t>企業内検索×生成AIで業務改革【RAGの最適解、企業内検索×生成AIがもたらす効果】</t>
        </is>
      </c>
      <c r="H237" s="10" t="inlineStr">
        <is>
          <t>「QuickSolution」紹介ウェビナー担当</t>
        </is>
      </c>
      <c r="I237" s="10" t="n"/>
      <c r="J237" s="10" t="inlineStr">
        <is>
          <t>こくちーずプロ</t>
        </is>
      </c>
      <c r="K237" s="10" t="inlineStr">
        <is>
          <t>オンライン</t>
        </is>
      </c>
      <c r="L237" s="10" t="inlineStr">
        <is>
          <t>オンライン 日本</t>
        </is>
      </c>
      <c r="M237" s="10" t="inlineStr">
        <is>
          <t>生産性向上・業務効率化</t>
        </is>
      </c>
      <c r="N237" s="10" t="inlineStr">
        <is>
          <t>AIエージェント</t>
        </is>
      </c>
      <c r="O237" s="12" t="inlineStr">
        <is>
          <t>○</t>
        </is>
      </c>
      <c r="P237" s="13" t="n"/>
      <c r="Q237" s="12" t="inlineStr">
        <is>
          <t>不明</t>
        </is>
      </c>
      <c r="R237" s="14" t="n"/>
      <c r="S237" s="10" t="n"/>
      <c r="T237"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237" s="15" t="inlineStr">
        <is>
          <t>https://www.kokuchpro.com/event/f12384e9b239d3cba04702bfa14312d0/</t>
        </is>
      </c>
      <c r="V237" s="10" t="n"/>
      <c r="W237" s="10" t="inlineStr">
        <is>
          <t>本文一致</t>
        </is>
      </c>
      <c r="X237" s="10" t="n"/>
    </row>
    <row r="238">
      <c r="A238" s="10" t="n">
        <v>237</v>
      </c>
      <c r="B238" s="11" t="n">
        <v>46239</v>
      </c>
      <c r="C238" s="11" t="n">
        <v>46239</v>
      </c>
      <c r="D238" s="10">
        <f>MONTH(B238)&amp;"月"</f>
        <v/>
      </c>
      <c r="E238" s="12" t="n">
        <v>1</v>
      </c>
      <c r="F238" s="10" t="n"/>
      <c r="G238" s="10" t="inlineStr">
        <is>
          <t>日鉄ソリューションズが実践！AIで変わる営業業務と帳票運用の最前線</t>
        </is>
      </c>
      <c r="H238" s="10" t="inlineStr">
        <is>
          <t>ウイングアーク１ｓｔ株式会社</t>
        </is>
      </c>
      <c r="I238" s="10" t="n"/>
      <c r="J238" s="10" t="inlineStr">
        <is>
          <t>ビジネス+IT</t>
        </is>
      </c>
      <c r="K238" s="10" t="inlineStr">
        <is>
          <t>online</t>
        </is>
      </c>
      <c r="L238" s="10" t="inlineStr">
        <is>
          <t>オンライン</t>
        </is>
      </c>
      <c r="M238" s="10" t="inlineStr">
        <is>
          <t>営業・マーケ・CS</t>
        </is>
      </c>
      <c r="N238" s="10" t="inlineStr">
        <is>
          <t>AIエージェント</t>
        </is>
      </c>
      <c r="O238" s="12" t="inlineStr">
        <is>
          <t>○</t>
        </is>
      </c>
      <c r="P238" s="13" t="n"/>
      <c r="Q238" s="12" t="inlineStr">
        <is>
          <t>不明</t>
        </is>
      </c>
      <c r="R238" s="14" t="n"/>
      <c r="S238" s="10" t="n"/>
      <c r="T238" s="10" t="inlineStr">
        <is>
          <t>「Agentforceは実際の現場でどう活用されているのか？」 本セミナーでは、Agentforceで営業DXを推進している日鉄ソリューションズ様にご登壇いただき、見積作成業務を「ほぼゼロ」にしたリアルな活用事例をご紹介します。 AIエージェントを活用した営業DXプロジェクトでは、SVF Cloudと連携した帳票生成まで含めた改善プロジェクトの実践例を解説。PoCで終わらせず、現場業務へ定着させるためのポイントを、ユーザー視点で具体的に</t>
        </is>
      </c>
      <c r="U238" s="15" t="inlineStr">
        <is>
          <t>https://www.sbbit.jp/eventinfo/89496</t>
        </is>
      </c>
      <c r="V238" s="10" t="n"/>
      <c r="W238" s="10" t="inlineStr">
        <is>
          <t>本文一致</t>
        </is>
      </c>
      <c r="X238" s="10" t="n"/>
    </row>
    <row r="239">
      <c r="A239" s="10" t="n">
        <v>238</v>
      </c>
      <c r="B239" s="11" t="n">
        <v>46239</v>
      </c>
      <c r="C239" s="11" t="n">
        <v>46239</v>
      </c>
      <c r="D239" s="10">
        <f>MONTH(B239)&amp;"月"</f>
        <v/>
      </c>
      <c r="E239" s="12" t="n">
        <v>1</v>
      </c>
      <c r="F239" s="10" t="n"/>
      <c r="G239" s="10" t="inlineStr">
        <is>
          <t>（増枠！）Claude Code Skills利用Skill Top5 誕生と運用の苦労も大公開！</t>
        </is>
      </c>
      <c r="H239" s="10" t="inlineStr">
        <is>
          <t>Findy AI+</t>
        </is>
      </c>
      <c r="I239" s="10" t="n"/>
      <c r="J239" s="10" t="inlineStr">
        <is>
          <t>connpass</t>
        </is>
      </c>
      <c r="K239" s="10" t="inlineStr">
        <is>
          <t>会場</t>
        </is>
      </c>
      <c r="L239" s="10" t="inlineStr">
        <is>
          <t>東京都品川区大崎1丁目2−2（アートヴィレッジ大崎セントラルタワー）5F</t>
        </is>
      </c>
      <c r="M239" s="10" t="inlineStr">
        <is>
          <t>開発生産性</t>
        </is>
      </c>
      <c r="N239" s="10" t="inlineStr">
        <is>
          <t>AIエージェント</t>
        </is>
      </c>
      <c r="O239" s="12" t="inlineStr">
        <is>
          <t>○</t>
        </is>
      </c>
      <c r="P239" s="13" t="n">
        <v>308</v>
      </c>
      <c r="Q239" s="12" t="inlineStr">
        <is>
          <t>参加者数</t>
        </is>
      </c>
      <c r="R239" s="14" t="n">
        <v>370</v>
      </c>
      <c r="S239" s="10" t="n"/>
      <c r="T239" s="10" t="n"/>
      <c r="U239" s="15" t="inlineStr">
        <is>
          <t>https://findy-aiplus.connpass.com/event/401265/</t>
        </is>
      </c>
      <c r="V239" s="10" t="n"/>
      <c r="W239" s="10" t="inlineStr">
        <is>
          <t>タイトル一致</t>
        </is>
      </c>
      <c r="X239" s="10" t="n"/>
    </row>
    <row r="240">
      <c r="A240" s="10" t="n">
        <v>239</v>
      </c>
      <c r="B240" s="11" t="n">
        <v>46240</v>
      </c>
      <c r="C240" s="11" t="n">
        <v>46240</v>
      </c>
      <c r="D240" s="10">
        <f>MONTH(B240)&amp;"月"</f>
        <v/>
      </c>
      <c r="E240" s="12" t="n">
        <v>1</v>
      </c>
      <c r="F240" s="10" t="n"/>
      <c r="G240" s="10" t="inlineStr">
        <is>
          <t>AI エージェント開発実践編</t>
        </is>
      </c>
      <c r="H240" s="10" t="inlineStr">
        <is>
          <t>インターシステムズ開発者コミュニティのグループ</t>
        </is>
      </c>
      <c r="I240" s="10" t="n"/>
      <c r="J240" s="10" t="inlineStr">
        <is>
          <t>connpass</t>
        </is>
      </c>
      <c r="K240" s="10" t="inlineStr">
        <is>
          <t>オンライン</t>
        </is>
      </c>
      <c r="L240" s="10" t="inlineStr">
        <is>
          <t>オンライン</t>
        </is>
      </c>
      <c r="M240" s="10" t="inlineStr">
        <is>
          <t>開発生産性</t>
        </is>
      </c>
      <c r="N240" s="10" t="inlineStr">
        <is>
          <t>AIエージェント</t>
        </is>
      </c>
      <c r="O240" s="12" t="inlineStr">
        <is>
          <t>○</t>
        </is>
      </c>
      <c r="P240" s="13" t="n">
        <v>9</v>
      </c>
      <c r="Q240" s="12" t="inlineStr">
        <is>
          <t>参加者数</t>
        </is>
      </c>
      <c r="R240" s="14" t="n">
        <v>50</v>
      </c>
      <c r="S240" s="10" t="n"/>
      <c r="T240" s="10" t="n"/>
      <c r="U240" s="15" t="inlineStr">
        <is>
          <t>https://intersystems-dc.connpass.com/event/399906/</t>
        </is>
      </c>
      <c r="V240" s="10" t="n"/>
      <c r="W240" s="10" t="inlineStr">
        <is>
          <t>タイトル一致</t>
        </is>
      </c>
      <c r="X240" s="10" t="n"/>
    </row>
    <row r="241">
      <c r="A241" s="10" t="n">
        <v>240</v>
      </c>
      <c r="B241" s="11" t="n">
        <v>46240</v>
      </c>
      <c r="C241" s="11" t="n">
        <v>46240</v>
      </c>
      <c r="D241" s="10">
        <f>MONTH(B241)&amp;"月"</f>
        <v/>
      </c>
      <c r="E241" s="12" t="n">
        <v>1</v>
      </c>
      <c r="F241" s="10" t="n"/>
      <c r="G241" s="10" t="inlineStr">
        <is>
          <t>Claude × Salesforce 活用大全 ──AI時代の営業生産性向上術</t>
        </is>
      </c>
      <c r="H241" s="10" t="inlineStr">
        <is>
          <t>SalesNowウェビナー事務局</t>
        </is>
      </c>
      <c r="I241" s="10" t="n"/>
      <c r="J241" s="10" t="inlineStr">
        <is>
          <t>こくちーずプロ</t>
        </is>
      </c>
      <c r="K241" s="10" t="inlineStr">
        <is>
          <t>オンライン</t>
        </is>
      </c>
      <c r="L241" s="10" t="inlineStr">
        <is>
          <t>オンライン 日本</t>
        </is>
      </c>
      <c r="M241" s="10" t="inlineStr">
        <is>
          <t>営業・マーケ・CS</t>
        </is>
      </c>
      <c r="N241" s="10" t="inlineStr">
        <is>
          <t>AIエージェント</t>
        </is>
      </c>
      <c r="O241" s="12" t="inlineStr">
        <is>
          <t>○</t>
        </is>
      </c>
      <c r="P241" s="13" t="n"/>
      <c r="Q241" s="12" t="inlineStr">
        <is>
          <t>不明</t>
        </is>
      </c>
      <c r="R241" s="14" t="n"/>
      <c r="S241" s="10" t="n"/>
      <c r="T241" s="10" t="inlineStr">
        <is>
          <t>ウェビナー概要 AIの登場で、Salesforce の使い方は大きく変わりつつあります。データの分析やレポート作成、日々のデータ整備といった、これまで手作業で行っていた多くのことを、AIに任せられるようになってきました。 本ウェビナーは、Claude × Salesforce でできることを一つに集めた「活用大全」です。営業データを「見る・動かす・任せる」の3ステップに沿って、営業の現場で使える10の活用法を解説します。 ご紹介するのは</t>
        </is>
      </c>
      <c r="U241" s="15" t="inlineStr">
        <is>
          <t>https://www.kokuchpro.com/event/688252a6c2b580742b53d3c6e681502a/</t>
        </is>
      </c>
      <c r="V241" s="10" t="n"/>
      <c r="W241" s="10" t="inlineStr">
        <is>
          <t>本文一致</t>
        </is>
      </c>
      <c r="X241" s="10" t="n"/>
    </row>
    <row r="242">
      <c r="A242" s="10" t="n">
        <v>241</v>
      </c>
      <c r="B242" s="11" t="n">
        <v>46240</v>
      </c>
      <c r="C242" s="11" t="n">
        <v>46240</v>
      </c>
      <c r="D242" s="10">
        <f>MONTH(B242)&amp;"月"</f>
        <v/>
      </c>
      <c r="E242" s="12" t="n">
        <v>1</v>
      </c>
      <c r="F242" s="10" t="n"/>
      <c r="G242" s="10" t="inlineStr">
        <is>
          <t>【初心者歓迎】Claude Code のベストプラクティスを知りたいひと集まれ 第二弾！</t>
        </is>
      </c>
      <c r="H242" s="10" t="inlineStr">
        <is>
          <t>ペチオブ</t>
        </is>
      </c>
      <c r="I242" s="10" t="n"/>
      <c r="J242" s="10" t="inlineStr">
        <is>
          <t>connpass</t>
        </is>
      </c>
      <c r="K242" s="10" t="inlineStr">
        <is>
          <t>会場</t>
        </is>
      </c>
      <c r="L242" s="10" t="inlineStr">
        <is>
          <t>東京都千代田区鍛冶町2-8-14AD神田駅東口ビルⅡ 3F</t>
        </is>
      </c>
      <c r="M242" s="10" t="inlineStr">
        <is>
          <t>開発生産性</t>
        </is>
      </c>
      <c r="N242" s="10" t="inlineStr">
        <is>
          <t>AIエージェント</t>
        </is>
      </c>
      <c r="O242" s="12" t="inlineStr">
        <is>
          <t>○</t>
        </is>
      </c>
      <c r="P242" s="13" t="n">
        <v>45</v>
      </c>
      <c r="Q242" s="12" t="inlineStr">
        <is>
          <t>参加者数</t>
        </is>
      </c>
      <c r="R242" s="14" t="n"/>
      <c r="S242" s="10" t="n"/>
      <c r="T242" s="10" t="n"/>
      <c r="U242" s="15" t="inlineStr">
        <is>
          <t>https://phper-oop.connpass.com/event/398585/</t>
        </is>
      </c>
      <c r="V242" s="10" t="n"/>
      <c r="W242" s="10" t="inlineStr">
        <is>
          <t>タイトル一致</t>
        </is>
      </c>
      <c r="X242" s="10" t="n"/>
    </row>
    <row r="243">
      <c r="A243" s="10" t="n">
        <v>242</v>
      </c>
      <c r="B243" s="11" t="n">
        <v>46240</v>
      </c>
      <c r="C243" s="11" t="n">
        <v>46240</v>
      </c>
      <c r="D243" s="10">
        <f>MONTH(B243)&amp;"月"</f>
        <v/>
      </c>
      <c r="E243" s="12" t="n">
        <v>1</v>
      </c>
      <c r="F243" s="10" t="n"/>
      <c r="G243" s="10" t="inlineStr">
        <is>
          <t>オンラインセミナー『毎月30万円、払いすぎていませんか? AIで見直すシステム費・人件費のムダ』</t>
        </is>
      </c>
      <c r="H243" s="10" t="inlineStr">
        <is>
          <t>オンラインセミナー『毎月30万円、払いすぎていませんか? AIで見直すシステム費・人件費のムダ』事務局</t>
        </is>
      </c>
      <c r="I243" s="10" t="n"/>
      <c r="J243" s="10" t="inlineStr">
        <is>
          <t>こくちーずプロ</t>
        </is>
      </c>
      <c r="K243" s="10" t="inlineStr">
        <is>
          <t>オンライン</t>
        </is>
      </c>
      <c r="L243" s="10" t="inlineStr">
        <is>
          <t>オンライン 日本</t>
        </is>
      </c>
      <c r="M243" s="10" t="inlineStr">
        <is>
          <t>営業・マーケ・CS</t>
        </is>
      </c>
      <c r="N243" s="10" t="inlineStr">
        <is>
          <t>AIエージェント</t>
        </is>
      </c>
      <c r="O243" s="12" t="inlineStr">
        <is>
          <t>○</t>
        </is>
      </c>
      <c r="P243" s="13" t="n">
        <v>2</v>
      </c>
      <c r="Q243" s="12" t="inlineStr">
        <is>
          <t>イベント参加 2/20</t>
        </is>
      </c>
      <c r="R243" s="14" t="n">
        <v>20</v>
      </c>
      <c r="S243" s="10" t="n"/>
      <c r="T243" s="10" t="inlineStr">
        <is>
          <t>セミナー概要 毎月30万円、払いすぎていませんか？ 使い切れていないSaaS・ITツール、システム会社への保守費用、ホームページの更新費、データ入力や帳票作成にかかる人件費。これまで必要だと思って支払ってきた費用も、AIの進化によって見直せるようになっています。 AIエージェントをシステムに組み込めば、入力、確認、集計、通知、資料作成といった業務を自動化できます。社内システムや基幹システムも、修正のたびに開発会社へ依頼するのではなく、自</t>
        </is>
      </c>
      <c r="U243" s="15" t="inlineStr">
        <is>
          <t>https://www.kokuchpro.com/event/2dda0f2c2e43167cd05d1576d2644460/</t>
        </is>
      </c>
      <c r="V243" s="10" t="n"/>
      <c r="W243" s="10" t="inlineStr">
        <is>
          <t>本文一致</t>
        </is>
      </c>
      <c r="X243" s="10" t="n"/>
    </row>
    <row r="244">
      <c r="A244" s="10" t="n">
        <v>243</v>
      </c>
      <c r="B244" s="11" t="n">
        <v>46240</v>
      </c>
      <c r="C244" s="11" t="n">
        <v>46240</v>
      </c>
      <c r="D244" s="10">
        <f>MONTH(B244)&amp;"月"</f>
        <v/>
      </c>
      <c r="E244" s="12" t="n">
        <v>1</v>
      </c>
      <c r="F244" s="10" t="n"/>
      <c r="G244" s="10" t="inlineStr">
        <is>
          <t>マーケティングAI社員(Codex)でシステムを構築するライブセミナー</t>
        </is>
      </c>
      <c r="H244" s="10" t="inlineStr">
        <is>
          <t>えるらぼ事務局</t>
        </is>
      </c>
      <c r="I244" s="10" t="n"/>
      <c r="J244" s="10" t="inlineStr">
        <is>
          <t>こくちーずプロ</t>
        </is>
      </c>
      <c r="K244" s="10" t="inlineStr">
        <is>
          <t>オンライン</t>
        </is>
      </c>
      <c r="L244" s="10" t="inlineStr">
        <is>
          <t>オンライン 日本</t>
        </is>
      </c>
      <c r="M244" s="10" t="inlineStr">
        <is>
          <t>営業・マーケ・CS</t>
        </is>
      </c>
      <c r="N244" s="10" t="inlineStr">
        <is>
          <t>AIエージェント</t>
        </is>
      </c>
      <c r="O244" s="12" t="inlineStr">
        <is>
          <t>◎</t>
        </is>
      </c>
      <c r="P244" s="13" t="n">
        <v>0</v>
      </c>
      <c r="Q244" s="12" t="inlineStr">
        <is>
          <t>イベント参加 0/10</t>
        </is>
      </c>
      <c r="R244" s="14" t="n">
        <v>10</v>
      </c>
      <c r="S244" s="10" t="n"/>
      <c r="T244" s="10" t="inlineStr">
        <is>
          <t>年商1000万円〜3000万円で頭打ちの経営者の方へ。 LP、LINE、申込フォーム、決済、顧客フォロー。 これらを外注に依頼して作ったものの、 「中身がよくわからない」 「自社で修正・改善できない」 「担当者や外注先が変わると、また一から説明が必要になる」 と感じたことはありませんか？ 外注すること自体が悪いわけではありません。 問題は、設計や判断基準まで外注任せになり、 会社の中にノウハウや収益導線が残らないことです。 今回のライブ</t>
        </is>
      </c>
      <c r="U244" s="15" t="inlineStr">
        <is>
          <t>https://www.kokuchpro.com/event/7c56a9d1407ab0e8142d8a6060aae585/</t>
        </is>
      </c>
      <c r="V244" s="10" t="n"/>
      <c r="W244" s="10" t="inlineStr">
        <is>
          <t>タイトル一致</t>
        </is>
      </c>
      <c r="X244" s="10" t="n"/>
    </row>
    <row r="245">
      <c r="A245" s="10" t="n">
        <v>244</v>
      </c>
      <c r="B245" s="11" t="n">
        <v>46240</v>
      </c>
      <c r="C245" s="11" t="n">
        <v>46240</v>
      </c>
      <c r="D245" s="10">
        <f>MONTH(B245)&amp;"月"</f>
        <v/>
      </c>
      <c r="E245" s="12" t="n">
        <v>1</v>
      </c>
      <c r="F245" s="10" t="n"/>
      <c r="G245" s="10" t="inlineStr">
        <is>
          <t>熟練者のノウハウをAIで継承―スキル継承×暗黙知の可視化で実現</t>
        </is>
      </c>
      <c r="H245" s="10" t="inlineStr">
        <is>
          <t>ストックマーク</t>
        </is>
      </c>
      <c r="I245" s="10" t="n"/>
      <c r="J245" s="10" t="inlineStr">
        <is>
          <t>個別調査（公式サイト・PR TIMES等）</t>
        </is>
      </c>
      <c r="K245" s="10" t="inlineStr">
        <is>
          <t>オンライン</t>
        </is>
      </c>
      <c r="L245" s="10" t="n"/>
      <c r="M245" s="10" t="inlineStr">
        <is>
          <t>生産管理・製造・SCM</t>
        </is>
      </c>
      <c r="N245" s="10" t="inlineStr">
        <is>
          <t>AIエージェント</t>
        </is>
      </c>
      <c r="O245" s="12" t="inlineStr">
        <is>
          <t>◎</t>
        </is>
      </c>
      <c r="P245" s="13" t="n"/>
      <c r="Q245" s="12" t="inlineStr">
        <is>
          <t>不明</t>
        </is>
      </c>
      <c r="R245" s="14" t="n"/>
      <c r="S245" s="10" t="inlineStr">
        <is>
          <t>2026/4/22開催回の再配信</t>
        </is>
      </c>
      <c r="T245" s="10" t="inlineStr">
        <is>
          <t>製造業向けAIエージェント「Aconnect」を使い、熟練者の暗黙知を可視化して技能を継承する方法を紹介する。</t>
        </is>
      </c>
      <c r="U245" s="15" t="inlineStr">
        <is>
          <t>https://aconnect.stockmark.co.jp/seminar/20260806/</t>
        </is>
      </c>
      <c r="V245" s="10" t="n"/>
      <c r="W245" s="10" t="inlineStr">
        <is>
          <t>個別確認</t>
        </is>
      </c>
      <c r="X245" s="10" t="n"/>
    </row>
    <row r="246">
      <c r="A246" s="10" t="n">
        <v>245</v>
      </c>
      <c r="B246" s="11" t="n">
        <v>46241</v>
      </c>
      <c r="C246" s="11" t="n">
        <v>46241</v>
      </c>
      <c r="D246" s="10">
        <f>MONTH(B246)&amp;"月"</f>
        <v/>
      </c>
      <c r="E246" s="12" t="n">
        <v>1</v>
      </c>
      <c r="F246" s="10" t="n"/>
      <c r="G246" s="10" t="inlineStr">
        <is>
          <t>8/7 Claude Codeエンジニア回　「指示待ちClaude、卒業。」</t>
        </is>
      </c>
      <c r="H246" s="10" t="inlineStr">
        <is>
          <t>KatsuYoshitake</t>
        </is>
      </c>
      <c r="I246" s="10" t="n"/>
      <c r="J246" s="10" t="inlineStr">
        <is>
          <t>connpass</t>
        </is>
      </c>
      <c r="K246" s="10" t="inlineStr">
        <is>
          <t>会場</t>
        </is>
      </c>
      <c r="L246" s="10" t="inlineStr">
        <is>
          <t>(場所未定)</t>
        </is>
      </c>
      <c r="M246" s="10" t="inlineStr">
        <is>
          <t>開発生産性</t>
        </is>
      </c>
      <c r="N246" s="10" t="inlineStr">
        <is>
          <t>AIエージェント</t>
        </is>
      </c>
      <c r="O246" s="12" t="inlineStr">
        <is>
          <t>○</t>
        </is>
      </c>
      <c r="P246" s="13" t="n">
        <v>2</v>
      </c>
      <c r="Q246" s="12" t="inlineStr">
        <is>
          <t>参加者数</t>
        </is>
      </c>
      <c r="R246" s="14" t="n">
        <v>5</v>
      </c>
      <c r="S246" s="10" t="n"/>
      <c r="T246" s="10" t="n"/>
      <c r="U246" s="15" t="inlineStr">
        <is>
          <t>https://connpass.com/event/402027/</t>
        </is>
      </c>
      <c r="V246" s="10" t="n"/>
      <c r="W246" s="10" t="inlineStr">
        <is>
          <t>タイトル一致</t>
        </is>
      </c>
      <c r="X246" s="10" t="n"/>
    </row>
    <row r="247">
      <c r="A247" s="10" t="n">
        <v>246</v>
      </c>
      <c r="B247" s="11" t="n">
        <v>46241</v>
      </c>
      <c r="C247" s="11" t="n">
        <v>46241</v>
      </c>
      <c r="D247" s="10">
        <f>MONTH(B247)&amp;"月"</f>
        <v/>
      </c>
      <c r="E247" s="12" t="n">
        <v>1</v>
      </c>
      <c r="F247" s="10" t="n"/>
      <c r="G247" s="10" t="inlineStr">
        <is>
          <t>Postmanオンラインワークショップ - MCP入門（MCP 2026-07-28版対応）</t>
        </is>
      </c>
      <c r="H247" s="10" t="inlineStr">
        <is>
          <t>Postman</t>
        </is>
      </c>
      <c r="I247" s="10" t="n"/>
      <c r="J247" s="10" t="inlineStr">
        <is>
          <t>connpass</t>
        </is>
      </c>
      <c r="K247" s="10" t="inlineStr">
        <is>
          <t>オンライン</t>
        </is>
      </c>
      <c r="L247" s="10" t="inlineStr">
        <is>
          <t>オンライン</t>
        </is>
      </c>
      <c r="M247" s="10" t="inlineStr">
        <is>
          <t>技術・AI全般</t>
        </is>
      </c>
      <c r="N247" s="10" t="inlineStr">
        <is>
          <t>MCP</t>
        </is>
      </c>
      <c r="O247" s="12" t="inlineStr">
        <is>
          <t>○</t>
        </is>
      </c>
      <c r="P247" s="13" t="n">
        <v>29</v>
      </c>
      <c r="Q247" s="12" t="inlineStr">
        <is>
          <t>参加者数</t>
        </is>
      </c>
      <c r="R247" s="14" t="n">
        <v>30</v>
      </c>
      <c r="S247" s="10" t="n"/>
      <c r="T247" s="10" t="n"/>
      <c r="U247" s="15" t="inlineStr">
        <is>
          <t>https://postman.connpass.com/event/399749/</t>
        </is>
      </c>
      <c r="V247" s="10" t="n"/>
      <c r="W247" s="10" t="inlineStr">
        <is>
          <t>タイトル一致</t>
        </is>
      </c>
      <c r="X247" s="10" t="n"/>
    </row>
    <row r="248">
      <c r="A248" s="10" t="n">
        <v>247</v>
      </c>
      <c r="B248" s="11" t="n">
        <v>46241</v>
      </c>
      <c r="C248" s="11" t="n">
        <v>46241</v>
      </c>
      <c r="D248" s="10">
        <f>MONTH(B248)&amp;"月"</f>
        <v/>
      </c>
      <c r="E248" s="12" t="n">
        <v>1</v>
      </c>
      <c r="F248" s="10" t="n"/>
      <c r="G248" s="10" t="inlineStr">
        <is>
          <t>「AI-OCRの限界」を、AIエージェント技術で突破──『コゾカAI 受注AIエージェント』ウェビナーを開催</t>
        </is>
      </c>
      <c r="H248" s="10" t="inlineStr">
        <is>
          <t>株式会社kozokaAI</t>
        </is>
      </c>
      <c r="I248" s="10" t="n"/>
      <c r="J248" s="10" t="inlineStr">
        <is>
          <t>PR TIMES</t>
        </is>
      </c>
      <c r="K248" s="10" t="inlineStr">
        <is>
          <t>online</t>
        </is>
      </c>
      <c r="L248" s="10" t="inlineStr">
        <is>
          <t>オンライン開催</t>
        </is>
      </c>
      <c r="M248" s="10" t="inlineStr">
        <is>
          <t>生産管理・製造・SCM</t>
        </is>
      </c>
      <c r="N248" s="10" t="inlineStr">
        <is>
          <t>AIエージェント</t>
        </is>
      </c>
      <c r="O248" s="12" t="inlineStr">
        <is>
          <t>◎</t>
        </is>
      </c>
      <c r="P248" s="13" t="n"/>
      <c r="Q248" s="12" t="inlineStr">
        <is>
          <t>不明</t>
        </is>
      </c>
      <c r="R248" s="14" t="n"/>
      <c r="S248" s="10" t="n"/>
      <c r="T248" s="10" t="inlineStr">
        <is>
          <t>株式会社kozokaAI（本社：東京都渋谷区、代表取締役：藤井 星多、以下「kozokaAI」）は、製造業・流通業・卸売業の受注業務をAIエージェント化する「コゾカAI 受注AIエージェント」の新UIを紹介するウェビナーを開催します。 本ウェビナーでは、FAX・メール・PDFで届く注文書をAIが読み取り、商品特定、得意先別ルールの参照、例外処理、基幹システムへの登録候補作成までを支援する新UIについて、実際のデモを交えて紹介します。 A</t>
        </is>
      </c>
      <c r="U248" s="15" t="inlineStr">
        <is>
          <t>https://prtimes.jp/main/html/rd/p/000000009.000175889.html</t>
        </is>
      </c>
      <c r="V248" s="10" t="n"/>
      <c r="W248" s="10" t="inlineStr">
        <is>
          <t>タイトル一致</t>
        </is>
      </c>
      <c r="X248" s="10" t="n"/>
    </row>
    <row r="249">
      <c r="A249" s="10" t="n">
        <v>248</v>
      </c>
      <c r="B249" s="11" t="n">
        <v>46241</v>
      </c>
      <c r="C249" s="11" t="n">
        <v>46241</v>
      </c>
      <c r="D249" s="10">
        <f>MONTH(B249)&amp;"月"</f>
        <v/>
      </c>
      <c r="E249" s="12" t="n">
        <v>1</v>
      </c>
      <c r="F249" s="10" t="n"/>
      <c r="G249" s="10" t="inlineStr">
        <is>
          <t>【AI Dev Day 2026 アンコール】なぜ、あなたのエージェントは言うことを聞かないのか</t>
        </is>
      </c>
      <c r="H249" s="10" t="inlineStr">
        <is>
          <t>ジェネラティブエージェンツ / Generative Agents</t>
        </is>
      </c>
      <c r="I249" s="10" t="n"/>
      <c r="J249" s="10" t="inlineStr">
        <is>
          <t>connpass</t>
        </is>
      </c>
      <c r="K249" s="10" t="inlineStr">
        <is>
          <t>会場</t>
        </is>
      </c>
      <c r="L249" s="10" t="inlineStr">
        <is>
          <t>「参加者への情報」をご確認ください</t>
        </is>
      </c>
      <c r="M249" s="10" t="inlineStr">
        <is>
          <t>技術・AI全般</t>
        </is>
      </c>
      <c r="N249" s="10" t="inlineStr">
        <is>
          <t>AIエージェント</t>
        </is>
      </c>
      <c r="O249" s="12" t="inlineStr">
        <is>
          <t>○</t>
        </is>
      </c>
      <c r="P249" s="13" t="n">
        <v>129</v>
      </c>
      <c r="Q249" s="12" t="inlineStr">
        <is>
          <t>参加者数</t>
        </is>
      </c>
      <c r="R249" s="14" t="n"/>
      <c r="S249" s="10" t="n"/>
      <c r="T249" s="10" t="n"/>
      <c r="U249" s="15" t="inlineStr">
        <is>
          <t>https://generative-agents.connpass.com/event/401909/</t>
        </is>
      </c>
      <c r="V249" s="10" t="n"/>
      <c r="W249" s="10" t="inlineStr">
        <is>
          <t>タイトル一致</t>
        </is>
      </c>
      <c r="X249" s="10" t="n"/>
    </row>
    <row r="250">
      <c r="A250" s="10" t="n">
        <v>249</v>
      </c>
      <c r="B250" s="11" t="n">
        <v>46241</v>
      </c>
      <c r="C250" s="11" t="n">
        <v>46252</v>
      </c>
      <c r="D250" s="10">
        <f>MONTH(B250)&amp;"月"</f>
        <v/>
      </c>
      <c r="E250" s="12" t="n">
        <v>1</v>
      </c>
      <c r="F250" s="10" t="n"/>
      <c r="G250" s="10" t="inlineStr">
        <is>
          <t>【ウェビナー初開催】建設AI最前線！大手ゼネコンが注目する「kencopa工程AIエージェント」の全貌を公開</t>
        </is>
      </c>
      <c r="H250" s="10" t="inlineStr">
        <is>
          <t>株式会社KENCOPA</t>
        </is>
      </c>
      <c r="I250" s="10" t="n"/>
      <c r="J250" s="10" t="inlineStr">
        <is>
          <t>PR TIMES</t>
        </is>
      </c>
      <c r="K250" s="10" t="inlineStr">
        <is>
          <t>online</t>
        </is>
      </c>
      <c r="L250" s="10" t="inlineStr">
        <is>
          <t>オンライン</t>
        </is>
      </c>
      <c r="M250" s="10" t="inlineStr">
        <is>
          <t>生産管理・製造・SCM</t>
        </is>
      </c>
      <c r="N250" s="10" t="inlineStr">
        <is>
          <t>AIエージェント</t>
        </is>
      </c>
      <c r="O250" s="12" t="inlineStr">
        <is>
          <t>◎</t>
        </is>
      </c>
      <c r="P250" s="13" t="n"/>
      <c r="Q250" s="12" t="inlineStr">
        <is>
          <t>不明</t>
        </is>
      </c>
      <c r="R250" s="14" t="n"/>
      <c r="S250" s="10" t="n"/>
      <c r="T250" s="10" t="inlineStr">
        <is>
          <t>2026年8月7日(金)10:00～ および 8月18日(火)16:00～の2回開催。建設現場の省人化・自動化に挑むKENCOPA（代表取締役CEO：安村荘佑、本社：東京都渋谷区）は、ゼネコン、サブコン、プラント事業者を対象とした無料ウェビナーを開催します。 本ウェビナーでは、設計図書をアップロードすることで工程表を生成・編集できる「Kencopa工程AIエージェント」の機能を、実際のデモを交えて紹介します。AIを活用した工程表作成の進</t>
        </is>
      </c>
      <c r="U250" s="15" t="inlineStr">
        <is>
          <t>https://prtimes.jp/main/html/rd/p/000000021.000166783.html</t>
        </is>
      </c>
      <c r="V250" s="10" t="n"/>
      <c r="W250" s="10" t="inlineStr">
        <is>
          <t>タイトル一致</t>
        </is>
      </c>
      <c r="X250" s="10" t="n"/>
    </row>
    <row r="251">
      <c r="A251" s="10" t="n">
        <v>250</v>
      </c>
      <c r="B251" s="11" t="n">
        <v>46241</v>
      </c>
      <c r="C251" s="11" t="n">
        <v>46253</v>
      </c>
      <c r="D251" s="10">
        <f>MONTH(B251)&amp;"月"</f>
        <v/>
      </c>
      <c r="E251" s="12" t="n">
        <v>2</v>
      </c>
      <c r="F251" s="10" t="inlineStr">
        <is>
          <t>08/07、08/19</t>
        </is>
      </c>
      <c r="G251" s="10" t="inlineStr">
        <is>
          <t>【再放送】医療機関が狙われる時代、“把握できていない機器”が最大の脅威に 〜ランサムウェア被害の現実と、エージェントレスで始める端末の把握と自動遮断〜</t>
        </is>
      </c>
      <c r="H251" s="10" t="inlineStr">
        <is>
          <t>株式会社PFU</t>
        </is>
      </c>
      <c r="I251" s="10" t="inlineStr">
        <is>
          <t>マジセミ株式会社</t>
        </is>
      </c>
      <c r="J251" s="10" t="inlineStr">
        <is>
          <t>Doorkeeper</t>
        </is>
      </c>
      <c r="K251" s="10" t="inlineStr">
        <is>
          <t>不明</t>
        </is>
      </c>
      <c r="L251" s="10" t="n"/>
      <c r="M251" s="10" t="inlineStr">
        <is>
          <t>生産性向上・業務効率化</t>
        </is>
      </c>
      <c r="N251" s="10" t="inlineStr">
        <is>
          <t>AIエージェント</t>
        </is>
      </c>
      <c r="O251" s="12" t="inlineStr">
        <is>
          <t>○</t>
        </is>
      </c>
      <c r="P251" s="13" t="n">
        <v>0</v>
      </c>
      <c r="Q251" s="12" t="inlineStr">
        <is>
          <t>参加者数</t>
        </is>
      </c>
      <c r="R251" s="14" t="n"/>
      <c r="S251" s="10" t="inlineStr">
        <is>
          <t>全2回の合計</t>
        </is>
      </c>
      <c r="T251" s="10" t="inlineStr">
        <is>
          <t xml:space="preserve"> 本セミナーはWebセミナーです。 ツールはSPEAKERSを使います。URLは直前にメールにてご連絡いたします。 なお、「osslabo.com」「majisemi.com」からのメールが迷惑メールとならないよう、メールの設定をご確認ください。 本セミナーは2026年7月23日に開催されたセミナーの再放送です。 多くのご要望をいただきましたので、再放送の開催が決まりました。 医療DXとガイドライン7.0版で高まる、接続機器管理の重要性</t>
        </is>
      </c>
      <c r="U251" s="15" t="inlineStr">
        <is>
          <t>https://majisemi-operation.doorkeeper.jp/events/198323</t>
        </is>
      </c>
      <c r="V251" s="10" t="n"/>
      <c r="W251" s="10" t="inlineStr">
        <is>
          <t>本文一致</t>
        </is>
      </c>
      <c r="X251" s="10" t="n"/>
    </row>
    <row r="252">
      <c r="A252" s="10" t="n">
        <v>251</v>
      </c>
      <c r="B252" s="11" t="n">
        <v>46241</v>
      </c>
      <c r="C252" s="11" t="n">
        <v>46241</v>
      </c>
      <c r="D252" s="10">
        <f>MONTH(B252)&amp;"月"</f>
        <v/>
      </c>
      <c r="E252" s="12" t="n">
        <v>1</v>
      </c>
      <c r="F252" s="10" t="n"/>
      <c r="G252" s="10" t="inlineStr">
        <is>
          <t>なにがちがう？GPT Workハンズオン- Chatを超えたエージェントの活用へ</t>
        </is>
      </c>
      <c r="H252" s="10" t="inlineStr">
        <is>
          <t>エクスプラザ</t>
        </is>
      </c>
      <c r="I252" s="10" t="n"/>
      <c r="J252" s="10" t="inlineStr">
        <is>
          <t>connpass</t>
        </is>
      </c>
      <c r="K252" s="10" t="inlineStr">
        <is>
          <t>会場</t>
        </is>
      </c>
      <c r="L252" s="10" t="inlineStr">
        <is>
          <t>東京都港区六本木4丁目8-5（和幸ビル 4F）</t>
        </is>
      </c>
      <c r="M252" s="10" t="inlineStr">
        <is>
          <t>技術・AI全般</t>
        </is>
      </c>
      <c r="N252" s="10" t="inlineStr">
        <is>
          <t>AIエージェント</t>
        </is>
      </c>
      <c r="O252" s="12" t="inlineStr">
        <is>
          <t>○</t>
        </is>
      </c>
      <c r="P252" s="13" t="n">
        <v>69</v>
      </c>
      <c r="Q252" s="12" t="inlineStr">
        <is>
          <t>参加者数</t>
        </is>
      </c>
      <c r="R252" s="14" t="n"/>
      <c r="S252" s="10" t="n"/>
      <c r="T252" s="10" t="n"/>
      <c r="U252" s="15" t="inlineStr">
        <is>
          <t>https://explaza.connpass.com/event/401876/</t>
        </is>
      </c>
      <c r="V252" s="10" t="n"/>
      <c r="W252" s="10" t="inlineStr">
        <is>
          <t>タイトル一致</t>
        </is>
      </c>
      <c r="X252" s="10" t="n"/>
    </row>
    <row r="253">
      <c r="A253" s="10" t="n">
        <v>252</v>
      </c>
      <c r="B253" s="11" t="n">
        <v>46242</v>
      </c>
      <c r="C253" s="11" t="n">
        <v>46242</v>
      </c>
      <c r="D253" s="10">
        <f>MONTH(B253)&amp;"月"</f>
        <v/>
      </c>
      <c r="E253" s="12" t="n">
        <v>1</v>
      </c>
      <c r="F253" s="10" t="n"/>
      <c r="G253" s="10" t="inlineStr">
        <is>
          <t>Claude Code 業務自動化セミナー/中小企業の経営者・決裁者向け</t>
        </is>
      </c>
      <c r="H253" s="10" t="inlineStr">
        <is>
          <t>株式会社ノヴァリス</t>
        </is>
      </c>
      <c r="I253" s="10" t="n"/>
      <c r="J253" s="10" t="inlineStr">
        <is>
          <t>こくちーずプロ</t>
        </is>
      </c>
      <c r="K253" s="10" t="inlineStr">
        <is>
          <t>オンライン</t>
        </is>
      </c>
      <c r="L253" s="10" t="inlineStr">
        <is>
          <t>オンライン 日本</t>
        </is>
      </c>
      <c r="M253" s="10" t="inlineStr">
        <is>
          <t>生産性向上・業務効率化</t>
        </is>
      </c>
      <c r="N253" s="10" t="inlineStr">
        <is>
          <t>AIエージェント</t>
        </is>
      </c>
      <c r="O253" s="12" t="inlineStr">
        <is>
          <t>◎</t>
        </is>
      </c>
      <c r="P253" s="13" t="n">
        <v>3</v>
      </c>
      <c r="Q253" s="12" t="inlineStr">
        <is>
          <t>イベント参加 3/30</t>
        </is>
      </c>
      <c r="R253" s="14" t="n">
        <v>30</v>
      </c>
      <c r="S253" s="10" t="n"/>
      <c r="T253" s="10" t="inlineStr">
        <is>
          <t>事務作業に追われる経営を、今日で終わりにする。 請求書、売上集計、顧客フォロー、毎朝のレポート—— 「限られた人数で回すしかなかった仕事」を、AIがすべて肩代わりします。 パソコンが勝手に動き出し、請求書が作られ、売上がまとまり、レポートが仕上がっていく。増員するでもなく、外注するでもない、 第三の選択肢 を、60分のライブ実演でお見せします。 しかも、当日お見せするのは録画や作り置きのデモではありません。 その場で、参加者の皆さまの業</t>
        </is>
      </c>
      <c r="U253" s="15" t="inlineStr">
        <is>
          <t>https://www.kokuchpro.com/event/c40c4e6aecaf1e86fff9c30afadcdf00/3862018/</t>
        </is>
      </c>
      <c r="V253" s="10" t="n"/>
      <c r="W253" s="10" t="inlineStr">
        <is>
          <t>タイトル一致</t>
        </is>
      </c>
      <c r="X253" s="10" t="n"/>
    </row>
    <row r="254">
      <c r="A254" s="10" t="n">
        <v>253</v>
      </c>
      <c r="B254" s="11" t="n">
        <v>46242</v>
      </c>
      <c r="C254" s="11" t="n">
        <v>46242</v>
      </c>
      <c r="D254" s="10">
        <f>MONTH(B254)&amp;"月"</f>
        <v/>
      </c>
      <c r="E254" s="12" t="n">
        <v>1</v>
      </c>
      <c r="F254" s="10" t="n"/>
      <c r="G254" s="10" t="inlineStr">
        <is>
          <t>【AIと作る未来の開発体験！】Agentic Coding ワークショップ</t>
        </is>
      </c>
      <c r="H254" s="10" t="inlineStr">
        <is>
          <t>GDG on Campus Kobe University</t>
        </is>
      </c>
      <c r="I254" s="10" t="n"/>
      <c r="J254" s="10" t="inlineStr">
        <is>
          <t>connpass</t>
        </is>
      </c>
      <c r="K254" s="10" t="inlineStr">
        <is>
          <t>会場</t>
        </is>
      </c>
      <c r="L254" s="10" t="inlineStr">
        <is>
          <t>兵庫県神戸市中央区​小野柄通７丁目１番１号​ 日本生命三宮駅前ビル11F</t>
        </is>
      </c>
      <c r="M254" s="10" t="inlineStr">
        <is>
          <t>開発生産性</t>
        </is>
      </c>
      <c r="N254" s="10" t="inlineStr">
        <is>
          <t>AIエージェント</t>
        </is>
      </c>
      <c r="O254" s="12" t="inlineStr">
        <is>
          <t>○</t>
        </is>
      </c>
      <c r="P254" s="13" t="n">
        <v>40</v>
      </c>
      <c r="Q254" s="12" t="inlineStr">
        <is>
          <t>参加者数</t>
        </is>
      </c>
      <c r="R254" s="14" t="n"/>
      <c r="S254" s="10" t="n"/>
      <c r="T254" s="10" t="n"/>
      <c r="U254" s="15" t="inlineStr">
        <is>
          <t>https://gdgoc-kobe-univ.connpass.com/event/401176/</t>
        </is>
      </c>
      <c r="V254" s="10" t="n"/>
      <c r="W254" s="10" t="inlineStr">
        <is>
          <t>タイトル一致</t>
        </is>
      </c>
      <c r="X254" s="10" t="n"/>
    </row>
    <row r="255">
      <c r="A255" s="10" t="n">
        <v>254</v>
      </c>
      <c r="B255" s="11" t="n">
        <v>46242</v>
      </c>
      <c r="C255" s="11" t="n">
        <v>46242</v>
      </c>
      <c r="D255" s="10">
        <f>MONTH(B255)&amp;"月"</f>
        <v/>
      </c>
      <c r="E255" s="12" t="n">
        <v>1</v>
      </c>
      <c r="F255" s="10" t="n"/>
      <c r="G255" s="10" t="inlineStr">
        <is>
          <t>【Claude Code活用セミナー】面倒な請求書・報告書・データ入力を"全自動化"する方法</t>
        </is>
      </c>
      <c r="H255" s="10" t="inlineStr">
        <is>
          <t>Ai-Raku(アイラク)セミナー運営事務局</t>
        </is>
      </c>
      <c r="I255" s="10" t="n"/>
      <c r="J255" s="10" t="inlineStr">
        <is>
          <t>こくちーずプロ</t>
        </is>
      </c>
      <c r="K255" s="10" t="inlineStr">
        <is>
          <t>オンライン</t>
        </is>
      </c>
      <c r="L255" s="10" t="inlineStr">
        <is>
          <t>オンライン 日本</t>
        </is>
      </c>
      <c r="M255" s="10" t="inlineStr">
        <is>
          <t>生産性向上・業務効率化</t>
        </is>
      </c>
      <c r="N255" s="10" t="inlineStr">
        <is>
          <t>AIエージェント</t>
        </is>
      </c>
      <c r="O255" s="12" t="inlineStr">
        <is>
          <t>◎</t>
        </is>
      </c>
      <c r="P255" s="13" t="n">
        <v>0</v>
      </c>
      <c r="Q255" s="12" t="inlineStr">
        <is>
          <t>イベント参加 0/10</t>
        </is>
      </c>
      <c r="R255" s="14" t="n">
        <v>10</v>
      </c>
      <c r="S255" s="10" t="n"/>
      <c r="T255" s="10" t="inlineStr">
        <is>
          <t>【Claude Code活用セミナー】面倒な請求書・報告書・データ入力を"全自動化"する方法 毎月の請求書作成、報告書のとりまとめ、Excelへのデータ入力…。当たり前のように手作業でこなしているその業務、実は「AIに指示するだけ」で自動化できることをご存知でしょうか。 特に中小企業では、限られた人数で幅広い業務をこなさなければならず、こうした定型業務が担当者の負担を大きくしている実情があります。専任のIT担当者を置く余裕がない企業も多</t>
        </is>
      </c>
      <c r="U255" s="15" t="inlineStr">
        <is>
          <t>https://www.kokuchpro.com/event/15a43a407da7222e42c434f14baaefde/</t>
        </is>
      </c>
      <c r="V255" s="10" t="n"/>
      <c r="W255" s="10" t="inlineStr">
        <is>
          <t>タイトル一致</t>
        </is>
      </c>
      <c r="X255" s="10" t="n"/>
    </row>
    <row r="256">
      <c r="A256" s="10" t="n">
        <v>255</v>
      </c>
      <c r="B256" s="11" t="n">
        <v>46242</v>
      </c>
      <c r="C256" s="11" t="n">
        <v>46242</v>
      </c>
      <c r="D256" s="10">
        <f>MONTH(B256)&amp;"月"</f>
        <v/>
      </c>
      <c r="E256" s="12" t="n">
        <v>1</v>
      </c>
      <c r="F256" s="10" t="n"/>
      <c r="G256" s="10" t="inlineStr">
        <is>
          <t>【神戸・三宮／初参加歓迎】AIエージェントで「やってみたい」を形にする実践会｜#14</t>
        </is>
      </c>
      <c r="H256" s="10" t="inlineStr">
        <is>
          <t>AI駆動凡人</t>
        </is>
      </c>
      <c r="I256" s="10" t="n"/>
      <c r="J256" s="10" t="inlineStr">
        <is>
          <t>connpass</t>
        </is>
      </c>
      <c r="K256" s="10" t="inlineStr">
        <is>
          <t>会場</t>
        </is>
      </c>
      <c r="L256" s="10" t="inlineStr">
        <is>
          <t>兵庫県神戸市中央区東町115番地1･9･10･11階</t>
        </is>
      </c>
      <c r="M256" s="10" t="inlineStr">
        <is>
          <t>開発生産性</t>
        </is>
      </c>
      <c r="N256" s="10" t="inlineStr">
        <is>
          <t>AIエージェント</t>
        </is>
      </c>
      <c r="O256" s="12" t="inlineStr">
        <is>
          <t>○</t>
        </is>
      </c>
      <c r="P256" s="13" t="n">
        <v>1</v>
      </c>
      <c r="Q256" s="12" t="inlineStr">
        <is>
          <t>参加者数</t>
        </is>
      </c>
      <c r="R256" s="14" t="n">
        <v>8</v>
      </c>
      <c r="S256" s="10" t="n"/>
      <c r="T256" s="10" t="n"/>
      <c r="U256" s="15" t="inlineStr">
        <is>
          <t>https://ai-driven-bonjin.connpass.com/event/402206/</t>
        </is>
      </c>
      <c r="V256" s="10" t="n"/>
      <c r="W256" s="10" t="inlineStr">
        <is>
          <t>タイトル一致</t>
        </is>
      </c>
      <c r="X256" s="10" t="n"/>
    </row>
    <row r="257">
      <c r="A257" s="10" t="n">
        <v>256</v>
      </c>
      <c r="B257" s="11" t="n">
        <v>46242</v>
      </c>
      <c r="C257" s="11" t="n">
        <v>46242</v>
      </c>
      <c r="D257" s="10">
        <f>MONTH(B257)&amp;"月"</f>
        <v/>
      </c>
      <c r="E257" s="12" t="n">
        <v>1</v>
      </c>
      <c r="F257" s="10" t="n"/>
      <c r="G257" s="10" t="inlineStr">
        <is>
          <t>もうWeb制作を外注しない！Claude Codeで作るHP・LP</t>
        </is>
      </c>
      <c r="H257" s="10" t="inlineStr">
        <is>
          <t>デジタルレイバーズ</t>
        </is>
      </c>
      <c r="I257" s="10" t="n"/>
      <c r="J257" s="10" t="inlineStr">
        <is>
          <t>connpass</t>
        </is>
      </c>
      <c r="K257" s="10" t="inlineStr">
        <is>
          <t>オンライン</t>
        </is>
      </c>
      <c r="L257" s="10" t="inlineStr">
        <is>
          <t>オンライン</t>
        </is>
      </c>
      <c r="M257" s="10" t="inlineStr">
        <is>
          <t>開発生産性</t>
        </is>
      </c>
      <c r="N257" s="10" t="inlineStr">
        <is>
          <t>AIエージェント</t>
        </is>
      </c>
      <c r="O257" s="12" t="inlineStr">
        <is>
          <t>○</t>
        </is>
      </c>
      <c r="P257" s="13" t="n">
        <v>30</v>
      </c>
      <c r="Q257" s="12" t="inlineStr">
        <is>
          <t>参加者数</t>
        </is>
      </c>
      <c r="R257" s="14" t="n">
        <v>60</v>
      </c>
      <c r="S257" s="10" t="n"/>
      <c r="T257" s="10" t="n"/>
      <c r="U257" s="15" t="inlineStr">
        <is>
          <t>https://digital-labors.connpass.com/event/401168/</t>
        </is>
      </c>
      <c r="V257" s="10" t="n"/>
      <c r="W257" s="10" t="inlineStr">
        <is>
          <t>タイトル一致</t>
        </is>
      </c>
      <c r="X257" s="10" t="n"/>
    </row>
    <row r="258">
      <c r="A258" s="10" t="n">
        <v>257</v>
      </c>
      <c r="B258" s="11" t="n">
        <v>46242</v>
      </c>
      <c r="C258" s="11" t="n">
        <v>46242</v>
      </c>
      <c r="D258" s="10">
        <f>MONTH(B258)&amp;"月"</f>
        <v/>
      </c>
      <c r="E258" s="12" t="n">
        <v>1</v>
      </c>
      <c r="F258" s="10" t="n"/>
      <c r="G258" s="10" t="inlineStr">
        <is>
          <t>エポック会 #1</t>
        </is>
      </c>
      <c r="H258" s="10" t="inlineStr">
        <is>
          <t>株式会社Bizan AI</t>
        </is>
      </c>
      <c r="I258" s="10" t="n"/>
      <c r="J258" s="10" t="inlineStr">
        <is>
          <t>こくちーずプロ</t>
        </is>
      </c>
      <c r="K258" s="10" t="inlineStr">
        <is>
          <t>オフライン（会場）</t>
        </is>
      </c>
      <c r="L258" s="10" t="inlineStr">
        <is>
          <t>ランドプレイス道玄坂 日本</t>
        </is>
      </c>
      <c r="M258" s="10" t="inlineStr">
        <is>
          <t>生産性向上・業務効率化</t>
        </is>
      </c>
      <c r="N258" s="10" t="inlineStr">
        <is>
          <t>AIエージェント</t>
        </is>
      </c>
      <c r="O258" s="12" t="inlineStr">
        <is>
          <t>○</t>
        </is>
      </c>
      <c r="P258" s="13" t="n">
        <v>0</v>
      </c>
      <c r="Q258" s="12" t="inlineStr">
        <is>
          <t>イベント参加 0/6</t>
        </is>
      </c>
      <c r="R258" s="14" t="n">
        <v>6</v>
      </c>
      <c r="S258" s="10" t="n"/>
      <c r="T258" s="10" t="inlineStr">
        <is>
          <t>生成AIや機械学習について、気軽に話せる仲間とつながりませんか？ 「エポック会」は、AI領域に関わるエンジニアや学生のための、少人数制の交流イベントです。 技術について語るのも、最近取り組んでいることを共有するのも、ボードゲームをしながらゆるく交流するのも自由。 **勉強会ほど堅くなく、交流会ほど騒がしくない。** AIに興味を持つ人同士が、自然につながり、一緒に学び続けられる場所を目指しています。 今回は記念すべき第1回。 参加者は全</t>
        </is>
      </c>
      <c r="U258" s="15" t="inlineStr">
        <is>
          <t>https://www.kokuchpro.com/event/2be59d0aea3dc444777684490066cea9/</t>
        </is>
      </c>
      <c r="V258" s="10" t="n"/>
      <c r="W258" s="10" t="inlineStr">
        <is>
          <t>本文一致</t>
        </is>
      </c>
      <c r="X258" s="10" t="n"/>
    </row>
    <row r="259">
      <c r="A259" s="10" t="n">
        <v>258</v>
      </c>
      <c r="B259" s="11" t="n">
        <v>46242</v>
      </c>
      <c r="C259" s="11" t="n">
        <v>46291</v>
      </c>
      <c r="D259" s="10">
        <f>MONTH(B259)&amp;"月"</f>
        <v/>
      </c>
      <c r="E259" s="12" t="n">
        <v>2</v>
      </c>
      <c r="F259" s="10" t="inlineStr">
        <is>
          <t>08/08、09/26</t>
        </is>
      </c>
      <c r="G259" s="10" t="inlineStr">
        <is>
          <t>ゼロから学べる!AI活用術(実践編) ※対面・オンライン同時開催</t>
        </is>
      </c>
      <c r="H259" s="10" t="inlineStr">
        <is>
          <t>株式会社タスクールPlus</t>
        </is>
      </c>
      <c r="I259" s="10" t="n"/>
      <c r="J259" s="10" t="inlineStr">
        <is>
          <t>こくちーずプロ</t>
        </is>
      </c>
      <c r="K259" s="10" t="inlineStr">
        <is>
          <t>オフライン（会場）</t>
        </is>
      </c>
      <c r="L259" s="10" t="inlineStr">
        <is>
          <t>タスクール 愛知県名古屋市千種区千種通7-25-1 サンライズ千種502</t>
        </is>
      </c>
      <c r="M259" s="10" t="inlineStr">
        <is>
          <t>生産性向上・業務効率化</t>
        </is>
      </c>
      <c r="N259" s="10" t="inlineStr">
        <is>
          <t>AIエージェント</t>
        </is>
      </c>
      <c r="O259" s="12" t="inlineStr">
        <is>
          <t>○</t>
        </is>
      </c>
      <c r="P259" s="13" t="n">
        <v>0</v>
      </c>
      <c r="Q259" s="12" t="inlineStr">
        <is>
          <t>イベント参加 0/10</t>
        </is>
      </c>
      <c r="R259" s="14" t="n">
        <v>20</v>
      </c>
      <c r="S259" s="10" t="inlineStr">
        <is>
          <t>全2回の合計</t>
        </is>
      </c>
      <c r="T259" s="10" t="inlineStr">
        <is>
          <t>【8/8（土）開催｜ゼロから学べる！AI活用術 実践編】 ★今回は対面・オンライン同時で開催します★ 「ChatGPTは少し使えるようになった」 「でも、仕事にどう活かせばいいのか分からない」 「毎回プロンプトを書くのが面倒で、結局続かない」 「AIを使っているつもりだけど、成果につながっている実感がない」 そんな方に向けて、AI活用講座の実践編を開催します。 今回のテーマは、AIを“思考の伴走者”から“業務の共同作業者”へ育てること。</t>
        </is>
      </c>
      <c r="U259" s="15" t="inlineStr">
        <is>
          <t>https://www.kokuchpro.com/event/107b72191d44d9fed440a207798edb21/</t>
        </is>
      </c>
      <c r="V259" s="10" t="n"/>
      <c r="W259" s="10" t="inlineStr">
        <is>
          <t>本文一致</t>
        </is>
      </c>
      <c r="X259" s="10" t="n"/>
    </row>
    <row r="260">
      <c r="A260" s="10" t="n">
        <v>259</v>
      </c>
      <c r="B260" s="11" t="n">
        <v>46242</v>
      </c>
      <c r="C260" s="11" t="n">
        <v>46242</v>
      </c>
      <c r="D260" s="10">
        <f>MONTH(B260)&amp;"月"</f>
        <v/>
      </c>
      <c r="E260" s="12" t="n">
        <v>1</v>
      </c>
      <c r="F260" s="10" t="n"/>
      <c r="G260" s="10" t="inlineStr">
        <is>
          <t>仕事が自動化!?静岡・掛川でClaude Code超初心者向け勉強会を開催!AIに仕事を丸投げして毎日2時間の自由時間を生み出す方法【先着30名】</t>
        </is>
      </c>
      <c r="H260" s="10" t="inlineStr">
        <is>
          <t>静岡ビジネス共創実行委員会(SBC)</t>
        </is>
      </c>
      <c r="I260" s="10" t="n"/>
      <c r="J260" s="10" t="inlineStr">
        <is>
          <t>こくちーずプロ</t>
        </is>
      </c>
      <c r="K260" s="10" t="inlineStr">
        <is>
          <t>オフライン（会場）</t>
        </is>
      </c>
      <c r="L260" s="10" t="inlineStr">
        <is>
          <t>やさいバス食堂 静岡県掛川市駅前4-4 SKしんきんプラザ 1F</t>
        </is>
      </c>
      <c r="M260" s="10" t="inlineStr">
        <is>
          <t>生産性向上・業務効率化</t>
        </is>
      </c>
      <c r="N260" s="10" t="inlineStr">
        <is>
          <t>AIエージェント</t>
        </is>
      </c>
      <c r="O260" s="12" t="inlineStr">
        <is>
          <t>◎</t>
        </is>
      </c>
      <c r="P260" s="13" t="n">
        <v>0</v>
      </c>
      <c r="Q260" s="12" t="inlineStr">
        <is>
          <t>イベント参加 0/30</t>
        </is>
      </c>
      <c r="R260" s="14" t="n">
        <v>30</v>
      </c>
      <c r="S260" s="10" t="n"/>
      <c r="T260" s="10" t="inlineStr">
        <is>
          <t>毎日「これやっといて」と伝えるだけで、面倒なデスクワークが自動で片付くとしたら？ いま、AIの世界でとんでもない進化が起きています。 これまでのChatGPTは「質問に答えを返す」ツールでした。しかし、今回ご紹介する『Claude Code（クロードコード）』 は 「指示された作業を実際に実行する」ツールです。 「Code」という名前が付いていますが、プログラミングの知識は一切不要。日本語で頼むだけです。AIに指示するだけで資料作成や業</t>
        </is>
      </c>
      <c r="U260" s="15" t="inlineStr">
        <is>
          <t>https://www.kokuchpro.com/event/d49250e9647d184466c775c4a8465e46/</t>
        </is>
      </c>
      <c r="V260" s="10" t="n"/>
      <c r="W260" s="10" t="inlineStr">
        <is>
          <t>タイトル一致</t>
        </is>
      </c>
      <c r="X260" s="10" t="n"/>
    </row>
    <row r="261">
      <c r="A261" s="10" t="n">
        <v>260</v>
      </c>
      <c r="B261" s="11" t="n">
        <v>46243</v>
      </c>
      <c r="C261" s="11" t="n">
        <v>46243</v>
      </c>
      <c r="D261" s="10">
        <f>MONTH(B261)&amp;"月"</f>
        <v/>
      </c>
      <c r="E261" s="12" t="n">
        <v>1</v>
      </c>
      <c r="F261" s="10" t="n"/>
      <c r="G261" s="10" t="inlineStr">
        <is>
          <t>AI探検ツアー：Hermes Agent</t>
        </is>
      </c>
      <c r="H261" s="10" t="inlineStr">
        <is>
          <t>I Love AI</t>
        </is>
      </c>
      <c r="I261" s="10" t="n"/>
      <c r="J261" s="10" t="inlineStr">
        <is>
          <t>connpass</t>
        </is>
      </c>
      <c r="K261" s="10" t="inlineStr">
        <is>
          <t>会場</t>
        </is>
      </c>
      <c r="L261" s="10" t="inlineStr">
        <is>
          <t>福岡市中央区天神1丁目15番30号</t>
        </is>
      </c>
      <c r="M261" s="10" t="inlineStr">
        <is>
          <t>生産管理・製造・SCM</t>
        </is>
      </c>
      <c r="N261" s="10" t="inlineStr">
        <is>
          <t>AIエージェント</t>
        </is>
      </c>
      <c r="O261" s="12" t="inlineStr">
        <is>
          <t>◎</t>
        </is>
      </c>
      <c r="P261" s="13" t="n">
        <v>28</v>
      </c>
      <c r="Q261" s="12" t="inlineStr">
        <is>
          <t>参加者数</t>
        </is>
      </c>
      <c r="R261" s="14" t="n">
        <v>40</v>
      </c>
      <c r="S261" s="10" t="n"/>
      <c r="T261" s="10" t="n"/>
      <c r="U261" s="15" t="inlineStr">
        <is>
          <t>https://i-love-ai.connpass.com/event/397511/</t>
        </is>
      </c>
      <c r="V261" s="10" t="n"/>
      <c r="W261" s="10" t="inlineStr">
        <is>
          <t>タイトル一致</t>
        </is>
      </c>
      <c r="X261" s="10" t="n"/>
    </row>
    <row r="262">
      <c r="A262" s="10" t="n">
        <v>261</v>
      </c>
      <c r="B262" s="11" t="n">
        <v>46243</v>
      </c>
      <c r="C262" s="11" t="n">
        <v>46243</v>
      </c>
      <c r="D262" s="10">
        <f>MONTH(B262)&amp;"月"</f>
        <v/>
      </c>
      <c r="E262" s="12" t="n">
        <v>1</v>
      </c>
      <c r="F262" s="10" t="n"/>
      <c r="G262" s="10" t="inlineStr">
        <is>
          <t>Claude Code Security勉強会</t>
        </is>
      </c>
      <c r="H262" s="10" t="inlineStr">
        <is>
          <t>株式会社FrISti</t>
        </is>
      </c>
      <c r="I262" s="10" t="n"/>
      <c r="J262" s="10" t="inlineStr">
        <is>
          <t>connpass</t>
        </is>
      </c>
      <c r="K262" s="10" t="inlineStr">
        <is>
          <t>会場</t>
        </is>
      </c>
      <c r="L262" s="10" t="inlineStr">
        <is>
          <t>(場所未定)</t>
        </is>
      </c>
      <c r="M262" s="10" t="inlineStr">
        <is>
          <t>営業・マーケ・CS</t>
        </is>
      </c>
      <c r="N262" s="10" t="inlineStr">
        <is>
          <t>AIエージェント</t>
        </is>
      </c>
      <c r="O262" s="12" t="inlineStr">
        <is>
          <t>◎</t>
        </is>
      </c>
      <c r="P262" s="13" t="n">
        <v>10</v>
      </c>
      <c r="Q262" s="12" t="inlineStr">
        <is>
          <t>参加者数</t>
        </is>
      </c>
      <c r="R262" s="14" t="n">
        <v>50</v>
      </c>
      <c r="S262" s="10" t="n"/>
      <c r="T262" s="10" t="n"/>
      <c r="U262" s="15" t="inlineStr">
        <is>
          <t>https://fristi.connpass.com/event/400745/</t>
        </is>
      </c>
      <c r="V262" s="10" t="n"/>
      <c r="W262" s="10" t="inlineStr">
        <is>
          <t>タイトル一致</t>
        </is>
      </c>
      <c r="X262" s="10" t="n"/>
    </row>
    <row r="263">
      <c r="A263" s="10" t="n">
        <v>262</v>
      </c>
      <c r="B263" s="11" t="n">
        <v>46246</v>
      </c>
      <c r="C263" s="11" t="n">
        <v>46246</v>
      </c>
      <c r="D263" s="10">
        <f>MONTH(B263)&amp;"月"</f>
        <v/>
      </c>
      <c r="E263" s="12" t="n">
        <v>1</v>
      </c>
      <c r="F263" s="10" t="n"/>
      <c r="G263" s="10" t="inlineStr">
        <is>
          <t>AIエージェントキャッチアップ #87 - QM</t>
        </is>
      </c>
      <c r="H263" s="10" t="inlineStr">
        <is>
          <t>ジェネラティブエージェンツ / Generative Agents</t>
        </is>
      </c>
      <c r="I263" s="10" t="n"/>
      <c r="J263" s="10" t="inlineStr">
        <is>
          <t>connpass</t>
        </is>
      </c>
      <c r="K263" s="10" t="inlineStr">
        <is>
          <t>オンライン</t>
        </is>
      </c>
      <c r="L263" s="10" t="inlineStr">
        <is>
          <t>オンライン</t>
        </is>
      </c>
      <c r="M263" s="10" t="inlineStr">
        <is>
          <t>技術・AI全般</t>
        </is>
      </c>
      <c r="N263" s="10" t="inlineStr">
        <is>
          <t>AIエージェント</t>
        </is>
      </c>
      <c r="O263" s="12" t="inlineStr">
        <is>
          <t>○</t>
        </is>
      </c>
      <c r="P263" s="13" t="n">
        <v>53</v>
      </c>
      <c r="Q263" s="12" t="inlineStr">
        <is>
          <t>参加者数</t>
        </is>
      </c>
      <c r="R263" s="14" t="n">
        <v>200</v>
      </c>
      <c r="S263" s="10" t="n"/>
      <c r="T263" s="10" t="n"/>
      <c r="U263" s="15" t="inlineStr">
        <is>
          <t>https://generative-agents.connpass.com/event/402896/</t>
        </is>
      </c>
      <c r="V263" s="10" t="n"/>
      <c r="W263" s="10" t="inlineStr">
        <is>
          <t>タイトル一致</t>
        </is>
      </c>
      <c r="X263" s="10" t="n"/>
    </row>
    <row r="264">
      <c r="A264" s="10" t="n">
        <v>263</v>
      </c>
      <c r="B264" s="11" t="n">
        <v>46246</v>
      </c>
      <c r="C264" s="11" t="n">
        <v>46246</v>
      </c>
      <c r="D264" s="10">
        <f>MONTH(B264)&amp;"月"</f>
        <v/>
      </c>
      <c r="E264" s="12" t="n">
        <v>1</v>
      </c>
      <c r="F264" s="10" t="n"/>
      <c r="G264" s="10" t="inlineStr">
        <is>
          <t>【ハイブリッド開催】Code-Driven データ分析ナイト #3 AIエージェント共有</t>
        </is>
      </c>
      <c r="H264" s="10" t="inlineStr">
        <is>
          <t>Code-Driven データ分析ナイト</t>
        </is>
      </c>
      <c r="I264" s="10" t="n"/>
      <c r="J264" s="10" t="inlineStr">
        <is>
          <t>connpass</t>
        </is>
      </c>
      <c r="K264" s="10" t="inlineStr">
        <is>
          <t>会場</t>
        </is>
      </c>
      <c r="L264" s="10" t="inlineStr">
        <is>
          <t>〒153-0064 東京都目黒区下目黒1-8-1 目黒アルコタワー16F</t>
        </is>
      </c>
      <c r="M264" s="10" t="inlineStr">
        <is>
          <t>技術・AI全般</t>
        </is>
      </c>
      <c r="N264" s="10" t="inlineStr">
        <is>
          <t>AIエージェント</t>
        </is>
      </c>
      <c r="O264" s="12" t="inlineStr">
        <is>
          <t>○</t>
        </is>
      </c>
      <c r="P264" s="13" t="n">
        <v>71</v>
      </c>
      <c r="Q264" s="12" t="inlineStr">
        <is>
          <t>参加者数</t>
        </is>
      </c>
      <c r="R264" s="14" t="n">
        <v>80</v>
      </c>
      <c r="S264" s="10" t="n"/>
      <c r="T264" s="10" t="n"/>
      <c r="U264" s="15" t="inlineStr">
        <is>
          <t>https://code-based-presentation.connpass.com/event/401427/</t>
        </is>
      </c>
      <c r="V264" s="10" t="n"/>
      <c r="W264" s="10" t="inlineStr">
        <is>
          <t>タイトル一致</t>
        </is>
      </c>
      <c r="X264" s="10" t="n"/>
    </row>
    <row r="265">
      <c r="A265" s="10" t="n">
        <v>264</v>
      </c>
      <c r="B265" s="11" t="n">
        <v>46246</v>
      </c>
      <c r="C265" s="11" t="n">
        <v>46246</v>
      </c>
      <c r="D265" s="10">
        <f>MONTH(B265)&amp;"月"</f>
        <v/>
      </c>
      <c r="E265" s="12" t="n">
        <v>1</v>
      </c>
      <c r="F265" s="10" t="n"/>
      <c r="G265" s="10" t="inlineStr">
        <is>
          <t>知見が知見を生むチームへ ― 案件に一番詳しいAIをAgentCoreで作る</t>
        </is>
      </c>
      <c r="H265" s="10" t="inlineStr">
        <is>
          <t>NRIネットコム株式会社</t>
        </is>
      </c>
      <c r="I265" s="10" t="n"/>
      <c r="J265" s="10" t="inlineStr">
        <is>
          <t>connpass</t>
        </is>
      </c>
      <c r="K265" s="10" t="inlineStr">
        <is>
          <t>会場</t>
        </is>
      </c>
      <c r="L265" s="10" t="inlineStr">
        <is>
          <t>(場所未定)</t>
        </is>
      </c>
      <c r="M265" s="10" t="inlineStr">
        <is>
          <t>技術・AI全般</t>
        </is>
      </c>
      <c r="N265" s="10" t="inlineStr">
        <is>
          <t>AIエージェント</t>
        </is>
      </c>
      <c r="O265" s="12" t="inlineStr">
        <is>
          <t>○</t>
        </is>
      </c>
      <c r="P265" s="13" t="n">
        <v>49</v>
      </c>
      <c r="Q265" s="12" t="inlineStr">
        <is>
          <t>参加者数</t>
        </is>
      </c>
      <c r="R265" s="14" t="n"/>
      <c r="S265" s="10" t="n"/>
      <c r="T265" s="10" t="n"/>
      <c r="U265" s="15" t="inlineStr">
        <is>
          <t>https://nrinetcom.connpass.com/event/401295/</t>
        </is>
      </c>
      <c r="V265" s="10" t="n"/>
      <c r="W265" s="10" t="inlineStr">
        <is>
          <t>タイトル一致</t>
        </is>
      </c>
      <c r="X265" s="10" t="n"/>
    </row>
    <row r="266">
      <c r="A266" s="10" t="n">
        <v>265</v>
      </c>
      <c r="B266" s="11" t="n">
        <v>46247</v>
      </c>
      <c r="C266" s="11" t="n">
        <v>46247</v>
      </c>
      <c r="D266" s="10">
        <f>MONTH(B266)&amp;"月"</f>
        <v/>
      </c>
      <c r="E266" s="12" t="n">
        <v>1</v>
      </c>
      <c r="F266" s="10" t="n"/>
      <c r="G266" s="10" t="inlineStr">
        <is>
          <t>AI Agent Okinawa #9'  オンライン開催</t>
        </is>
      </c>
      <c r="H266" s="10" t="inlineStr">
        <is>
          <t>AI Agent Okinawa</t>
        </is>
      </c>
      <c r="I266" s="10" t="n"/>
      <c r="J266" s="10" t="inlineStr">
        <is>
          <t>connpass</t>
        </is>
      </c>
      <c r="K266" s="10" t="inlineStr">
        <is>
          <t>オンライン</t>
        </is>
      </c>
      <c r="L266" s="10" t="inlineStr">
        <is>
          <t>(場所未定)</t>
        </is>
      </c>
      <c r="M266" s="10" t="inlineStr">
        <is>
          <t>技術・AI全般</t>
        </is>
      </c>
      <c r="N266" s="10" t="inlineStr">
        <is>
          <t>AIエージェント</t>
        </is>
      </c>
      <c r="O266" s="12" t="inlineStr">
        <is>
          <t>○</t>
        </is>
      </c>
      <c r="P266" s="13" t="n">
        <v>4</v>
      </c>
      <c r="Q266" s="12" t="inlineStr">
        <is>
          <t>参加者数</t>
        </is>
      </c>
      <c r="R266" s="14" t="n">
        <v>5</v>
      </c>
      <c r="S266" s="10" t="n"/>
      <c r="T266" s="10" t="n"/>
      <c r="U266" s="15" t="inlineStr">
        <is>
          <t>https://ai-agent-okinawa.connpass.com/event/402920/</t>
        </is>
      </c>
      <c r="V266" s="10" t="n"/>
      <c r="W266" s="10" t="inlineStr">
        <is>
          <t>タイトル一致</t>
        </is>
      </c>
      <c r="X266" s="10" t="n"/>
    </row>
    <row r="267">
      <c r="A267" s="10" t="n">
        <v>266</v>
      </c>
      <c r="B267" s="11" t="n">
        <v>46248</v>
      </c>
      <c r="C267" s="11" t="n">
        <v>46248</v>
      </c>
      <c r="D267" s="10">
        <f>MONTH(B267)&amp;"月"</f>
        <v/>
      </c>
      <c r="E267" s="12" t="n">
        <v>1</v>
      </c>
      <c r="F267" s="10" t="n"/>
      <c r="G267" s="10" t="inlineStr">
        <is>
          <t>【CeeBeeDee】初期セットアップから学ぶClaude Code入門／サイトウマサカズ</t>
        </is>
      </c>
      <c r="H267" s="10" t="inlineStr">
        <is>
          <t>CeeBeeDee</t>
        </is>
      </c>
      <c r="I267" s="10" t="n"/>
      <c r="J267" s="10" t="inlineStr">
        <is>
          <t>Doorkeeper</t>
        </is>
      </c>
      <c r="K267" s="10" t="inlineStr">
        <is>
          <t>不明</t>
        </is>
      </c>
      <c r="L267" s="10" t="n"/>
      <c r="M267" s="10" t="inlineStr">
        <is>
          <t>開発生産性</t>
        </is>
      </c>
      <c r="N267" s="10" t="inlineStr">
        <is>
          <t>AIエージェント</t>
        </is>
      </c>
      <c r="O267" s="12" t="inlineStr">
        <is>
          <t>○</t>
        </is>
      </c>
      <c r="P267" s="13" t="n">
        <v>64</v>
      </c>
      <c r="Q267" s="12" t="inlineStr">
        <is>
          <t>参加者数</t>
        </is>
      </c>
      <c r="R267" s="14" t="n"/>
      <c r="S267" s="10" t="n"/>
      <c r="T267" s="10" t="inlineStr">
        <is>
          <t xml:space="preserve"> 本イベントは終了しています。「アーカイブ動画を見たい方」「スライドをダウンロードしたい方」はSTORESからお求めください。 個人・フリーランス（5,500円） 法人向け（11,000円） 本日現在（8月14日[金]）、200本のアーカイブが見放題になる定額制（サブスク）も用意しています。 3ヶ月ごと：35ドル 12ヶ月ごと：130ドル 動画だけでなく、スライドや補足なども含まれます。 Claude Codeの初期セットアップから基本</t>
        </is>
      </c>
      <c r="U267" s="15" t="inlineStr">
        <is>
          <t>https://cssnite.doorkeeper.jp/events/198097</t>
        </is>
      </c>
      <c r="V267" s="10" t="n"/>
      <c r="W267" s="10" t="inlineStr">
        <is>
          <t>タイトル一致</t>
        </is>
      </c>
      <c r="X267" s="10" t="n"/>
    </row>
    <row r="268">
      <c r="A268" s="10" t="n">
        <v>267</v>
      </c>
      <c r="B268" s="11" t="n">
        <v>46249</v>
      </c>
      <c r="C268" s="11" t="n">
        <v>46249</v>
      </c>
      <c r="D268" s="10">
        <f>MONTH(B268)&amp;"月"</f>
        <v/>
      </c>
      <c r="E268" s="12" t="n">
        <v>1</v>
      </c>
      <c r="F268" s="10" t="n"/>
      <c r="G268" s="10" t="inlineStr">
        <is>
          <t>AIエージェント時代の相棒選び</t>
        </is>
      </c>
      <c r="H268" s="10" t="inlineStr">
        <is>
          <t>デジタルレイバーズ</t>
        </is>
      </c>
      <c r="I268" s="10" t="n"/>
      <c r="J268" s="10" t="inlineStr">
        <is>
          <t>connpass</t>
        </is>
      </c>
      <c r="K268" s="10" t="inlineStr">
        <is>
          <t>オンライン</t>
        </is>
      </c>
      <c r="L268" s="10" t="inlineStr">
        <is>
          <t>オンライン</t>
        </is>
      </c>
      <c r="M268" s="10" t="inlineStr">
        <is>
          <t>技術・AI全般</t>
        </is>
      </c>
      <c r="N268" s="10" t="inlineStr">
        <is>
          <t>AIエージェント</t>
        </is>
      </c>
      <c r="O268" s="12" t="inlineStr">
        <is>
          <t>○</t>
        </is>
      </c>
      <c r="P268" s="13" t="n">
        <v>19</v>
      </c>
      <c r="Q268" s="12" t="inlineStr">
        <is>
          <t>参加者数</t>
        </is>
      </c>
      <c r="R268" s="14" t="n">
        <v>60</v>
      </c>
      <c r="S268" s="10" t="n"/>
      <c r="T268" s="10" t="n"/>
      <c r="U268" s="15" t="inlineStr">
        <is>
          <t>https://digital-labors.connpass.com/event/401850/</t>
        </is>
      </c>
      <c r="V268" s="10" t="n"/>
      <c r="W268" s="10" t="inlineStr">
        <is>
          <t>タイトル一致</t>
        </is>
      </c>
      <c r="X268" s="10" t="n"/>
    </row>
    <row r="269">
      <c r="A269" s="10" t="n">
        <v>268</v>
      </c>
      <c r="B269" s="11" t="n">
        <v>46249</v>
      </c>
      <c r="C269" s="11" t="n">
        <v>46249</v>
      </c>
      <c r="D269" s="10">
        <f>MONTH(B269)&amp;"月"</f>
        <v/>
      </c>
      <c r="E269" s="12" t="n">
        <v>1</v>
      </c>
      <c r="F269" s="10" t="n"/>
      <c r="G269" s="10" t="inlineStr">
        <is>
          <t>Copilot StudioでAIエージェントを作ってみる｜Copilotエージェント入門</t>
        </is>
      </c>
      <c r="H269" s="10" t="inlineStr">
        <is>
          <t>ITエンジニア One Up 勉強会</t>
        </is>
      </c>
      <c r="I269" s="10" t="n"/>
      <c r="J269" s="10" t="inlineStr">
        <is>
          <t>connpass</t>
        </is>
      </c>
      <c r="K269" s="10" t="inlineStr">
        <is>
          <t>オンライン</t>
        </is>
      </c>
      <c r="L269" s="10" t="inlineStr">
        <is>
          <t>オンライン</t>
        </is>
      </c>
      <c r="M269" s="10" t="inlineStr">
        <is>
          <t>生産性向上・業務効率化</t>
        </is>
      </c>
      <c r="N269" s="10" t="inlineStr">
        <is>
          <t>AIエージェント</t>
        </is>
      </c>
      <c r="O269" s="12" t="inlineStr">
        <is>
          <t>◎</t>
        </is>
      </c>
      <c r="P269" s="13" t="n">
        <v>19</v>
      </c>
      <c r="Q269" s="12" t="inlineStr">
        <is>
          <t>参加者数</t>
        </is>
      </c>
      <c r="R269" s="14" t="n">
        <v>20</v>
      </c>
      <c r="S269" s="10" t="n"/>
      <c r="T269" s="10" t="n"/>
      <c r="U269" s="15" t="inlineStr">
        <is>
          <t>https://streamline.connpass.com/event/403209/</t>
        </is>
      </c>
      <c r="V269" s="10" t="n"/>
      <c r="W269" s="10" t="inlineStr">
        <is>
          <t>タイトル一致</t>
        </is>
      </c>
      <c r="X269" s="10" t="n"/>
    </row>
    <row r="270">
      <c r="A270" s="10" t="n">
        <v>269</v>
      </c>
      <c r="B270" s="11" t="n">
        <v>46249</v>
      </c>
      <c r="C270" s="11" t="n">
        <v>46249</v>
      </c>
      <c r="D270" s="10">
        <f>MONTH(B270)&amp;"月"</f>
        <v/>
      </c>
      <c r="E270" s="12" t="n">
        <v>1</v>
      </c>
      <c r="F270" s="10" t="n"/>
      <c r="G270" s="10" t="inlineStr">
        <is>
          <t>【一夜限りのオンライン開催】ゼロから始めるClaude Code講座</t>
        </is>
      </c>
      <c r="H270" s="10" t="inlineStr">
        <is>
          <t>みんなのグラさんと愉快な仲間たち</t>
        </is>
      </c>
      <c r="I270" s="10" t="n"/>
      <c r="J270" s="10" t="inlineStr">
        <is>
          <t>connpass</t>
        </is>
      </c>
      <c r="K270" s="10" t="inlineStr">
        <is>
          <t>オンライン</t>
        </is>
      </c>
      <c r="L270" s="10" t="inlineStr">
        <is>
          <t>オンライン</t>
        </is>
      </c>
      <c r="M270" s="10" t="inlineStr">
        <is>
          <t>開発生産性</t>
        </is>
      </c>
      <c r="N270" s="10" t="inlineStr">
        <is>
          <t>AIエージェント</t>
        </is>
      </c>
      <c r="O270" s="12" t="inlineStr">
        <is>
          <t>○</t>
        </is>
      </c>
      <c r="P270" s="13" t="n">
        <v>0</v>
      </c>
      <c r="Q270" s="12" t="inlineStr">
        <is>
          <t>参加者数</t>
        </is>
      </c>
      <c r="R270" s="14" t="n"/>
      <c r="S270" s="10" t="n"/>
      <c r="T270" s="10" t="n"/>
      <c r="U270" s="15" t="inlineStr">
        <is>
          <t>https://glass-sun.connpass.com/event/402400/</t>
        </is>
      </c>
      <c r="V270" s="10" t="n"/>
      <c r="W270" s="10" t="inlineStr">
        <is>
          <t>タイトル一致</t>
        </is>
      </c>
      <c r="X270" s="10" t="n"/>
    </row>
    <row r="271">
      <c r="A271" s="10" t="n">
        <v>270</v>
      </c>
      <c r="B271" s="11" t="n">
        <v>46249</v>
      </c>
      <c r="C271" s="11" t="n">
        <v>46291</v>
      </c>
      <c r="D271" s="10">
        <f>MONTH(B271)&amp;"月"</f>
        <v/>
      </c>
      <c r="E271" s="12" t="n">
        <v>6</v>
      </c>
      <c r="F271" s="10" t="inlineStr">
        <is>
          <t>08/15、08/22、08/29、09/12、09/19、09/26</t>
        </is>
      </c>
      <c r="G271" s="10" t="inlineStr">
        <is>
          <t>ゼロからはじめるPython入門講座（対面・無料）</t>
        </is>
      </c>
      <c r="H271" s="10" t="inlineStr">
        <is>
          <t>techgym</t>
        </is>
      </c>
      <c r="I271" s="10" t="n"/>
      <c r="J271" s="10" t="inlineStr">
        <is>
          <t>Doorkeeper</t>
        </is>
      </c>
      <c r="K271" s="10" t="inlineStr">
        <is>
          <t>会場</t>
        </is>
      </c>
      <c r="L271" s="10" t="inlineStr">
        <is>
          <t>VORT永田町6F 東京都千代田区平河町2-7-2</t>
        </is>
      </c>
      <c r="M271" s="10" t="inlineStr">
        <is>
          <t>営業・マーケ・CS</t>
        </is>
      </c>
      <c r="N271" s="10" t="inlineStr">
        <is>
          <t>AIエージェント</t>
        </is>
      </c>
      <c r="O271" s="12" t="inlineStr">
        <is>
          <t>○</t>
        </is>
      </c>
      <c r="P271" s="13" t="n">
        <v>1</v>
      </c>
      <c r="Q271" s="12" t="inlineStr">
        <is>
          <t>参加者数</t>
        </is>
      </c>
      <c r="R271" s="14" t="n">
        <v>30</v>
      </c>
      <c r="S271" s="10" t="inlineStr">
        <is>
          <t>全6回の合計</t>
        </is>
      </c>
      <c r="T271" s="10" t="inlineStr">
        <is>
          <t xml:space="preserve"> 【無料】ゼロからはじめるPython入門講座（対面・無料） 世界で大人気のプログラミング言語「Python」で簡単なゲームを作る講座を開催します。 こちらのセミナーはテックジム Python基礎コース のテキストを利用します。 当講座はおかげさまで、創業8年で毎週開催、すでに全国で2万人以上が参加しました。 これから初めてプログラミングを体験する方もご安心してご参加いただけます。 【永田町で対面開催となります】 オンラインでは出来ない</t>
        </is>
      </c>
      <c r="U271" s="15" t="inlineStr">
        <is>
          <t>https://techgym.doorkeeper.jp/events/198719</t>
        </is>
      </c>
      <c r="V271" s="10" t="n"/>
      <c r="W271" s="10" t="inlineStr">
        <is>
          <t>本文一致</t>
        </is>
      </c>
      <c r="X271" s="10" t="n"/>
    </row>
    <row r="272">
      <c r="A272" s="10" t="n">
        <v>271</v>
      </c>
      <c r="B272" s="11" t="n">
        <v>46249</v>
      </c>
      <c r="C272" s="11" t="n">
        <v>46249</v>
      </c>
      <c r="D272" s="10">
        <f>MONTH(B272)&amp;"月"</f>
        <v/>
      </c>
      <c r="E272" s="12" t="n">
        <v>1</v>
      </c>
      <c r="F272" s="10" t="n"/>
      <c r="G272" s="10" t="inlineStr">
        <is>
          <t>今さら聞けないClaude Codeスラッシュコマンド入門@オンライン</t>
        </is>
      </c>
      <c r="H272" s="10" t="inlineStr">
        <is>
          <t>ITエンジニア One Up 勉強会</t>
        </is>
      </c>
      <c r="I272" s="10" t="n"/>
      <c r="J272" s="10" t="inlineStr">
        <is>
          <t>connpass</t>
        </is>
      </c>
      <c r="K272" s="10" t="inlineStr">
        <is>
          <t>オンライン</t>
        </is>
      </c>
      <c r="L272" s="10" t="inlineStr">
        <is>
          <t>オンライン</t>
        </is>
      </c>
      <c r="M272" s="10" t="inlineStr">
        <is>
          <t>開発生産性</t>
        </is>
      </c>
      <c r="N272" s="10" t="inlineStr">
        <is>
          <t>AIエージェント</t>
        </is>
      </c>
      <c r="O272" s="12" t="inlineStr">
        <is>
          <t>○</t>
        </is>
      </c>
      <c r="P272" s="13" t="n">
        <v>26</v>
      </c>
      <c r="Q272" s="12" t="inlineStr">
        <is>
          <t>参加者数</t>
        </is>
      </c>
      <c r="R272" s="14" t="n">
        <v>30</v>
      </c>
      <c r="S272" s="10" t="n"/>
      <c r="T272" s="10" t="n"/>
      <c r="U272" s="15" t="inlineStr">
        <is>
          <t>https://streamline.connpass.com/event/403211/</t>
        </is>
      </c>
      <c r="V272" s="10" t="n"/>
      <c r="W272" s="10" t="inlineStr">
        <is>
          <t>タイトル一致</t>
        </is>
      </c>
      <c r="X272" s="10" t="n"/>
    </row>
    <row r="273">
      <c r="A273" s="10" t="n">
        <v>272</v>
      </c>
      <c r="B273" s="11" t="n">
        <v>46249</v>
      </c>
      <c r="C273" s="11" t="n">
        <v>46249</v>
      </c>
      <c r="D273" s="10">
        <f>MONTH(B273)&amp;"月"</f>
        <v/>
      </c>
      <c r="E273" s="12" t="n">
        <v>1</v>
      </c>
      <c r="F273" s="10" t="n"/>
      <c r="G273" s="10" t="inlineStr">
        <is>
          <t>第4回ハンズオン勉強会 Codex CLI 深掘り②（ChatGPT 有料プラン契約必須）</t>
        </is>
      </c>
      <c r="H273" s="10" t="inlineStr">
        <is>
          <t>CDLE熊本</t>
        </is>
      </c>
      <c r="I273" s="10" t="n"/>
      <c r="J273" s="10" t="inlineStr">
        <is>
          <t>connpass</t>
        </is>
      </c>
      <c r="K273" s="10" t="inlineStr">
        <is>
          <t>会場</t>
        </is>
      </c>
      <c r="L273" s="10" t="inlineStr">
        <is>
          <t>熊本県熊本市西区春日1丁目14-1</t>
        </is>
      </c>
      <c r="M273" s="10" t="inlineStr">
        <is>
          <t>開発生産性</t>
        </is>
      </c>
      <c r="N273" s="10" t="inlineStr">
        <is>
          <t>AIエージェント</t>
        </is>
      </c>
      <c r="O273" s="12" t="inlineStr">
        <is>
          <t>○</t>
        </is>
      </c>
      <c r="P273" s="13" t="n">
        <v>3</v>
      </c>
      <c r="Q273" s="12" t="inlineStr">
        <is>
          <t>参加者数</t>
        </is>
      </c>
      <c r="R273" s="14" t="n">
        <v>13</v>
      </c>
      <c r="S273" s="10" t="n"/>
      <c r="T273" s="10" t="n"/>
      <c r="U273" s="15" t="inlineStr">
        <is>
          <t>https://cdle-kumamoto.connpass.com/event/401212/</t>
        </is>
      </c>
      <c r="V273" s="10" t="n"/>
      <c r="W273" s="10" t="inlineStr">
        <is>
          <t>タイトル一致</t>
        </is>
      </c>
      <c r="X273" s="10" t="n"/>
    </row>
    <row r="274">
      <c r="A274" s="10" t="n">
        <v>273</v>
      </c>
      <c r="B274" s="11" t="n">
        <v>46250</v>
      </c>
      <c r="C274" s="11" t="n">
        <v>46250</v>
      </c>
      <c r="D274" s="10">
        <f>MONTH(B274)&amp;"月"</f>
        <v/>
      </c>
      <c r="E274" s="12" t="n">
        <v>1</v>
      </c>
      <c r="F274" s="10" t="n"/>
      <c r="G274" s="10" t="inlineStr">
        <is>
          <t>声だけで、Webページが変わる4時間|はじめてのAIエージェント講座（浅草橋・定員6名）</t>
        </is>
      </c>
      <c r="H274" s="10" t="inlineStr">
        <is>
          <t>monochr</t>
        </is>
      </c>
      <c r="I274" s="10" t="n"/>
      <c r="J274" s="10" t="inlineStr">
        <is>
          <t>Doorkeeper</t>
        </is>
      </c>
      <c r="K274" s="10" t="inlineStr">
        <is>
          <t>会場</t>
        </is>
      </c>
      <c r="L274" s="10" t="inlineStr">
        <is>
          <t>キッチンスタジオ Kitchen Bee 東京都台東区浅草橋1-8-6-202</t>
        </is>
      </c>
      <c r="M274" s="10" t="inlineStr">
        <is>
          <t>生産性向上・業務効率化</t>
        </is>
      </c>
      <c r="N274" s="10" t="inlineStr">
        <is>
          <t>AIエージェント</t>
        </is>
      </c>
      <c r="O274" s="12" t="inlineStr">
        <is>
          <t>◎</t>
        </is>
      </c>
      <c r="P274" s="13" t="n">
        <v>3</v>
      </c>
      <c r="Q274" s="12" t="inlineStr">
        <is>
          <t>参加者数</t>
        </is>
      </c>
      <c r="R274" s="14" t="n">
        <v>6</v>
      </c>
      <c r="S274" s="10" t="n"/>
      <c r="T274" s="10" t="inlineStr">
        <is>
          <t xml:space="preserve"> 8/16（日）浅草橋・6名限定。声で話しかけるだけで、当日あなた専用のWebページがネット上で書き換わります。プログラミングなし・タイピングほぼなし。ITが苦手な人のための、"聞くだけじゃない"AI講座です。 開始15分後、あなたのパソコンの中に「AIが働いた証拠」がひとつできています。黒い画面も、プログラミングも、専門用語も出てきません。あなたがすることは、日本語で話しかけることと、「はい」か「いいえ」を判断すること。 この2つだけ</t>
        </is>
      </c>
      <c r="U274" s="15" t="inlineStr">
        <is>
          <t>https://monochr.doorkeeper.jp/events/198449</t>
        </is>
      </c>
      <c r="V274" s="10" t="n"/>
      <c r="W274" s="10" t="inlineStr">
        <is>
          <t>タイトル一致</t>
        </is>
      </c>
      <c r="X274" s="10" t="n"/>
    </row>
    <row r="275">
      <c r="A275" s="10" t="n">
        <v>274</v>
      </c>
      <c r="B275" s="11" t="n">
        <v>46251</v>
      </c>
      <c r="C275" s="11" t="n">
        <v>46251</v>
      </c>
      <c r="D275" s="10">
        <f>MONTH(B275)&amp;"月"</f>
        <v/>
      </c>
      <c r="E275" s="12" t="n">
        <v>1</v>
      </c>
      <c r="F275" s="10" t="n"/>
      <c r="G275" s="10" t="inlineStr">
        <is>
          <t>AIエージェントキャッチアップ #88 - Cloudflare OS</t>
        </is>
      </c>
      <c r="H275" s="10" t="inlineStr">
        <is>
          <t>ジェネラティブエージェンツ / Generative Agents</t>
        </is>
      </c>
      <c r="I275" s="10" t="n"/>
      <c r="J275" s="10" t="inlineStr">
        <is>
          <t>connpass</t>
        </is>
      </c>
      <c r="K275" s="10" t="inlineStr">
        <is>
          <t>オンライン</t>
        </is>
      </c>
      <c r="L275" s="10" t="inlineStr">
        <is>
          <t>オンライン</t>
        </is>
      </c>
      <c r="M275" s="10" t="inlineStr">
        <is>
          <t>技術・AI全般</t>
        </is>
      </c>
      <c r="N275" s="10" t="inlineStr">
        <is>
          <t>AIエージェント</t>
        </is>
      </c>
      <c r="O275" s="12" t="inlineStr">
        <is>
          <t>○</t>
        </is>
      </c>
      <c r="P275" s="13" t="n">
        <v>72</v>
      </c>
      <c r="Q275" s="12" t="inlineStr">
        <is>
          <t>参加者数</t>
        </is>
      </c>
      <c r="R275" s="14" t="n">
        <v>200</v>
      </c>
      <c r="S275" s="10" t="n"/>
      <c r="T275" s="10" t="n"/>
      <c r="U275" s="15" t="inlineStr">
        <is>
          <t>https://generative-agents.connpass.com/event/403576/</t>
        </is>
      </c>
      <c r="V275" s="10" t="n"/>
      <c r="W275" s="10" t="inlineStr">
        <is>
          <t>タイトル一致</t>
        </is>
      </c>
      <c r="X275" s="10" t="n"/>
    </row>
    <row r="276">
      <c r="A276" s="10" t="n">
        <v>275</v>
      </c>
      <c r="B276" s="11" t="n">
        <v>46252</v>
      </c>
      <c r="C276" s="11" t="n">
        <v>46281</v>
      </c>
      <c r="D276" s="10">
        <f>MONTH(B276)&amp;"月"</f>
        <v/>
      </c>
      <c r="E276" s="12" t="n">
        <v>2</v>
      </c>
      <c r="F276" s="10" t="inlineStr">
        <is>
          <t>08/18、09/16</t>
        </is>
      </c>
      <c r="G276" s="10" t="inlineStr">
        <is>
          <t>ClaudeCode業務自動化ワークショップ【参加無料】</t>
        </is>
      </c>
      <c r="H276" s="10" t="inlineStr">
        <is>
          <t>smile_up0806</t>
        </is>
      </c>
      <c r="I276" s="10" t="n"/>
      <c r="J276" s="10" t="inlineStr">
        <is>
          <t>connpass</t>
        </is>
      </c>
      <c r="K276" s="10" t="inlineStr">
        <is>
          <t>会場</t>
        </is>
      </c>
      <c r="L276" s="10" t="inlineStr">
        <is>
          <t>(場所未定)</t>
        </is>
      </c>
      <c r="M276" s="10" t="inlineStr">
        <is>
          <t>営業・マーケ・CS</t>
        </is>
      </c>
      <c r="N276" s="10" t="inlineStr">
        <is>
          <t>AIエージェント</t>
        </is>
      </c>
      <c r="O276" s="12" t="inlineStr">
        <is>
          <t>◎</t>
        </is>
      </c>
      <c r="P276" s="13" t="n">
        <v>3</v>
      </c>
      <c r="Q276" s="12" t="inlineStr">
        <is>
          <t>参加者数</t>
        </is>
      </c>
      <c r="R276" s="14" t="n">
        <v>20</v>
      </c>
      <c r="S276" s="10" t="inlineStr">
        <is>
          <t>全2回の合計</t>
        </is>
      </c>
      <c r="T276" s="10" t="n"/>
      <c r="U276" s="15" t="inlineStr">
        <is>
          <t>https://connpass.com/event/403524/</t>
        </is>
      </c>
      <c r="V276" s="10" t="n"/>
      <c r="W276" s="10" t="inlineStr">
        <is>
          <t>タイトル一致</t>
        </is>
      </c>
      <c r="X276" s="10" t="n"/>
    </row>
    <row r="277">
      <c r="A277" s="10" t="n">
        <v>276</v>
      </c>
      <c r="B277" s="11" t="n">
        <v>46252</v>
      </c>
      <c r="C277" s="11" t="n">
        <v>46252</v>
      </c>
      <c r="D277" s="10">
        <f>MONTH(B277)&amp;"月"</f>
        <v/>
      </c>
      <c r="E277" s="12" t="n">
        <v>1</v>
      </c>
      <c r="F277" s="10" t="n"/>
      <c r="G277" s="10" t="inlineStr">
        <is>
          <t>JAWS-UG 名古屋 〜 Amazon Bedrock AgentCore LT会</t>
        </is>
      </c>
      <c r="H277" s="10" t="inlineStr">
        <is>
          <t>JAWS-UG 名古屋</t>
        </is>
      </c>
      <c r="I277" s="10" t="n"/>
      <c r="J277" s="10" t="inlineStr">
        <is>
          <t>connpass</t>
        </is>
      </c>
      <c r="K277" s="10" t="inlineStr">
        <is>
          <t>会場</t>
        </is>
      </c>
      <c r="L277" s="10" t="inlineStr">
        <is>
          <t>名古屋市中村区名駅1-1-1 JPタワー名古屋36階</t>
        </is>
      </c>
      <c r="M277" s="10" t="inlineStr">
        <is>
          <t>技術・AI全般</t>
        </is>
      </c>
      <c r="N277" s="10" t="inlineStr">
        <is>
          <t>AIエージェント</t>
        </is>
      </c>
      <c r="O277" s="12" t="inlineStr">
        <is>
          <t>○</t>
        </is>
      </c>
      <c r="P277" s="13" t="n"/>
      <c r="Q277" s="12" t="inlineStr">
        <is>
          <t>不明</t>
        </is>
      </c>
      <c r="R277" s="14" t="n"/>
      <c r="S277" s="10" t="n"/>
      <c r="T277" s="10" t="n"/>
      <c r="U277" s="15" t="inlineStr">
        <is>
          <t>https://jawsug-nagoya.connpass.com/event/400487/</t>
        </is>
      </c>
      <c r="V277" s="10" t="n"/>
      <c r="W277" s="10" t="inlineStr">
        <is>
          <t>タイトル一致</t>
        </is>
      </c>
      <c r="X277" s="10" t="n"/>
    </row>
    <row r="278">
      <c r="A278" s="10" t="n">
        <v>277</v>
      </c>
      <c r="B278" s="11" t="n">
        <v>46252</v>
      </c>
      <c r="C278" s="11" t="n">
        <v>46252</v>
      </c>
      <c r="D278" s="10">
        <f>MONTH(B278)&amp;"月"</f>
        <v/>
      </c>
      <c r="E278" s="12" t="n">
        <v>1</v>
      </c>
      <c r="F278" s="10" t="n"/>
      <c r="G278" s="10" t="inlineStr">
        <is>
          <t>ホリエモンAI学校福岡校、Claudeなどの生成AIを活用した「AIエージェントによる業務自動化」無料ウェビナーを8月18日に開催</t>
        </is>
      </c>
      <c r="H278" s="10" t="inlineStr">
        <is>
          <t>株式会社マナビバ／ホリエモンAI学校福岡校</t>
        </is>
      </c>
      <c r="I278" s="10" t="n"/>
      <c r="J278" s="10" t="inlineStr">
        <is>
          <t>PR TIMES</t>
        </is>
      </c>
      <c r="K278" s="10" t="inlineStr">
        <is>
          <t>online</t>
        </is>
      </c>
      <c r="L278" s="10" t="inlineStr">
        <is>
          <t>オンライン（Zoom）</t>
        </is>
      </c>
      <c r="M278" s="10" t="inlineStr">
        <is>
          <t>生産性向上・業務効率化</t>
        </is>
      </c>
      <c r="N278" s="10" t="inlineStr">
        <is>
          <t>AIエージェント</t>
        </is>
      </c>
      <c r="O278" s="12" t="inlineStr">
        <is>
          <t>◎</t>
        </is>
      </c>
      <c r="P278" s="13" t="n"/>
      <c r="Q278" s="12" t="inlineStr">
        <is>
          <t>不明</t>
        </is>
      </c>
      <c r="R278" s="14" t="n"/>
      <c r="S278" s="10" t="n"/>
      <c r="T278" s="10" t="inlineStr">
        <is>
          <t>ホリエモンAI学校株式会社（本社：東京都、代表取締役社長：荒木賢二郎）は、ホリエモンAI学校福岡校が、2026年8月18日（火）12時より、Claudeをはじめとする生成AIを活用した無料ウェビナー「AIエージェントによる業務自動化」を開催することをお知らせします。 開催の背景 近年、多くの企業で生成AIの活用が進む一方、その用途は文章作成や情報検索にとどまり、日常業務そのものの自動化にまで活用できている企業は、まだ多くありません。 特</t>
        </is>
      </c>
      <c r="U278" s="15" t="inlineStr">
        <is>
          <t>https://prtimes.jp/main/html/rd/p/000000144.000142396.html</t>
        </is>
      </c>
      <c r="V278" s="10" t="n"/>
      <c r="W278" s="10" t="inlineStr">
        <is>
          <t>タイトル一致</t>
        </is>
      </c>
      <c r="X278" s="10" t="n"/>
    </row>
    <row r="279">
      <c r="A279" s="10" t="n">
        <v>278</v>
      </c>
      <c r="B279" s="11" t="n">
        <v>46252</v>
      </c>
      <c r="C279" s="11" t="n">
        <v>46252</v>
      </c>
      <c r="D279" s="10">
        <f>MONTH(B279)&amp;"月"</f>
        <v/>
      </c>
      <c r="E279" s="12" t="n">
        <v>1</v>
      </c>
      <c r="F279" s="10" t="n"/>
      <c r="G279" s="10" t="inlineStr">
        <is>
          <t>初心者でも1時間で理解！ビジネスマンのためのCodex活用セミナー【初級編】</t>
        </is>
      </c>
      <c r="H279" s="10" t="inlineStr">
        <is>
          <t>Polyscape</t>
        </is>
      </c>
      <c r="I279" s="10" t="n"/>
      <c r="J279" s="10" t="inlineStr">
        <is>
          <t>connpass</t>
        </is>
      </c>
      <c r="K279" s="10" t="inlineStr">
        <is>
          <t>オンライン</t>
        </is>
      </c>
      <c r="L279" s="10" t="inlineStr">
        <is>
          <t>オンライン</t>
        </is>
      </c>
      <c r="M279" s="10" t="inlineStr">
        <is>
          <t>生産性向上・業務効率化</t>
        </is>
      </c>
      <c r="N279" s="10" t="inlineStr">
        <is>
          <t>AIエージェント</t>
        </is>
      </c>
      <c r="O279" s="12" t="inlineStr">
        <is>
          <t>◎</t>
        </is>
      </c>
      <c r="P279" s="13" t="n">
        <v>22</v>
      </c>
      <c r="Q279" s="12" t="inlineStr">
        <is>
          <t>参加者数</t>
        </is>
      </c>
      <c r="R279" s="14" t="n"/>
      <c r="S279" s="10" t="n"/>
      <c r="T279" s="10" t="n"/>
      <c r="U279" s="15" t="inlineStr">
        <is>
          <t>https://polyscape.connpass.com/event/401440/</t>
        </is>
      </c>
      <c r="V279" s="10" t="n"/>
      <c r="W279" s="10" t="inlineStr">
        <is>
          <t>タイトル一致</t>
        </is>
      </c>
      <c r="X279" s="10" t="n"/>
    </row>
    <row r="280">
      <c r="A280" s="10" t="n">
        <v>279</v>
      </c>
      <c r="B280" s="11" t="n">
        <v>46253</v>
      </c>
      <c r="C280" s="11" t="n">
        <v>46295</v>
      </c>
      <c r="D280" s="10">
        <f>MONTH(B280)&amp;"月"</f>
        <v/>
      </c>
      <c r="E280" s="12" t="n">
        <v>2</v>
      </c>
      <c r="F280" s="10" t="inlineStr">
        <is>
          <t>08/19、09/30</t>
        </is>
      </c>
      <c r="G280" s="10" t="inlineStr">
        <is>
          <t>#CodeRabbit オンラインワークショップ「AIコーディングエージェント連携」</t>
        </is>
      </c>
      <c r="H280" s="10" t="inlineStr">
        <is>
          <t>CodeRabbit</t>
        </is>
      </c>
      <c r="I280" s="10" t="n"/>
      <c r="J280" s="10" t="inlineStr">
        <is>
          <t>connpass</t>
        </is>
      </c>
      <c r="K280" s="10" t="inlineStr">
        <is>
          <t>オンライン</t>
        </is>
      </c>
      <c r="L280" s="10" t="inlineStr">
        <is>
          <t>オンライン</t>
        </is>
      </c>
      <c r="M280" s="10" t="inlineStr">
        <is>
          <t>開発生産性</t>
        </is>
      </c>
      <c r="N280" s="10" t="inlineStr">
        <is>
          <t>AIエージェント</t>
        </is>
      </c>
      <c r="O280" s="12" t="inlineStr">
        <is>
          <t>○</t>
        </is>
      </c>
      <c r="P280" s="13" t="n">
        <v>24</v>
      </c>
      <c r="Q280" s="12" t="inlineStr">
        <is>
          <t>参加者数</t>
        </is>
      </c>
      <c r="R280" s="14" t="n"/>
      <c r="S280" s="10" t="inlineStr">
        <is>
          <t>全2回の合計</t>
        </is>
      </c>
      <c r="T280" s="10" t="n"/>
      <c r="U280" s="15" t="inlineStr">
        <is>
          <t>https://coderabbit.connpass.com/event/402788/</t>
        </is>
      </c>
      <c r="V280" s="10" t="n"/>
      <c r="W280" s="10" t="inlineStr">
        <is>
          <t>タイトル一致</t>
        </is>
      </c>
      <c r="X280" s="10" t="n"/>
    </row>
    <row r="281">
      <c r="A281" s="10" t="n">
        <v>280</v>
      </c>
      <c r="B281" s="11" t="n">
        <v>46253</v>
      </c>
      <c r="C281" s="11" t="n">
        <v>46260</v>
      </c>
      <c r="D281" s="10">
        <f>MONTH(B281)&amp;"月"</f>
        <v/>
      </c>
      <c r="E281" s="12" t="n">
        <v>2</v>
      </c>
      <c r="F281" s="10" t="inlineStr">
        <is>
          <t>08/19、08/26</t>
        </is>
      </c>
      <c r="G281" s="10" t="inlineStr">
        <is>
          <t>AI Agent のための RAG System１（全2回）</t>
        </is>
      </c>
      <c r="H281" s="10" t="inlineStr">
        <is>
          <t>Scalar</t>
        </is>
      </c>
      <c r="I281" s="10" t="n"/>
      <c r="J281" s="10" t="inlineStr">
        <is>
          <t>connpass</t>
        </is>
      </c>
      <c r="K281" s="10" t="inlineStr">
        <is>
          <t>オンライン</t>
        </is>
      </c>
      <c r="L281" s="10" t="inlineStr">
        <is>
          <t>オンライン</t>
        </is>
      </c>
      <c r="M281" s="10" t="inlineStr">
        <is>
          <t>技術・AI全般</t>
        </is>
      </c>
      <c r="N281" s="10" t="inlineStr">
        <is>
          <t>AIエージェント</t>
        </is>
      </c>
      <c r="O281" s="12" t="inlineStr">
        <is>
          <t>○</t>
        </is>
      </c>
      <c r="P281" s="13" t="n">
        <v>113</v>
      </c>
      <c r="Q281" s="12" t="inlineStr">
        <is>
          <t>参加者数</t>
        </is>
      </c>
      <c r="R281" s="14" t="n">
        <v>200</v>
      </c>
      <c r="S281" s="10" t="inlineStr">
        <is>
          <t>全2回の合計</t>
        </is>
      </c>
      <c r="T281" s="10" t="n"/>
      <c r="U281" s="15" t="inlineStr">
        <is>
          <t>https://scalar.connpass.com/event/400658/</t>
        </is>
      </c>
      <c r="V281" s="10" t="n"/>
      <c r="W281" s="10" t="inlineStr">
        <is>
          <t>タイトル一致</t>
        </is>
      </c>
      <c r="X281" s="10" t="n"/>
    </row>
    <row r="282">
      <c r="A282" s="10" t="n">
        <v>281</v>
      </c>
      <c r="B282" s="11" t="n">
        <v>46253</v>
      </c>
      <c r="C282" s="11" t="n">
        <v>46253</v>
      </c>
      <c r="D282" s="10">
        <f>MONTH(B282)&amp;"月"</f>
        <v/>
      </c>
      <c r="E282" s="12" t="n">
        <v>1</v>
      </c>
      <c r="F282" s="10" t="n"/>
      <c r="G282" s="10" t="inlineStr">
        <is>
          <t>AIエージェントとの付き合い方を考える〜開発現場のセキュリティリスクとプラクティス〜</t>
        </is>
      </c>
      <c r="H282" s="10" t="inlineStr">
        <is>
          <t>レバテックフリーランス@関西/東海/九州/中四国</t>
        </is>
      </c>
      <c r="I282" s="10" t="n"/>
      <c r="J282" s="10" t="inlineStr">
        <is>
          <t>connpass</t>
        </is>
      </c>
      <c r="K282" s="10" t="inlineStr">
        <is>
          <t>オンライン</t>
        </is>
      </c>
      <c r="L282" s="10" t="inlineStr">
        <is>
          <t>オンライン</t>
        </is>
      </c>
      <c r="M282" s="10" t="inlineStr">
        <is>
          <t>開発生産性</t>
        </is>
      </c>
      <c r="N282" s="10" t="inlineStr">
        <is>
          <t>AIエージェント</t>
        </is>
      </c>
      <c r="O282" s="12" t="inlineStr">
        <is>
          <t>○</t>
        </is>
      </c>
      <c r="P282" s="13" t="n">
        <v>21</v>
      </c>
      <c r="Q282" s="12" t="inlineStr">
        <is>
          <t>参加者数</t>
        </is>
      </c>
      <c r="R282" s="14" t="n"/>
      <c r="S282" s="10" t="n"/>
      <c r="T282" s="10" t="n"/>
      <c r="U282" s="15" t="inlineStr">
        <is>
          <t>https://connpass.com/event/401479/</t>
        </is>
      </c>
      <c r="V282" s="10" t="n"/>
      <c r="W282" s="10" t="inlineStr">
        <is>
          <t>タイトル一致</t>
        </is>
      </c>
      <c r="X282" s="10" t="n"/>
    </row>
    <row r="283">
      <c r="A283" s="10" t="n">
        <v>282</v>
      </c>
      <c r="B283" s="11" t="n">
        <v>46253</v>
      </c>
      <c r="C283" s="11" t="n">
        <v>46253</v>
      </c>
      <c r="D283" s="10">
        <f>MONTH(B283)&amp;"月"</f>
        <v/>
      </c>
      <c r="E283" s="12" t="n">
        <v>1</v>
      </c>
      <c r="F283" s="10" t="n"/>
      <c r="G283" s="10" t="inlineStr">
        <is>
          <t>AIエージェントと連携する時代に人が越境することの価値</t>
        </is>
      </c>
      <c r="H283" s="10" t="inlineStr">
        <is>
          <t>SATOBITO運営事務局</t>
        </is>
      </c>
      <c r="I283" s="10" t="n"/>
      <c r="J283" s="10" t="inlineStr">
        <is>
          <t>こくちーずプロ</t>
        </is>
      </c>
      <c r="K283" s="10" t="inlineStr">
        <is>
          <t>オンライン</t>
        </is>
      </c>
      <c r="L283" s="10" t="inlineStr">
        <is>
          <t>オンライン 日本</t>
        </is>
      </c>
      <c r="M283" s="10" t="inlineStr">
        <is>
          <t>生産性向上・業務効率化</t>
        </is>
      </c>
      <c r="N283" s="10" t="inlineStr">
        <is>
          <t>AIエージェント</t>
        </is>
      </c>
      <c r="O283" s="12" t="inlineStr">
        <is>
          <t>◎</t>
        </is>
      </c>
      <c r="P283" s="13" t="n"/>
      <c r="Q283" s="12" t="inlineStr">
        <is>
          <t>不明</t>
        </is>
      </c>
      <c r="R283" s="14" t="n"/>
      <c r="S283" s="10" t="n"/>
      <c r="T283" s="10" t="inlineStr">
        <is>
          <t>内容 生成AIの活用が当たり前になりつつある今、多くの企業でAIを「使いこなせる」人材の重要性が高まっています。AIができることが増えるほど、逆に問われるのは、主体性や事業・組織を動かす思考力や周囲を巻き込む実行力、といったAIでは代替しにくい人間的な資質です。技術力だけでなく、こうした力をどう育成するか、悩んでいる企業の人事担当者は少なくありません。 Web・アプリ・システムの開発や、面白DX、技術コンサルティングなど幅広く手がける株</t>
        </is>
      </c>
      <c r="U283" s="15" t="inlineStr">
        <is>
          <t>https://www.kokuchpro.com/event/satobito_20260819/</t>
        </is>
      </c>
      <c r="V283" s="10" t="n"/>
      <c r="W283" s="10" t="inlineStr">
        <is>
          <t>タイトル一致</t>
        </is>
      </c>
      <c r="X283" s="10" t="n"/>
    </row>
    <row r="284">
      <c r="A284" s="10" t="n">
        <v>283</v>
      </c>
      <c r="B284" s="11" t="n">
        <v>46253</v>
      </c>
      <c r="C284" s="11" t="n">
        <v>46253</v>
      </c>
      <c r="D284" s="10">
        <f>MONTH(B284)&amp;"月"</f>
        <v/>
      </c>
      <c r="E284" s="12" t="n">
        <v>1</v>
      </c>
      <c r="F284" s="10" t="n"/>
      <c r="G284" s="10" t="inlineStr">
        <is>
          <t>Claude Code一強は本当か？松尾研が実践 Codex・Geminiの底力を出す使い方とは</t>
        </is>
      </c>
      <c r="H284" s="10" t="inlineStr">
        <is>
          <t>#Offers_DeepDive / オファーズ</t>
        </is>
      </c>
      <c r="I284" s="10" t="n"/>
      <c r="J284" s="10" t="inlineStr">
        <is>
          <t>connpass</t>
        </is>
      </c>
      <c r="K284" s="10" t="inlineStr">
        <is>
          <t>オンライン</t>
        </is>
      </c>
      <c r="L284" s="10" t="inlineStr">
        <is>
          <t>オンライン</t>
        </is>
      </c>
      <c r="M284" s="10" t="inlineStr">
        <is>
          <t>開発生産性</t>
        </is>
      </c>
      <c r="N284" s="10" t="inlineStr">
        <is>
          <t>AIエージェント</t>
        </is>
      </c>
      <c r="O284" s="12" t="inlineStr">
        <is>
          <t>○</t>
        </is>
      </c>
      <c r="P284" s="13" t="n">
        <v>602</v>
      </c>
      <c r="Q284" s="12" t="inlineStr">
        <is>
          <t>参加者数</t>
        </is>
      </c>
      <c r="R284" s="14" t="n"/>
      <c r="S284" s="10" t="n"/>
      <c r="T284" s="10" t="n"/>
      <c r="U284" s="15" t="inlineStr">
        <is>
          <t>https://offers-jp.connpass.com/event/399850/</t>
        </is>
      </c>
      <c r="V284" s="10" t="n"/>
      <c r="W284" s="10" t="inlineStr">
        <is>
          <t>タイトル一致</t>
        </is>
      </c>
      <c r="X284" s="10" t="n"/>
    </row>
    <row r="285">
      <c r="A285" s="10" t="n">
        <v>284</v>
      </c>
      <c r="B285" s="11" t="n">
        <v>46253</v>
      </c>
      <c r="C285" s="11" t="n">
        <v>46253</v>
      </c>
      <c r="D285" s="10">
        <f>MONTH(B285)&amp;"月"</f>
        <v/>
      </c>
      <c r="E285" s="12" t="n">
        <v>1</v>
      </c>
      <c r="F285" s="10" t="n"/>
      <c r="G285" s="10" t="inlineStr">
        <is>
          <t>LayerX、AIエージェント時代のバックオフィス変革を先進企業と議論した「バックオフィスAIサミット」の無料オンライン配信決定</t>
        </is>
      </c>
      <c r="H285" s="10" t="inlineStr">
        <is>
          <t>株式会社LayerX</t>
        </is>
      </c>
      <c r="I285" s="10" t="n"/>
      <c r="J285" s="10" t="inlineStr">
        <is>
          <t>PR TIMES</t>
        </is>
      </c>
      <c r="K285" s="10" t="inlineStr">
        <is>
          <t>online</t>
        </is>
      </c>
      <c r="L285" s="10" t="inlineStr">
        <is>
          <t>オンライン配信</t>
        </is>
      </c>
      <c r="M285" s="10" t="inlineStr">
        <is>
          <t>生産性向上・業務効率化</t>
        </is>
      </c>
      <c r="N285" s="10" t="inlineStr">
        <is>
          <t>AIエージェント</t>
        </is>
      </c>
      <c r="O285" s="12" t="inlineStr">
        <is>
          <t>◎</t>
        </is>
      </c>
      <c r="P285" s="13" t="n"/>
      <c r="Q285" s="12" t="inlineStr">
        <is>
          <t>不明</t>
        </is>
      </c>
      <c r="R285" s="14" t="n"/>
      <c r="S285" s="10" t="n"/>
      <c r="T285" s="10" t="inlineStr">
        <is>
          <t>株式会社LayerX（本社：東京都中央区、代表取締役CEO：福島良典、以下「LayerX」）は、2026年6月19日（金）に開催した「バックオフィスAIサミット 〜AIエージェントが仕事を終わらせる時代のバックオフィス再設計〜」のオンライン配信を、2026年8月19日（水）14:00より実施することをお知らせします。 視聴お申込み 本サミットは、AIエージェントが自律的に業務を遂行する実用段階に入った今、バックオフィスを単なる「処理する</t>
        </is>
      </c>
      <c r="U285" s="15" t="inlineStr">
        <is>
          <t>https://prtimes.jp/main/html/rd/p/000000626.000036528.html</t>
        </is>
      </c>
      <c r="V285" s="10" t="n"/>
      <c r="W285" s="10" t="inlineStr">
        <is>
          <t>タイトル一致</t>
        </is>
      </c>
      <c r="X285" s="10" t="n"/>
    </row>
    <row r="286">
      <c r="A286" s="10" t="n">
        <v>285</v>
      </c>
      <c r="B286" s="11" t="n">
        <v>46253</v>
      </c>
      <c r="C286" s="11" t="n">
        <v>46253</v>
      </c>
      <c r="D286" s="10">
        <f>MONTH(B286)&amp;"月"</f>
        <v/>
      </c>
      <c r="E286" s="12" t="n">
        <v>1</v>
      </c>
      <c r="F286" s="10" t="n"/>
      <c r="G286" s="10" t="inlineStr">
        <is>
          <t>RAGは本当にオワコンなのか?  〜エージェント型RAGで変わるカスタマーサポートの最前線〜</t>
        </is>
      </c>
      <c r="H286" s="10" t="inlineStr">
        <is>
          <t>Helpfeelセミナー事務局</t>
        </is>
      </c>
      <c r="I286" s="10" t="n"/>
      <c r="J286" s="10" t="inlineStr">
        <is>
          <t>こくちーずプロ</t>
        </is>
      </c>
      <c r="K286" s="10" t="inlineStr">
        <is>
          <t>オンライン</t>
        </is>
      </c>
      <c r="L286" s="10" t="inlineStr">
        <is>
          <t>オンライン 日本</t>
        </is>
      </c>
      <c r="M286" s="10" t="inlineStr">
        <is>
          <t>営業・マーケ・CS</t>
        </is>
      </c>
      <c r="N286" s="10" t="inlineStr">
        <is>
          <t>AIエージェント</t>
        </is>
      </c>
      <c r="O286" s="12" t="inlineStr">
        <is>
          <t>◎</t>
        </is>
      </c>
      <c r="P286" s="13" t="n"/>
      <c r="Q286" s="12" t="inlineStr">
        <is>
          <t>不明</t>
        </is>
      </c>
      <c r="R286" s="14" t="n"/>
      <c r="S286" s="10" t="n"/>
      <c r="T286" s="10" t="inlineStr">
        <is>
          <t>【AIエージェント×RAGで、カスタマーサポートはどう変わるか】 AIエージェントの台頭で、「RAGはもう古い」という声を耳にする機会も増えましたが、本当にRAGはオワコンなのでしょうか。実際、RAGは進化を止めておらず、AIエージェントと組み合わさることで、従来の検索×生成の枠を超えた「エージェント型RAG」として新たな価値を生み出し始めています。 本セミナーでは、カスタマーサポート領域における最新の活用例を交えながら、次世代の「エー</t>
        </is>
      </c>
      <c r="U286" s="15" t="inlineStr">
        <is>
          <t>https://www.kokuchpro.com/event/b48f849f84745dd2e3987322306c7668/</t>
        </is>
      </c>
      <c r="V286" s="10" t="n"/>
      <c r="W286" s="10" t="inlineStr">
        <is>
          <t>タイトル一致</t>
        </is>
      </c>
      <c r="X286" s="10" t="n"/>
    </row>
    <row r="287">
      <c r="A287" s="10" t="n">
        <v>286</v>
      </c>
      <c r="B287" s="11" t="n">
        <v>46253</v>
      </c>
      <c r="C287" s="11" t="n">
        <v>46253</v>
      </c>
      <c r="D287" s="10">
        <f>MONTH(B287)&amp;"月"</f>
        <v/>
      </c>
      <c r="E287" s="12" t="n">
        <v>1</v>
      </c>
      <c r="F287" s="10" t="n"/>
      <c r="G287" s="10" t="inlineStr">
        <is>
          <t>【水曜のDX道場】AIが「外部の道具」を使える仕組みは？DifyとGeminiで学ぶ「MCP」超入門</t>
        </is>
      </c>
      <c r="H287" s="10" t="inlineStr">
        <is>
          <t>水曜のDX道場</t>
        </is>
      </c>
      <c r="I287" s="10" t="n"/>
      <c r="J287" s="10" t="inlineStr">
        <is>
          <t>connpass</t>
        </is>
      </c>
      <c r="K287" s="10" t="inlineStr">
        <is>
          <t>会場</t>
        </is>
      </c>
      <c r="L287" s="10" t="inlineStr">
        <is>
          <t>大阪市北区本庄東１−１８−８</t>
        </is>
      </c>
      <c r="M287" s="10" t="inlineStr">
        <is>
          <t>生産性向上・業務効率化</t>
        </is>
      </c>
      <c r="N287" s="10" t="inlineStr">
        <is>
          <t>MCP</t>
        </is>
      </c>
      <c r="O287" s="12" t="inlineStr">
        <is>
          <t>◎</t>
        </is>
      </c>
      <c r="P287" s="13" t="n">
        <v>12</v>
      </c>
      <c r="Q287" s="12" t="inlineStr">
        <is>
          <t>参加者数</t>
        </is>
      </c>
      <c r="R287" s="14" t="n">
        <v>20</v>
      </c>
      <c r="S287" s="10" t="n"/>
      <c r="T287" s="10" t="n"/>
      <c r="U287" s="15" t="inlineStr">
        <is>
          <t>https://dxdojo.connpass.com/event/402969/</t>
        </is>
      </c>
      <c r="V287" s="10" t="n"/>
      <c r="W287" s="10" t="inlineStr">
        <is>
          <t>タイトル一致</t>
        </is>
      </c>
      <c r="X287" s="10" t="n"/>
    </row>
    <row r="288">
      <c r="A288" s="10" t="n">
        <v>287</v>
      </c>
      <c r="B288" s="11" t="n">
        <v>46253</v>
      </c>
      <c r="C288" s="11" t="n">
        <v>46253</v>
      </c>
      <c r="D288" s="10">
        <f>MONTH(B288)&amp;"月"</f>
        <v/>
      </c>
      <c r="E288" s="12" t="n">
        <v>1</v>
      </c>
      <c r="F288" s="10" t="n"/>
      <c r="G288" s="10" t="inlineStr">
        <is>
          <t>なんでもCopilot（プレビュー）#10「Copilot Studio課金体系の真相を探る(仮)」</t>
        </is>
      </c>
      <c r="H288" s="10" t="inlineStr">
        <is>
          <t>なんでもCopilot</t>
        </is>
      </c>
      <c r="I288" s="10" t="n"/>
      <c r="J288" s="10" t="inlineStr">
        <is>
          <t>connpass</t>
        </is>
      </c>
      <c r="K288" s="10" t="inlineStr">
        <is>
          <t>オンライン</t>
        </is>
      </c>
      <c r="L288" s="10" t="inlineStr">
        <is>
          <t>オンライン</t>
        </is>
      </c>
      <c r="M288" s="10" t="inlineStr">
        <is>
          <t>生産性向上・業務効率化</t>
        </is>
      </c>
      <c r="N288" s="10" t="inlineStr">
        <is>
          <t>AIエージェント</t>
        </is>
      </c>
      <c r="O288" s="12" t="inlineStr">
        <is>
          <t>◎</t>
        </is>
      </c>
      <c r="P288" s="13" t="n">
        <v>237</v>
      </c>
      <c r="Q288" s="12" t="inlineStr">
        <is>
          <t>参加者数</t>
        </is>
      </c>
      <c r="R288" s="14" t="n">
        <v>300</v>
      </c>
      <c r="S288" s="10" t="n"/>
      <c r="T288" s="10" t="n"/>
      <c r="U288" s="15" t="inlineStr">
        <is>
          <t>https://nandemo.connpass.com/event/402986/</t>
        </is>
      </c>
      <c r="V288" s="10" t="n"/>
      <c r="W288" s="10" t="inlineStr">
        <is>
          <t>タイトル一致</t>
        </is>
      </c>
      <c r="X288" s="10" t="n"/>
    </row>
    <row r="289">
      <c r="A289" s="10" t="n">
        <v>288</v>
      </c>
      <c r="B289" s="11" t="n">
        <v>46253</v>
      </c>
      <c r="C289" s="11" t="n">
        <v>46253</v>
      </c>
      <c r="D289" s="10">
        <f>MONTH(B289)&amp;"月"</f>
        <v/>
      </c>
      <c r="E289" s="12" t="n">
        <v>1</v>
      </c>
      <c r="F289" s="10" t="n"/>
      <c r="G289" s="10" t="inlineStr">
        <is>
          <t>ワークフローシステムとAIを繋ぐ ～『機能』ではなく『拡張性』で選ぶ時代へ 楽々WorkflowII × Dify 連携ウェビナー～</t>
        </is>
      </c>
      <c r="H289" s="10" t="inlineStr">
        <is>
          <t>「楽々WorkflowII」紹介ウェビナー担当</t>
        </is>
      </c>
      <c r="I289" s="10" t="n"/>
      <c r="J289" s="10" t="inlineStr">
        <is>
          <t>こくちーずプロ</t>
        </is>
      </c>
      <c r="K289" s="10" t="inlineStr">
        <is>
          <t>オンライン</t>
        </is>
      </c>
      <c r="L289" s="10" t="inlineStr">
        <is>
          <t>オンライン 日本</t>
        </is>
      </c>
      <c r="M289" s="10" t="inlineStr">
        <is>
          <t>生産性向上・業務効率化</t>
        </is>
      </c>
      <c r="N289" s="10" t="inlineStr">
        <is>
          <t>AIエージェント</t>
        </is>
      </c>
      <c r="O289" s="12" t="inlineStr">
        <is>
          <t>◎</t>
        </is>
      </c>
      <c r="P289" s="13" t="n"/>
      <c r="Q289" s="12" t="inlineStr">
        <is>
          <t>不明</t>
        </is>
      </c>
      <c r="R289" s="14" t="n"/>
      <c r="S289" s="10" t="n"/>
      <c r="T289" s="10" t="inlineStr">
        <is>
          <t>【共催ウェビナー】 ワークフローシステムとAIを繋ぐ ～『機能』ではなく『拡張性』で選ぶ時代へ 楽々WorkflowII × Dify 連携ウェビナー～ この度、リコージャパンと共同で、ワークフロー業務における生成AIの活用について解説し、ご提案するウェビナーを開催いたします。 近年、AI技術は急速に進化し、多くの業務分野で活用が広がっています。事業や部門の日々の作業において、生成AIをどのように活用すべきか見極め、最適な導入を進めるこ</t>
        </is>
      </c>
      <c r="U289" s="15" t="inlineStr">
        <is>
          <t>https://www.kokuchpro.com/event/e6fb54d0f6b3270bd58234bec2cd4700/</t>
        </is>
      </c>
      <c r="V289" s="10" t="n"/>
      <c r="W289" s="10" t="inlineStr">
        <is>
          <t>タイトル一致</t>
        </is>
      </c>
      <c r="X289" s="10" t="n"/>
    </row>
    <row r="290">
      <c r="A290" s="10" t="n">
        <v>289</v>
      </c>
      <c r="B290" s="11" t="n">
        <v>46253</v>
      </c>
      <c r="C290" s="11" t="n">
        <v>46253</v>
      </c>
      <c r="D290" s="10">
        <f>MONTH(B290)&amp;"月"</f>
        <v/>
      </c>
      <c r="E290" s="12" t="n">
        <v>1</v>
      </c>
      <c r="F290" s="10" t="n"/>
      <c r="G290" s="10" t="inlineStr">
        <is>
          <t>生成AI・AIエージェントフォーラム Online 2026 夏</t>
        </is>
      </c>
      <c r="H290" s="10" t="inlineStr">
        <is>
          <t>SBクリエイティブ株式会社（ビジネス＋IT）</t>
        </is>
      </c>
      <c r="I290" s="10" t="n"/>
      <c r="J290" s="10" t="inlineStr">
        <is>
          <t>ビジネス+IT</t>
        </is>
      </c>
      <c r="K290" s="10" t="inlineStr">
        <is>
          <t>online</t>
        </is>
      </c>
      <c r="L290" s="10" t="inlineStr">
        <is>
          <t>オンライン</t>
        </is>
      </c>
      <c r="M290" s="10" t="inlineStr">
        <is>
          <t>生産性向上・業務効率化</t>
        </is>
      </c>
      <c r="N290" s="10" t="inlineStr">
        <is>
          <t>AIエージェント</t>
        </is>
      </c>
      <c r="O290" s="12" t="inlineStr">
        <is>
          <t>◎</t>
        </is>
      </c>
      <c r="P290" s="13" t="n"/>
      <c r="Q290" s="12" t="inlineStr">
        <is>
          <t>不明</t>
        </is>
      </c>
      <c r="R290" s="14" t="n"/>
      <c r="S290" s="10" t="n"/>
      <c r="T290" s="10" t="inlineStr">
        <is>
          <t>急速に変化するビジネス環境において、企業は単なる業務効率化の枠を超え、新たな価値を創出する「共創型」のパラダイムシフトを求められています。その変革の核となるのが、生成AI、そして自律的にタスクを遂行する「AIエージェント」による業務の高度な自動化です。本カンファレンスでは、「人とAIの自律型共創社会」の実現をメインテーマに掲げ、企業のDXを加速させる次世代の戦略を深掘りします。AIエージェントによるプロセス変革、RAG（検索拡張生成）を</t>
        </is>
      </c>
      <c r="U290" s="15" t="inlineStr">
        <is>
          <t>https://www.sbbit.jp/eventinfo/89281</t>
        </is>
      </c>
      <c r="V290" s="10" t="n"/>
      <c r="W290" s="10" t="inlineStr">
        <is>
          <t>タイトル一致</t>
        </is>
      </c>
      <c r="X290" s="10" t="n"/>
    </row>
    <row r="291">
      <c r="A291" s="10" t="n">
        <v>290</v>
      </c>
      <c r="B291" s="11" t="n">
        <v>46253</v>
      </c>
      <c r="C291" s="11" t="n">
        <v>46253</v>
      </c>
      <c r="D291" s="10">
        <f>MONTH(B291)&amp;"月"</f>
        <v/>
      </c>
      <c r="E291" s="12" t="n">
        <v>1</v>
      </c>
      <c r="F291" s="10" t="n"/>
      <c r="G291" s="10" t="inlineStr">
        <is>
          <t>社内データとシームレスに連携！Claude CodeでのMCP活用術！</t>
        </is>
      </c>
      <c r="H291" s="10" t="inlineStr">
        <is>
          <t>Solvio｜生成AI活用支援</t>
        </is>
      </c>
      <c r="I291" s="10" t="n"/>
      <c r="J291" s="10" t="inlineStr">
        <is>
          <t>connpass</t>
        </is>
      </c>
      <c r="K291" s="10" t="inlineStr">
        <is>
          <t>オンライン</t>
        </is>
      </c>
      <c r="L291" s="10" t="inlineStr">
        <is>
          <t>オンライン</t>
        </is>
      </c>
      <c r="M291" s="10" t="inlineStr">
        <is>
          <t>生産性向上・業務効率化</t>
        </is>
      </c>
      <c r="N291" s="10" t="inlineStr">
        <is>
          <t>MCP</t>
        </is>
      </c>
      <c r="O291" s="12" t="inlineStr">
        <is>
          <t>◎</t>
        </is>
      </c>
      <c r="P291" s="13" t="n">
        <v>12</v>
      </c>
      <c r="Q291" s="12" t="inlineStr">
        <is>
          <t>参加者数</t>
        </is>
      </c>
      <c r="R291" s="14" t="n"/>
      <c r="S291" s="10" t="n"/>
      <c r="T291" s="10" t="n"/>
      <c r="U291" s="15" t="inlineStr">
        <is>
          <t>https://solvio.connpass.com/event/403578/</t>
        </is>
      </c>
      <c r="V291" s="10" t="n"/>
      <c r="W291" s="10" t="inlineStr">
        <is>
          <t>タイトル一致</t>
        </is>
      </c>
      <c r="X291" s="10" t="n"/>
    </row>
    <row r="292">
      <c r="A292" s="10" t="n">
        <v>291</v>
      </c>
      <c r="B292" s="11" t="n">
        <v>46253</v>
      </c>
      <c r="C292" s="11" t="n">
        <v>46253</v>
      </c>
      <c r="D292" s="10">
        <f>MONTH(B292)&amp;"月"</f>
        <v/>
      </c>
      <c r="E292" s="12" t="n">
        <v>1</v>
      </c>
      <c r="F292" s="10" t="n"/>
      <c r="G292" s="10" t="inlineStr">
        <is>
          <t>（※開催日変更）Claude Code Fable 5 meetup！ #1</t>
        </is>
      </c>
      <c r="H292" s="10" t="inlineStr">
        <is>
          <t>Findy AI+</t>
        </is>
      </c>
      <c r="I292" s="10" t="n"/>
      <c r="J292" s="10" t="inlineStr">
        <is>
          <t>connpass</t>
        </is>
      </c>
      <c r="K292" s="10" t="inlineStr">
        <is>
          <t>会場</t>
        </is>
      </c>
      <c r="L292" s="10" t="inlineStr">
        <is>
          <t>〒150-0031 東京都渋谷区桜丘町9番8号 KN渋谷3 4階</t>
        </is>
      </c>
      <c r="M292" s="10" t="inlineStr">
        <is>
          <t>開発生産性</t>
        </is>
      </c>
      <c r="N292" s="10" t="inlineStr">
        <is>
          <t>AIエージェント</t>
        </is>
      </c>
      <c r="O292" s="12" t="inlineStr">
        <is>
          <t>○</t>
        </is>
      </c>
      <c r="P292" s="13" t="n">
        <v>21</v>
      </c>
      <c r="Q292" s="12" t="inlineStr">
        <is>
          <t>参加者数</t>
        </is>
      </c>
      <c r="R292" s="14" t="n">
        <v>32</v>
      </c>
      <c r="S292" s="10" t="n"/>
      <c r="T292" s="10" t="n"/>
      <c r="U292" s="15" t="inlineStr">
        <is>
          <t>https://findy-aiplus.connpass.com/event/401663/</t>
        </is>
      </c>
      <c r="V292" s="10" t="n"/>
      <c r="W292" s="10" t="inlineStr">
        <is>
          <t>タイトル一致</t>
        </is>
      </c>
      <c r="X292" s="10" t="n"/>
    </row>
    <row r="293">
      <c r="A293" s="10" t="n">
        <v>292</v>
      </c>
      <c r="B293" s="11" t="n">
        <v>46254</v>
      </c>
      <c r="C293" s="11" t="n">
        <v>46254</v>
      </c>
      <c r="D293" s="10">
        <f>MONTH(B293)&amp;"月"</f>
        <v/>
      </c>
      <c r="E293" s="12" t="n">
        <v>1</v>
      </c>
      <c r="F293" s="10" t="n"/>
      <c r="G293" s="10" t="inlineStr">
        <is>
          <t>8/20(木)【オンライン 開催・無料】 AIO/LLMO対策セミナー SEO対策から次のAI対策へ(動画配信)</t>
        </is>
      </c>
      <c r="H293" s="10" t="inlineStr">
        <is>
          <t>8/20(木)【オンライン 開催・無料】 AIO/LLMO対策セミナー SEO対策から次のAI対策へ(動画配信)事務局</t>
        </is>
      </c>
      <c r="I293" s="10" t="n"/>
      <c r="J293" s="10" t="inlineStr">
        <is>
          <t>こくちーずプロ</t>
        </is>
      </c>
      <c r="K293" s="10" t="inlineStr">
        <is>
          <t>オンライン</t>
        </is>
      </c>
      <c r="L293" s="10" t="inlineStr">
        <is>
          <t>オンライン 日本</t>
        </is>
      </c>
      <c r="M293" s="10" t="inlineStr">
        <is>
          <t>営業・マーケ・CS</t>
        </is>
      </c>
      <c r="N293" s="10" t="inlineStr">
        <is>
          <t>AIエージェント</t>
        </is>
      </c>
      <c r="O293" s="12" t="inlineStr">
        <is>
          <t>○</t>
        </is>
      </c>
      <c r="P293" s="13" t="n">
        <v>0</v>
      </c>
      <c r="Q293" s="12" t="inlineStr">
        <is>
          <t>イベント参加 0/20</t>
        </is>
      </c>
      <c r="R293" s="14" t="n">
        <v>20</v>
      </c>
      <c r="S293" s="10" t="n"/>
      <c r="T293" s="10" t="inlineStr">
        <is>
          <t>AIO/LLMO対策セミナー SEO対策から次のAI対策へ（動画配信） こんなお悩みありませんか？ AIに関する知識をもっと上げたい AIを使ってのWEBマーケティングって何ができるの？と感じている AIの登場で、自社の集客がどうなるか不安がある WEBマーケティングに本格的に力を入れていきたい Webマーケティングのバリューエージェントでは、AI時代にプロがどのようにAIを活用しているかをお伝えするWEBマーケティングセミナーを開催す</t>
        </is>
      </c>
      <c r="U293" s="15" t="inlineStr">
        <is>
          <t>https://www.kokuchpro.com/event/3ada15b7819b6275b5c4c9deb1c3c9c8/</t>
        </is>
      </c>
      <c r="V293" s="10" t="n"/>
      <c r="W293" s="10" t="inlineStr">
        <is>
          <t>本文一致</t>
        </is>
      </c>
      <c r="X293" s="10" t="n"/>
    </row>
    <row r="294">
      <c r="A294" s="10" t="n">
        <v>293</v>
      </c>
      <c r="B294" s="11" t="n">
        <v>46254</v>
      </c>
      <c r="C294" s="11" t="n">
        <v>46254</v>
      </c>
      <c r="D294" s="10">
        <f>MONTH(B294)&amp;"月"</f>
        <v/>
      </c>
      <c r="E294" s="12" t="n">
        <v>1</v>
      </c>
      <c r="F294" s="10" t="n"/>
      <c r="G294" s="10" t="inlineStr">
        <is>
          <t>【DX推進担当者向け】脱・プロンプト依存!人とAIの役割分担で、AIを“組織の力”にする</t>
        </is>
      </c>
      <c r="H294" s="10" t="inlineStr">
        <is>
          <t>ヒューマンリソシア株式会社 DXセミナー事務局</t>
        </is>
      </c>
      <c r="I294" s="10" t="n"/>
      <c r="J294" s="10" t="inlineStr">
        <is>
          <t>こくちーずプロ</t>
        </is>
      </c>
      <c r="K294" s="10" t="inlineStr">
        <is>
          <t>オンライン</t>
        </is>
      </c>
      <c r="L294" s="10" t="inlineStr">
        <is>
          <t>オンライン 日本</t>
        </is>
      </c>
      <c r="M294" s="10" t="inlineStr">
        <is>
          <t>生産性向上・業務効率化</t>
        </is>
      </c>
      <c r="N294" s="10" t="inlineStr">
        <is>
          <t>AIエージェント</t>
        </is>
      </c>
      <c r="O294" s="12" t="inlineStr">
        <is>
          <t>○</t>
        </is>
      </c>
      <c r="P294" s="13" t="n"/>
      <c r="Q294" s="12" t="inlineStr">
        <is>
          <t>不明</t>
        </is>
      </c>
      <c r="R294" s="14" t="n"/>
      <c r="S294" s="10" t="n"/>
      <c r="T294" s="10" t="inlineStr">
        <is>
          <t>「生成AIを導入したものの、現場では検索や文章作成にしか使われていない」 「プロンプトを学ばなければAIは活用できないと感じ、組織全体へ広がらない」 このような課題を抱えていませんか。 AIへの投資が進んでも、業務の進め方が変わらなければ、 生産性向上や投資対効果は期待できません。 属人化した業務がそのまま残り、「AIを導入しただけ」で終わってしまうことは、 多くの企業が直面している課題です。 今AIは、プロンプトで指示を出す時代から、</t>
        </is>
      </c>
      <c r="U294" s="15" t="inlineStr">
        <is>
          <t>https://www.kokuchpro.com/event/seisei_ai_260820/</t>
        </is>
      </c>
      <c r="V294" s="10" t="n"/>
      <c r="W294" s="10" t="inlineStr">
        <is>
          <t>本文一致</t>
        </is>
      </c>
      <c r="X294" s="10" t="n"/>
    </row>
    <row r="295">
      <c r="A295" s="10" t="n">
        <v>294</v>
      </c>
      <c r="B295" s="11" t="n">
        <v>46254</v>
      </c>
      <c r="C295" s="11" t="n">
        <v>46282</v>
      </c>
      <c r="D295" s="10">
        <f>MONTH(B295)&amp;"月"</f>
        <v/>
      </c>
      <c r="E295" s="12" t="n">
        <v>5</v>
      </c>
      <c r="F295" s="10" t="inlineStr">
        <is>
          <t>08/20、08/27、09/03、09/10、09/17</t>
        </is>
      </c>
      <c r="G295" s="10" t="inlineStr">
        <is>
          <t>【IT知識不要】AIに出遅れた人のための、はじめての実践ワークショップ</t>
        </is>
      </c>
      <c r="H295" s="10" t="inlineStr">
        <is>
          <t>merit運営事務局</t>
        </is>
      </c>
      <c r="I295" s="10" t="n"/>
      <c r="J295" s="10" t="inlineStr">
        <is>
          <t>こくちーずプロ</t>
        </is>
      </c>
      <c r="K295" s="10" t="inlineStr">
        <is>
          <t>オフライン（会場）</t>
        </is>
      </c>
      <c r="L295" s="10" t="inlineStr">
        <is>
          <t>re:Dine 大阪府大阪市北区大深町6-38 グラングリーン大阪 北館 JAM BASE 1 階</t>
        </is>
      </c>
      <c r="M295" s="10" t="inlineStr">
        <is>
          <t>生産性向上・業務効率化</t>
        </is>
      </c>
      <c r="N295" s="10" t="inlineStr">
        <is>
          <t>AIエージェント</t>
        </is>
      </c>
      <c r="O295" s="12" t="inlineStr">
        <is>
          <t>○</t>
        </is>
      </c>
      <c r="P295" s="13" t="n">
        <v>15</v>
      </c>
      <c r="Q295" s="12" t="inlineStr">
        <is>
          <t>イベント参加 4/6</t>
        </is>
      </c>
      <c r="R295" s="14" t="n">
        <v>30</v>
      </c>
      <c r="S295" s="10" t="inlineStr">
        <is>
          <t>全5回の合計</t>
        </is>
      </c>
      <c r="T295" s="10" t="inlineStr">
        <is>
          <t>MERIT AI WORKSHOP はじめてのAI活用ワークショップ 「気づけば、周りはもう使ってた」 ——その出遅れ、90分で取り戻す。 パソコン不要・むずかしい設定なし。見て・聞いて・そのまま持ち帰れる90分。 「AIが便利らしいのは分かるけど、正直まだ触れていない」 「周りは使い始めていて、なんだか自分だけ置いていかれそう…」 そんな“出遅れ感”を抱えている方に、ちょうどいい最初の一歩です。 このワークショップは、 難しい操作もプ</t>
        </is>
      </c>
      <c r="U295" s="15" t="inlineStr">
        <is>
          <t>https://www.kokuchpro.com/event/10348f3d83444093dcb91722adab3d2c/</t>
        </is>
      </c>
      <c r="V295" s="10" t="n"/>
      <c r="W295" s="10" t="inlineStr">
        <is>
          <t>本文一致</t>
        </is>
      </c>
      <c r="X295" s="10" t="n"/>
    </row>
    <row r="296">
      <c r="A296" s="10" t="n">
        <v>295</v>
      </c>
      <c r="B296" s="11" t="n">
        <v>46254</v>
      </c>
      <c r="C296" s="11" t="n">
        <v>46282</v>
      </c>
      <c r="D296" s="10">
        <f>MONTH(B296)&amp;"月"</f>
        <v/>
      </c>
      <c r="E296" s="12" t="n">
        <v>2</v>
      </c>
      <c r="F296" s="10" t="inlineStr">
        <is>
          <t>08/20、09/17</t>
        </is>
      </c>
      <c r="G296" s="10" t="inlineStr">
        <is>
          <t>【企業向け】超実践！成果を生むAIエージェント活用事例ウェビナー</t>
        </is>
      </c>
      <c r="H296" s="10" t="inlineStr">
        <is>
          <t>QueryPie AI</t>
        </is>
      </c>
      <c r="I296" s="10" t="n"/>
      <c r="J296" s="10" t="inlineStr">
        <is>
          <t>connpass</t>
        </is>
      </c>
      <c r="K296" s="10" t="inlineStr">
        <is>
          <t>オンライン</t>
        </is>
      </c>
      <c r="L296" s="10" t="inlineStr">
        <is>
          <t>オンライン</t>
        </is>
      </c>
      <c r="M296" s="10" t="inlineStr">
        <is>
          <t>技術・AI全般</t>
        </is>
      </c>
      <c r="N296" s="10" t="inlineStr">
        <is>
          <t>AIエージェント</t>
        </is>
      </c>
      <c r="O296" s="12" t="inlineStr">
        <is>
          <t>○</t>
        </is>
      </c>
      <c r="P296" s="13" t="n">
        <v>10</v>
      </c>
      <c r="Q296" s="12" t="inlineStr">
        <is>
          <t>参加者数</t>
        </is>
      </c>
      <c r="R296" s="14" t="n">
        <v>85</v>
      </c>
      <c r="S296" s="10" t="inlineStr">
        <is>
          <t>全2回の合計</t>
        </is>
      </c>
      <c r="T296" s="10" t="n"/>
      <c r="U296" s="15" t="inlineStr">
        <is>
          <t>https://querypiejapan.connpass.com/event/403408/</t>
        </is>
      </c>
      <c r="V296" s="10" t="n"/>
      <c r="W296" s="10" t="inlineStr">
        <is>
          <t>タイトル一致</t>
        </is>
      </c>
      <c r="X296" s="10" t="n"/>
    </row>
    <row r="297">
      <c r="A297" s="10" t="n">
        <v>296</v>
      </c>
      <c r="B297" s="11" t="n">
        <v>46254</v>
      </c>
      <c r="C297" s="11" t="n">
        <v>46254</v>
      </c>
      <c r="D297" s="10">
        <f>MONTH(B297)&amp;"月"</f>
        <v/>
      </c>
      <c r="E297" s="12" t="n">
        <v>1</v>
      </c>
      <c r="F297" s="10" t="n"/>
      <c r="G297" s="10" t="inlineStr">
        <is>
          <t>【無料】リザスト×Codex 集客から講座募集までつなぐAI活用セミナー</t>
        </is>
      </c>
      <c r="H297" s="10" t="inlineStr">
        <is>
          <t>杉山眞利 リザスト×AI活用事務局</t>
        </is>
      </c>
      <c r="I297" s="10" t="n"/>
      <c r="J297" s="10" t="inlineStr">
        <is>
          <t>こくちーずプロ</t>
        </is>
      </c>
      <c r="K297" s="10" t="inlineStr">
        <is>
          <t>オンライン</t>
        </is>
      </c>
      <c r="L297" s="10" t="inlineStr">
        <is>
          <t>オンライン 日本</t>
        </is>
      </c>
      <c r="M297" s="10" t="inlineStr">
        <is>
          <t>営業・マーケ・CS</t>
        </is>
      </c>
      <c r="N297" s="10" t="inlineStr">
        <is>
          <t>AIエージェント</t>
        </is>
      </c>
      <c r="O297" s="12" t="inlineStr">
        <is>
          <t>◎</t>
        </is>
      </c>
      <c r="P297" s="13" t="n">
        <v>0</v>
      </c>
      <c r="Q297" s="12" t="inlineStr">
        <is>
          <t>イベント参加 0/20</t>
        </is>
      </c>
      <c r="R297" s="14" t="n">
        <v>20</v>
      </c>
      <c r="S297" s="10" t="n"/>
      <c r="T297" s="10" t="inlineStr">
        <is>
          <t>ChatGPTで文章は作れた。 でも、講座募集までは完成しなかった方へ。 リザスト×Codex 集客から講座募集までつなぐAI活用セミナー 講座案ひとつから、LP・バナー・募集メルマガ・スライド・特典・開催後のフォローまで リザストでメルマガを書いたり、講座ページを作ったりしている。ChatGPTを使えば文章も作れるようになった。 それなのに、講座の募集を始めるまでに時間がかかったり、途中で止まってしまったりすることはありませんか？ こ</t>
        </is>
      </c>
      <c r="U297" s="15" t="inlineStr">
        <is>
          <t>https://www.kokuchpro.com/event/edf6782234c42816d79ff0021fe5b0e4/3869841/</t>
        </is>
      </c>
      <c r="V297" s="10" t="n"/>
      <c r="W297" s="10" t="inlineStr">
        <is>
          <t>タイトル一致</t>
        </is>
      </c>
      <c r="X297" s="10" t="n"/>
    </row>
    <row r="298">
      <c r="A298" s="10" t="n">
        <v>297</v>
      </c>
      <c r="B298" s="11" t="n">
        <v>46254</v>
      </c>
      <c r="C298" s="11" t="n">
        <v>46254</v>
      </c>
      <c r="D298" s="10">
        <f>MONTH(B298)&amp;"月"</f>
        <v/>
      </c>
      <c r="E298" s="12" t="n">
        <v>1</v>
      </c>
      <c r="F298" s="10" t="n"/>
      <c r="G298" s="10" t="inlineStr">
        <is>
          <t>採用面接における生成AIの実践【事例紹介】</t>
        </is>
      </c>
      <c r="H298" s="10" t="inlineStr">
        <is>
          <t>株式会社samurAI Agents 事務局</t>
        </is>
      </c>
      <c r="I298" s="10" t="n"/>
      <c r="J298" s="10" t="inlineStr">
        <is>
          <t>こくちーずプロ</t>
        </is>
      </c>
      <c r="K298" s="10" t="inlineStr">
        <is>
          <t>オンライン</t>
        </is>
      </c>
      <c r="L298" s="10" t="inlineStr">
        <is>
          <t>オンライン 日本</t>
        </is>
      </c>
      <c r="M298" s="10" t="inlineStr">
        <is>
          <t>生産性向上・業務効率化</t>
        </is>
      </c>
      <c r="N298" s="10" t="inlineStr">
        <is>
          <t>AIエージェント</t>
        </is>
      </c>
      <c r="O298" s="12" t="inlineStr">
        <is>
          <t>○</t>
        </is>
      </c>
      <c r="P298" s="13" t="n">
        <v>0</v>
      </c>
      <c r="Q298" s="12" t="inlineStr">
        <is>
          <t>イベント参加 0/50</t>
        </is>
      </c>
      <c r="R298" s="14" t="n">
        <v>50</v>
      </c>
      <c r="S298" s="10" t="n"/>
      <c r="T298" s="10" t="inlineStr">
        <is>
          <t>見どころ紹介 ❶ 500人規模 内定承諾率20%→40%（+20pt）を実現した生成AI活用事例を公開 ❷ 累計面接データ5,000件から生み出す 人に頼らない勝たせる技術を公開 ウェビナー概要 現場社員が面接を担うほど、「見極め」と「惹きつけ」の品質を揃えることは難しくなります。 今回のウェビナーでは、 見極めとアトラクト(意向度上げ) の属人性を解決したいというご課題に対して ❶「面接官を生成AIで育てる」 ❷「面接品質そのものをA</t>
        </is>
      </c>
      <c r="U298" s="15" t="inlineStr">
        <is>
          <t>https://www.kokuchpro.com/event/c95450f8ec53ec792062d7032bca72ab/</t>
        </is>
      </c>
      <c r="V298" s="10" t="n"/>
      <c r="W298" s="10" t="inlineStr">
        <is>
          <t>本文一致</t>
        </is>
      </c>
      <c r="X298" s="10" t="n"/>
    </row>
    <row r="299">
      <c r="A299" s="10" t="n">
        <v>298</v>
      </c>
      <c r="B299" s="11" t="n">
        <v>46254</v>
      </c>
      <c r="C299" s="11" t="n">
        <v>46255</v>
      </c>
      <c r="D299" s="10">
        <f>MONTH(B299)&amp;"月"</f>
        <v/>
      </c>
      <c r="E299" s="12" t="n">
        <v>1</v>
      </c>
      <c r="F299" s="10" t="n"/>
      <c r="G299" s="10" t="inlineStr">
        <is>
          <t>第1回【営業・マーケ・DX推進】AIエージェントDXPO東京'26【夏】</t>
        </is>
      </c>
      <c r="H299" s="10" t="inlineStr">
        <is>
          <t>株式会社ブティックス</t>
        </is>
      </c>
      <c r="I299" s="10" t="n"/>
      <c r="J299" s="10" t="inlineStr">
        <is>
          <t>個別調査（公式サイト・PR TIMES等）</t>
        </is>
      </c>
      <c r="K299" s="10" t="inlineStr">
        <is>
          <t>会場</t>
        </is>
      </c>
      <c r="L299" s="10" t="inlineStr">
        <is>
          <t>東京ビッグサイト西1-3ホール</t>
        </is>
      </c>
      <c r="M299" s="10" t="inlineStr">
        <is>
          <t>営業・マーケ・CS</t>
        </is>
      </c>
      <c r="N299" s="10" t="inlineStr">
        <is>
          <t>AIエージェント</t>
        </is>
      </c>
      <c r="O299" s="12" t="inlineStr">
        <is>
          <t>◎</t>
        </is>
      </c>
      <c r="P299" s="13" t="n"/>
      <c r="Q299" s="12" t="inlineStr">
        <is>
          <t>不明</t>
        </is>
      </c>
      <c r="R299" s="14" t="n"/>
      <c r="S299" s="10" t="inlineStr">
        <is>
          <t>同時開催のDXPO全体で予定来場者数52,200名との記載があるが、ページ本文では確認できていない</t>
        </is>
      </c>
      <c r="T299" s="10" t="inlineStr">
        <is>
          <t>営業に特化したAIエージェントの展示会。会話解析・資料作成・議事録AIなどを展示し、専門セミナーは64本。</t>
        </is>
      </c>
      <c r="U299" s="15" t="inlineStr">
        <is>
          <t>https://bizexpo.jp/exhibitions/dx-ai-dxpo-202608</t>
        </is>
      </c>
      <c r="V299" s="15" t="inlineStr">
        <is>
          <t>https://prtimes.jp/main/html/rd/p/000000247.000017704.html</t>
        </is>
      </c>
      <c r="W299" s="10" t="inlineStr">
        <is>
          <t>個別確認</t>
        </is>
      </c>
      <c r="X299" s="10" t="n"/>
    </row>
    <row r="300">
      <c r="A300" s="10" t="n">
        <v>299</v>
      </c>
      <c r="B300" s="11" t="n">
        <v>46255</v>
      </c>
      <c r="C300" s="11" t="n">
        <v>46255</v>
      </c>
      <c r="D300" s="10">
        <f>MONTH(B300)&amp;"月"</f>
        <v/>
      </c>
      <c r="E300" s="12" t="n">
        <v>1</v>
      </c>
      <c r="F300" s="10" t="n"/>
      <c r="G300" s="10" t="inlineStr">
        <is>
          <t>#23 プロンプトのみで動かす自律型AI「Gemini Spark」解説＆ライブデモ【オンライン】</t>
        </is>
      </c>
      <c r="H300" s="10" t="inlineStr">
        <is>
          <t>日本生成AIユーザ会</t>
        </is>
      </c>
      <c r="I300" s="10" t="n"/>
      <c r="J300" s="10" t="inlineStr">
        <is>
          <t>connpass</t>
        </is>
      </c>
      <c r="K300" s="10" t="inlineStr">
        <is>
          <t>オンライン</t>
        </is>
      </c>
      <c r="L300" s="10" t="inlineStr">
        <is>
          <t>オンライン</t>
        </is>
      </c>
      <c r="M300" s="10" t="inlineStr">
        <is>
          <t>技術・AI全般</t>
        </is>
      </c>
      <c r="N300" s="10" t="inlineStr">
        <is>
          <t>AIエージェント</t>
        </is>
      </c>
      <c r="O300" s="12" t="inlineStr">
        <is>
          <t>○</t>
        </is>
      </c>
      <c r="P300" s="13" t="n">
        <v>29</v>
      </c>
      <c r="Q300" s="12" t="inlineStr">
        <is>
          <t>参加者数</t>
        </is>
      </c>
      <c r="R300" s="14" t="n"/>
      <c r="S300" s="10" t="n"/>
      <c r="T300" s="10" t="n"/>
      <c r="U300" s="15" t="inlineStr">
        <is>
          <t>https://genai-users.connpass.com/event/404236/</t>
        </is>
      </c>
      <c r="V300" s="10" t="n"/>
      <c r="W300" s="10" t="inlineStr">
        <is>
          <t>タイトル一致</t>
        </is>
      </c>
      <c r="X300" s="10" t="n"/>
    </row>
    <row r="301">
      <c r="A301" s="10" t="n">
        <v>300</v>
      </c>
      <c r="B301" s="11" t="n">
        <v>46255</v>
      </c>
      <c r="C301" s="11" t="n">
        <v>46255</v>
      </c>
      <c r="D301" s="10">
        <f>MONTH(B301)&amp;"月"</f>
        <v/>
      </c>
      <c r="E301" s="12" t="n">
        <v>1</v>
      </c>
      <c r="F301" s="10" t="n"/>
      <c r="G301" s="10" t="inlineStr">
        <is>
          <t>AIでつくる解説・告知ショート動画 — Codex / Claude Code×HyperFramesで量産できる型をつくる —｜MMS公開ワークショップ</t>
        </is>
      </c>
      <c r="H301" s="10" t="inlineStr">
        <is>
          <t>MMS(MIRAICHI Moon Shot)</t>
        </is>
      </c>
      <c r="I301" s="10" t="n"/>
      <c r="J301" s="10" t="inlineStr">
        <is>
          <t>Peatix</t>
        </is>
      </c>
      <c r="K301" s="10" t="inlineStr">
        <is>
          <t>オンライン(Zoom)</t>
        </is>
      </c>
      <c r="L301" s="10" t="n"/>
      <c r="M301" s="10" t="inlineStr">
        <is>
          <t>生産管理・製造・SCM</t>
        </is>
      </c>
      <c r="N301" s="10" t="inlineStr">
        <is>
          <t>AIエージェント</t>
        </is>
      </c>
      <c r="O301" s="12" t="inlineStr">
        <is>
          <t>◎</t>
        </is>
      </c>
      <c r="P301" s="13" t="n"/>
      <c r="Q301" s="12" t="inlineStr">
        <is>
          <t>不明</t>
        </is>
      </c>
      <c r="R301" s="14" t="n"/>
      <c r="S301" s="10" t="n"/>
      <c r="T301" s="10" t="inlineStr">
        <is>
          <t>2026年8月21日(金)21:00-23:00 Zoom 無料</t>
        </is>
      </c>
      <c r="U301" s="15" t="inlineStr">
        <is>
          <t>https://peatix.com/event/5132470</t>
        </is>
      </c>
      <c r="V301" s="10" t="n"/>
      <c r="W301" s="10" t="inlineStr">
        <is>
          <t>タイトル一致</t>
        </is>
      </c>
      <c r="X301" s="10" t="n"/>
    </row>
    <row r="302">
      <c r="A302" s="10" t="n">
        <v>301</v>
      </c>
      <c r="B302" s="11" t="n">
        <v>46255</v>
      </c>
      <c r="C302" s="11" t="n">
        <v>46255</v>
      </c>
      <c r="D302" s="10">
        <f>MONTH(B302)&amp;"月"</f>
        <v/>
      </c>
      <c r="E302" s="12" t="n">
        <v>1</v>
      </c>
      <c r="F302" s="10" t="n"/>
      <c r="G302" s="10" t="inlineStr">
        <is>
          <t>AIでメール業務を自動化! ～送信・返信・フォローまでAIに任せる方法～</t>
        </is>
      </c>
      <c r="H302" s="10" t="inlineStr">
        <is>
          <t>JDネット AI活用セミナー事務局</t>
        </is>
      </c>
      <c r="I302" s="10" t="n"/>
      <c r="J302" s="10" t="inlineStr">
        <is>
          <t>こくちーずプロ</t>
        </is>
      </c>
      <c r="K302" s="10" t="inlineStr">
        <is>
          <t>オンライン</t>
        </is>
      </c>
      <c r="L302" s="10" t="inlineStr">
        <is>
          <t>オンライン 日本</t>
        </is>
      </c>
      <c r="M302" s="10" t="inlineStr">
        <is>
          <t>生産性向上・業務効率化</t>
        </is>
      </c>
      <c r="N302" s="10" t="inlineStr">
        <is>
          <t>AIエージェント</t>
        </is>
      </c>
      <c r="O302" s="12" t="inlineStr">
        <is>
          <t>○</t>
        </is>
      </c>
      <c r="P302" s="13" t="n">
        <v>2</v>
      </c>
      <c r="Q302" s="12" t="inlineStr">
        <is>
          <t>イベント参加 2/50</t>
        </is>
      </c>
      <c r="R302" s="14" t="n">
        <v>50</v>
      </c>
      <c r="S302" s="10" t="n"/>
      <c r="T302" s="10" t="inlineStr">
        <is>
          <t>概要 今回のAI活用セミナーでは、「メール送付の自動化」をテーマに、 AIを活用して日々のメール業務を効率化する方法をご紹介します。 すでにChatGPTなどを使って、メール文面の作成や 添削に活用されている方は多いのではないでしょうか。 今回は、文面を作るだけで終わらず、その先の作業となる 「送信する」「決められたタイミングでフォローする」といった作業まで 自動化する方法を、分かりやすく解説します。 お問い合わせへの返信、営業メールの</t>
        </is>
      </c>
      <c r="U302" s="15" t="inlineStr">
        <is>
          <t>https://www.kokuchpro.com/event/bc802a842bd8d8b702bb5bdabf99e2df/</t>
        </is>
      </c>
      <c r="V302" s="10" t="n"/>
      <c r="W302" s="10" t="inlineStr">
        <is>
          <t>本文一致</t>
        </is>
      </c>
      <c r="X302" s="10" t="n"/>
    </row>
    <row r="303">
      <c r="A303" s="10" t="n">
        <v>302</v>
      </c>
      <c r="B303" s="11" t="n">
        <v>46255</v>
      </c>
      <c r="C303" s="11" t="n">
        <v>46255</v>
      </c>
      <c r="D303" s="10">
        <f>MONTH(B303)&amp;"月"</f>
        <v/>
      </c>
      <c r="E303" s="12" t="n">
        <v>1</v>
      </c>
      <c r="F303" s="10" t="n"/>
      <c r="G303" s="10" t="inlineStr">
        <is>
          <t>Cursor Meetup Sendai</t>
        </is>
      </c>
      <c r="H303" s="10" t="inlineStr">
        <is>
          <t>SendaiAILab</t>
        </is>
      </c>
      <c r="I303" s="10" t="n"/>
      <c r="J303" s="10" t="inlineStr">
        <is>
          <t>connpass</t>
        </is>
      </c>
      <c r="K303" s="10" t="inlineStr">
        <is>
          <t>会場</t>
        </is>
      </c>
      <c r="L303" s="10" t="inlineStr">
        <is>
          <t>宮城県仙台市青葉区一番町3丁目3-20 京阪仙台一番町ビル2階</t>
        </is>
      </c>
      <c r="M303" s="10" t="inlineStr">
        <is>
          <t>開発生産性</t>
        </is>
      </c>
      <c r="N303" s="10" t="inlineStr">
        <is>
          <t>AIエージェント</t>
        </is>
      </c>
      <c r="O303" s="12" t="inlineStr">
        <is>
          <t>○</t>
        </is>
      </c>
      <c r="P303" s="13" t="n">
        <v>0</v>
      </c>
      <c r="Q303" s="12" t="inlineStr">
        <is>
          <t>参加者数</t>
        </is>
      </c>
      <c r="R303" s="14" t="n">
        <v>20</v>
      </c>
      <c r="S303" s="10" t="n"/>
      <c r="T303" s="10" t="n"/>
      <c r="U303" s="15" t="inlineStr">
        <is>
          <t>https://connpass.com/event/400867/</t>
        </is>
      </c>
      <c r="V303" s="10" t="n"/>
      <c r="W303" s="10" t="inlineStr">
        <is>
          <t>タイトル一致</t>
        </is>
      </c>
      <c r="X303" s="10" t="n"/>
    </row>
    <row r="304">
      <c r="A304" s="10" t="n">
        <v>303</v>
      </c>
      <c r="B304" s="11" t="n">
        <v>46255</v>
      </c>
      <c r="C304" s="11" t="n">
        <v>46255</v>
      </c>
      <c r="D304" s="10">
        <f>MONTH(B304)&amp;"月"</f>
        <v/>
      </c>
      <c r="E304" s="12" t="n">
        <v>1</v>
      </c>
      <c r="F304" s="10" t="n"/>
      <c r="G304" s="10" t="inlineStr">
        <is>
          <t>【大分・無料】守秘義務を守りながら業務時間を半分に|士業・コンサルのための生成AI実践セミナー</t>
        </is>
      </c>
      <c r="H304" s="10" t="inlineStr">
        <is>
          <t>ほり中小企業診断士事務所</t>
        </is>
      </c>
      <c r="I304" s="10" t="n"/>
      <c r="J304" s="10" t="inlineStr">
        <is>
          <t>こくちーずプロ</t>
        </is>
      </c>
      <c r="K304" s="10" t="inlineStr">
        <is>
          <t>オフライン（会場）</t>
        </is>
      </c>
      <c r="L304" s="10" t="inlineStr">
        <is>
          <t>ユナイテッドシェア大分 大分県大分市末広町1丁目5-16 ユナイテッド末広ビル3F</t>
        </is>
      </c>
      <c r="M304" s="10" t="inlineStr">
        <is>
          <t>生産性向上・業務効率化</t>
        </is>
      </c>
      <c r="N304" s="10" t="inlineStr">
        <is>
          <t>AIエージェント</t>
        </is>
      </c>
      <c r="O304" s="12" t="inlineStr">
        <is>
          <t>○</t>
        </is>
      </c>
      <c r="P304" s="13" t="n">
        <v>0</v>
      </c>
      <c r="Q304" s="12" t="inlineStr">
        <is>
          <t>イベント参加 0/8</t>
        </is>
      </c>
      <c r="R304" s="14" t="n">
        <v>8</v>
      </c>
      <c r="S304" s="10" t="n"/>
      <c r="T304" s="10" t="inlineStr">
        <is>
          <t>■ このセミナーについて 「AIを使ってみたい。でもクライアント情報を入れていいのか分からない」 税理士・社会保険労務士・行政書士・中小企業診断士。 士業の業務は生成AIとの相性が極めて良い領域ですが、多くの先生がこの一点で止まっています。 本セミナーでは、守秘義務を守りながらAIを実務に組み込む方法を、2時間で体系的にお伝えします。 中小企業診断士・大分県よろず支援拠点コーディネーターの堀寿弘が、自身の事務所で2023年から実務活用し</t>
        </is>
      </c>
      <c r="U304" s="15" t="inlineStr">
        <is>
          <t>https://www.kokuchpro.com/event/e662b5afb6fa28ab070681b45d8cca2f/</t>
        </is>
      </c>
      <c r="V304" s="10" t="n"/>
      <c r="W304" s="10" t="inlineStr">
        <is>
          <t>本文一致</t>
        </is>
      </c>
      <c r="X304" s="10" t="n"/>
    </row>
    <row r="305">
      <c r="A305" s="10" t="n">
        <v>304</v>
      </c>
      <c r="B305" s="11" t="n">
        <v>46256</v>
      </c>
      <c r="C305" s="11" t="n">
        <v>46256</v>
      </c>
      <c r="D305" s="10">
        <f>MONTH(B305)&amp;"月"</f>
        <v/>
      </c>
      <c r="E305" s="12" t="n">
        <v>1</v>
      </c>
      <c r="F305" s="10" t="n"/>
      <c r="G305" s="10" t="inlineStr">
        <is>
          <t>SHIFT AI 創立3周年記念イベント「AIエージェントカンファレンス」を2026年8月22日（土）に開催決定！</t>
        </is>
      </c>
      <c r="H305" s="10" t="inlineStr">
        <is>
          <t>株式会社SHIFT AI</t>
        </is>
      </c>
      <c r="I305" s="10" t="n"/>
      <c r="J305" s="10" t="inlineStr">
        <is>
          <t>PR TIMES</t>
        </is>
      </c>
      <c r="K305" s="10" t="inlineStr">
        <is>
          <t>offline</t>
        </is>
      </c>
      <c r="L305" s="10" t="inlineStr">
        <is>
          <t>東京都 高田馬場駅 周辺（※詳細な住所は申込者へ共有いたします）</t>
        </is>
      </c>
      <c r="M305" s="10" t="inlineStr">
        <is>
          <t>技術・AI全般</t>
        </is>
      </c>
      <c r="N305" s="10" t="inlineStr">
        <is>
          <t>AIエージェント</t>
        </is>
      </c>
      <c r="O305" s="12" t="inlineStr">
        <is>
          <t>○</t>
        </is>
      </c>
      <c r="P305" s="13" t="n"/>
      <c r="Q305" s="12" t="inlineStr">
        <is>
          <t>不明</t>
        </is>
      </c>
      <c r="R305" s="14" t="n"/>
      <c r="S305" s="10" t="n"/>
      <c r="T305" s="10" t="inlineStr">
        <is>
          <t>「日本をAI先進国に」をミッションに掲げ、利用者数No.1※の生成AI学習コミュニティ「SHIFT AI」を運営する株式会社SHIFT AI（本社：東京都渋谷区、代表取締役：木内翔大、以下：当社）は、創立3周年記念イベント「AIエージェントカンファレンス」を2026年8月22日（土）に開催することをお知らせいたします。 最先端知見の獲得と熱量ある交流を生む超大型リアルイベント 現在、生成AIの活用は「プロンプトによる指示や対話」から、自</t>
        </is>
      </c>
      <c r="U305" s="15" t="inlineStr">
        <is>
          <t>https://prtimes.jp/main/html/rd/p/000000278.000116644.html</t>
        </is>
      </c>
      <c r="V305" s="10" t="n"/>
      <c r="W305" s="10" t="inlineStr">
        <is>
          <t>タイトル一致</t>
        </is>
      </c>
      <c r="X305" s="10" t="n"/>
    </row>
    <row r="306">
      <c r="A306" s="10" t="n">
        <v>305</v>
      </c>
      <c r="B306" s="11" t="n">
        <v>46256</v>
      </c>
      <c r="C306" s="11" t="n">
        <v>46256</v>
      </c>
      <c r="D306" s="10">
        <f>MONTH(B306)&amp;"月"</f>
        <v/>
      </c>
      <c r="E306" s="12" t="n">
        <v>1</v>
      </c>
      <c r="F306" s="10" t="n"/>
      <c r="G306" s="10" t="inlineStr">
        <is>
          <t>【8/22(土)開催】SHIFT AI 3周年記念「AIエージェントカンファレンス」〜最先端の知見を学び、経営者と繋がるビジネス交流会〜</t>
        </is>
      </c>
      <c r="H306" s="10" t="inlineStr">
        <is>
          <t>SHIFT AI</t>
        </is>
      </c>
      <c r="I306" s="10" t="n"/>
      <c r="J306" s="10" t="inlineStr">
        <is>
          <t>Peatix</t>
        </is>
      </c>
      <c r="K306" s="10" t="inlineStr">
        <is>
          <t>会場</t>
        </is>
      </c>
      <c r="L306" s="10" t="inlineStr">
        <is>
          <t>高田馬場駅近く(東京)</t>
        </is>
      </c>
      <c r="M306" s="10" t="inlineStr">
        <is>
          <t>生産性向上・業務効率化</t>
        </is>
      </c>
      <c r="N306" s="10" t="inlineStr">
        <is>
          <t>AIエージェント</t>
        </is>
      </c>
      <c r="O306" s="12" t="inlineStr">
        <is>
          <t>◎</t>
        </is>
      </c>
      <c r="P306" s="13" t="n"/>
      <c r="Q306" s="12" t="inlineStr">
        <is>
          <t>不明</t>
        </is>
      </c>
      <c r="R306" s="14" t="n"/>
      <c r="S306" s="10" t="n"/>
      <c r="T306" s="10" t="inlineStr">
        <is>
          <t>2026年8月22日(土)13:00-20:00 参加費6,000円。10名以上のAI講師、最新AIエージェント体験、経営者交流会</t>
        </is>
      </c>
      <c r="U306" s="15" t="inlineStr">
        <is>
          <t>https://peatix.com/event/5081712</t>
        </is>
      </c>
      <c r="V306" s="10" t="n"/>
      <c r="W306" s="10" t="inlineStr">
        <is>
          <t>タイトル一致</t>
        </is>
      </c>
      <c r="X306" s="10" t="n"/>
    </row>
    <row r="307">
      <c r="A307" s="10" t="n">
        <v>306</v>
      </c>
      <c r="B307" s="11" t="n">
        <v>46256</v>
      </c>
      <c r="C307" s="11" t="n">
        <v>46256</v>
      </c>
      <c r="D307" s="10">
        <f>MONTH(B307)&amp;"月"</f>
        <v/>
      </c>
      <c r="E307" s="12" t="n">
        <v>1</v>
      </c>
      <c r="F307" s="10" t="n"/>
      <c r="G307" s="10" t="inlineStr">
        <is>
          <t>【刈谷開催・第4回】生成AI（Codex）で工場向けIoT機器を作るハンズオン</t>
        </is>
      </c>
      <c r="H307" s="10" t="inlineStr">
        <is>
          <t>【刈谷開催】IoTクレーンゲームで体感する工場DX</t>
        </is>
      </c>
      <c r="I307" s="10" t="n"/>
      <c r="J307" s="10" t="inlineStr">
        <is>
          <t>connpass</t>
        </is>
      </c>
      <c r="K307" s="10" t="inlineStr">
        <is>
          <t>会場</t>
        </is>
      </c>
      <c r="L307" s="10" t="inlineStr">
        <is>
          <t>〒448-0027 愛知県刈谷市相生町２丁目20−番地 パークホテル刈谷 QS２階</t>
        </is>
      </c>
      <c r="M307" s="10" t="inlineStr">
        <is>
          <t>生産管理・製造・SCM</t>
        </is>
      </c>
      <c r="N307" s="10" t="inlineStr">
        <is>
          <t>AIエージェント</t>
        </is>
      </c>
      <c r="O307" s="12" t="inlineStr">
        <is>
          <t>◎</t>
        </is>
      </c>
      <c r="P307" s="13" t="n">
        <v>5</v>
      </c>
      <c r="Q307" s="12" t="inlineStr">
        <is>
          <t>参加者数</t>
        </is>
      </c>
      <c r="R307" s="14" t="n">
        <v>5</v>
      </c>
      <c r="S307" s="10" t="n"/>
      <c r="T307" s="10" t="n"/>
      <c r="U307" s="15" t="inlineStr">
        <is>
          <t>https://crane-game.connpass.com/event/403350/</t>
        </is>
      </c>
      <c r="V307" s="10" t="n"/>
      <c r="W307" s="10" t="inlineStr">
        <is>
          <t>タイトル一致</t>
        </is>
      </c>
      <c r="X307" s="10" t="n"/>
    </row>
    <row r="308">
      <c r="A308" s="10" t="n">
        <v>307</v>
      </c>
      <c r="B308" s="11" t="n">
        <v>46256</v>
      </c>
      <c r="C308" s="11" t="n">
        <v>46256</v>
      </c>
      <c r="D308" s="10">
        <f>MONTH(B308)&amp;"月"</f>
        <v/>
      </c>
      <c r="E308" s="12" t="n">
        <v>1</v>
      </c>
      <c r="F308" s="10" t="n"/>
      <c r="G308" s="10" t="inlineStr">
        <is>
          <t>【士業限定】AIに"作らせる"3時間 — Claude Code導入実践セミナー</t>
        </is>
      </c>
      <c r="H308" s="10" t="inlineStr">
        <is>
          <t>合同会社ウルノワ</t>
        </is>
      </c>
      <c r="I308" s="10" t="n"/>
      <c r="J308" s="10" t="inlineStr">
        <is>
          <t>こくちーずプロ</t>
        </is>
      </c>
      <c r="K308" s="10" t="inlineStr">
        <is>
          <t>オフライン（会場）</t>
        </is>
      </c>
      <c r="L308" s="10" t="inlineStr">
        <is>
          <t>ふれあい会議室秋葉原No.21 東京都東京都千代田区神田和泉町1-3-3 サフランビル1号館</t>
        </is>
      </c>
      <c r="M308" s="10" t="inlineStr">
        <is>
          <t>生産性向上・業務効率化</t>
        </is>
      </c>
      <c r="N308" s="10" t="inlineStr">
        <is>
          <t>AIエージェント</t>
        </is>
      </c>
      <c r="O308" s="12" t="inlineStr">
        <is>
          <t>◎</t>
        </is>
      </c>
      <c r="P308" s="13" t="n">
        <v>0</v>
      </c>
      <c r="Q308" s="12" t="inlineStr">
        <is>
          <t>イベント参加 0/20</t>
        </is>
      </c>
      <c r="R308" s="14" t="n">
        <v>20</v>
      </c>
      <c r="S308" s="10" t="n"/>
      <c r="T308" s="10" t="inlineStr">
        <is>
          <t>■ 日時 2026年8月22日(土)13:00〜16:00(開場12:30) ■ 会場 ふれあい貸し会議室 秋葉原No.21 東京都千代田区神田和泉町1-3-3 サフランビル1号室 ■ 参加費 無料 ■ 定員 20名(先着順) ■ 対象 司法書士・税理士・弁護士・行政書士・社会保険労務士 等の士業の方 ※事務所スタッフの方のご参加も歓迎します ■ 持ち物 ノートPC(お持ちでない方は見学参加も可能です) ■ 締切 2026年8月21日(</t>
        </is>
      </c>
      <c r="U308" s="15" t="inlineStr">
        <is>
          <t>https://www.kokuchpro.com/event/09981ae4d04fdac727e80a4981f5f962/</t>
        </is>
      </c>
      <c r="V308" s="10" t="n"/>
      <c r="W308" s="10" t="inlineStr">
        <is>
          <t>タイトル一致</t>
        </is>
      </c>
      <c r="X308" s="10" t="n"/>
    </row>
    <row r="309">
      <c r="A309" s="10" t="n">
        <v>308</v>
      </c>
      <c r="B309" s="11" t="n">
        <v>46256</v>
      </c>
      <c r="C309" s="11" t="n">
        <v>46291</v>
      </c>
      <c r="D309" s="10">
        <f>MONTH(B309)&amp;"月"</f>
        <v/>
      </c>
      <c r="E309" s="12" t="n">
        <v>4</v>
      </c>
      <c r="F309" s="10" t="inlineStr">
        <is>
          <t>08/22、08/29、09/12、09/26</t>
        </is>
      </c>
      <c r="G309" s="10" t="inlineStr">
        <is>
          <t>ゼロからはじめるClaude Code入門講座（対面・無料）</t>
        </is>
      </c>
      <c r="H309" s="10" t="inlineStr">
        <is>
          <t>techgym</t>
        </is>
      </c>
      <c r="I309" s="10" t="n"/>
      <c r="J309" s="10" t="inlineStr">
        <is>
          <t>Doorkeeper</t>
        </is>
      </c>
      <c r="K309" s="10" t="inlineStr">
        <is>
          <t>会場</t>
        </is>
      </c>
      <c r="L309" s="10" t="inlineStr">
        <is>
          <t>テックジム東京本校 東京都千代田区平河町2-7-2 VORT永田町6F</t>
        </is>
      </c>
      <c r="M309" s="10" t="inlineStr">
        <is>
          <t>開発生産性</t>
        </is>
      </c>
      <c r="N309" s="10" t="inlineStr">
        <is>
          <t>AIエージェント</t>
        </is>
      </c>
      <c r="O309" s="12" t="inlineStr">
        <is>
          <t>○</t>
        </is>
      </c>
      <c r="P309" s="13" t="n">
        <v>0</v>
      </c>
      <c r="Q309" s="12" t="inlineStr">
        <is>
          <t>参加者数</t>
        </is>
      </c>
      <c r="R309" s="14" t="n">
        <v>20</v>
      </c>
      <c r="S309" s="10" t="inlineStr">
        <is>
          <t>全4回の合計</t>
        </is>
      </c>
      <c r="T309" s="10" t="inlineStr">
        <is>
          <t xml:space="preserve"> ゼロからはじめるClaude Code講座（対面・無料） 【会場開催となります】 オンラインでは出来ない細やかなサポートが、リアル開催ならでは！ 初学者から年齢、性別に限らず興味がある方に受講頂いている当講座。 どなたでもお気軽にご参加ください。講座後はテックジム会員様と混ざって頂き自習室を自由にご利用ください。 入退室は自由となっております。※ノートPC持参でお願いします。 🎯 あなたの作りたいものを作る 本講座では 「その日のうち</t>
        </is>
      </c>
      <c r="U309" s="15" t="inlineStr">
        <is>
          <t>https://techgym.doorkeeper.jp/events/198718</t>
        </is>
      </c>
      <c r="V309" s="10" t="n"/>
      <c r="W309" s="10" t="inlineStr">
        <is>
          <t>タイトル一致</t>
        </is>
      </c>
      <c r="X309" s="10" t="n"/>
    </row>
    <row r="310">
      <c r="A310" s="10" t="n">
        <v>309</v>
      </c>
      <c r="B310" s="11" t="n">
        <v>46257</v>
      </c>
      <c r="C310" s="11" t="n">
        <v>46257</v>
      </c>
      <c r="D310" s="10">
        <f>MONTH(B310)&amp;"月"</f>
        <v/>
      </c>
      <c r="E310" s="12" t="n">
        <v>1</v>
      </c>
      <c r="F310" s="10" t="n"/>
      <c r="G310" s="10" t="inlineStr">
        <is>
          <t>【初心者大歓迎!】AI活用リアル作業会 in 仙台|自分専用の「AI社員」を作ってみよう!</t>
        </is>
      </c>
      <c r="H310" s="10" t="inlineStr">
        <is>
          <t>AI活用コミュニティ「徒然」in 仙台</t>
        </is>
      </c>
      <c r="I310" s="10" t="n"/>
      <c r="J310" s="10" t="inlineStr">
        <is>
          <t>こくちーずプロ</t>
        </is>
      </c>
      <c r="K310" s="10" t="inlineStr">
        <is>
          <t>オフライン（会場）</t>
        </is>
      </c>
      <c r="L310" s="10" t="inlineStr">
        <is>
          <t>ミリヨン 宮城県仙台市青葉区花京院1-1-30 ニューライフ花京院2階</t>
        </is>
      </c>
      <c r="M310" s="10" t="inlineStr">
        <is>
          <t>営業・マーケ・CS</t>
        </is>
      </c>
      <c r="N310" s="10" t="inlineStr">
        <is>
          <t>AIエージェント</t>
        </is>
      </c>
      <c r="O310" s="12" t="inlineStr">
        <is>
          <t>○</t>
        </is>
      </c>
      <c r="P310" s="13" t="n"/>
      <c r="Q310" s="12" t="inlineStr">
        <is>
          <t>不明</t>
        </is>
      </c>
      <c r="R310" s="14" t="n"/>
      <c r="S310" s="10" t="n"/>
      <c r="T310" s="10" t="inlineStr">
        <is>
          <t>「AI社員ってよく話は聞くけど、具体的にどう作ったらいいのかわからない…」 「いまだにChatGPTやClaudeに毎回指示を出している…」 その悩み、リアル作業会で一気に解決してみませんか？ 初心者でも大丈夫！ みんなで楽しく学んで前に進みましょう。 ■イベント基本情報 開催日時：2026年8月23日（日）13:00～18:00 会場：ミリヨン（宮城県仙台市青葉区花京院1-1-30 ニューライフ花京院2階） 主催：AI活用コミュニティ</t>
        </is>
      </c>
      <c r="U310" s="15" t="inlineStr">
        <is>
          <t>https://www.kokuchpro.com/event/ac9826aec0c6506f5668d63ac912b860/</t>
        </is>
      </c>
      <c r="V310" s="10" t="n"/>
      <c r="W310" s="10" t="inlineStr">
        <is>
          <t>本文一致</t>
        </is>
      </c>
      <c r="X310" s="10" t="n"/>
    </row>
    <row r="311">
      <c r="A311" s="10" t="n">
        <v>310</v>
      </c>
      <c r="B311" s="11" t="n">
        <v>46258</v>
      </c>
      <c r="C311" s="11" t="n">
        <v>46258</v>
      </c>
      <c r="D311" s="10">
        <f>MONTH(B311)&amp;"月"</f>
        <v/>
      </c>
      <c r="E311" s="12" t="n">
        <v>1</v>
      </c>
      <c r="F311" s="10" t="n"/>
      <c r="G311" s="10" t="inlineStr">
        <is>
          <t>LLM・AIエージェントシステムベストプラクティス - FL#131</t>
        </is>
      </c>
      <c r="H311" s="10" t="inlineStr">
        <is>
          <t>Forkwell Community</t>
        </is>
      </c>
      <c r="I311" s="10" t="n"/>
      <c r="J311" s="10" t="inlineStr">
        <is>
          <t>connpass</t>
        </is>
      </c>
      <c r="K311" s="10" t="inlineStr">
        <is>
          <t>オンライン</t>
        </is>
      </c>
      <c r="L311" s="10" t="inlineStr">
        <is>
          <t>オンライン</t>
        </is>
      </c>
      <c r="M311" s="10" t="inlineStr">
        <is>
          <t>技術・AI全般</t>
        </is>
      </c>
      <c r="N311" s="10" t="inlineStr">
        <is>
          <t>AIエージェント</t>
        </is>
      </c>
      <c r="O311" s="12" t="inlineStr">
        <is>
          <t>○</t>
        </is>
      </c>
      <c r="P311" s="13" t="n">
        <v>269</v>
      </c>
      <c r="Q311" s="12" t="inlineStr">
        <is>
          <t>参加者数</t>
        </is>
      </c>
      <c r="R311" s="14" t="n"/>
      <c r="S311" s="10" t="n"/>
      <c r="T311" s="10" t="n"/>
      <c r="U311" s="15" t="inlineStr">
        <is>
          <t>https://forkwell.connpass.com/event/402142/</t>
        </is>
      </c>
      <c r="V311" s="10" t="n"/>
      <c r="W311" s="10" t="inlineStr">
        <is>
          <t>タイトル一致</t>
        </is>
      </c>
      <c r="X311" s="10" t="n"/>
    </row>
    <row r="312">
      <c r="A312" s="10" t="n">
        <v>311</v>
      </c>
      <c r="B312" s="11" t="n">
        <v>46258</v>
      </c>
      <c r="C312" s="11" t="n">
        <v>46258</v>
      </c>
      <c r="D312" s="10">
        <f>MONTH(B312)&amp;"月"</f>
        <v/>
      </c>
      <c r="E312" s="12" t="n">
        <v>1</v>
      </c>
      <c r="F312" s="10" t="n"/>
      <c r="G312" s="10" t="inlineStr">
        <is>
          <t>生成AIで増えるコード、レビューはどう変わるべきか 〜開発スピードを落とさず、品質・セキュリティ・コストを最適化する方法〜</t>
        </is>
      </c>
      <c r="H312" s="10" t="inlineStr">
        <is>
          <t>SonarSource Japan株式会社</t>
        </is>
      </c>
      <c r="I312" s="10" t="inlineStr">
        <is>
          <t>マジセミ株式会社</t>
        </is>
      </c>
      <c r="J312" s="10" t="inlineStr">
        <is>
          <t>Doorkeeper</t>
        </is>
      </c>
      <c r="K312" s="10" t="inlineStr">
        <is>
          <t>不明</t>
        </is>
      </c>
      <c r="L312" s="10" t="n"/>
      <c r="M312" s="10" t="inlineStr">
        <is>
          <t>開発生産性</t>
        </is>
      </c>
      <c r="N312" s="10" t="inlineStr">
        <is>
          <t>AIエージェント</t>
        </is>
      </c>
      <c r="O312" s="12" t="inlineStr">
        <is>
          <t>△</t>
        </is>
      </c>
      <c r="P312" s="13" t="n">
        <v>0</v>
      </c>
      <c r="Q312" s="12" t="inlineStr">
        <is>
          <t>参加者数</t>
        </is>
      </c>
      <c r="R312" s="14" t="n"/>
      <c r="S312" s="10" t="n"/>
      <c r="T312"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生成AIでコード量が急増し、人手によるレビューが限界に達している ChatGPTやGitHub Copilotをはじめとする生成AIの活用により、コーディングのスピードは飛躍的に向上し、開発現場では日々</t>
        </is>
      </c>
      <c r="U312" s="15" t="inlineStr">
        <is>
          <t>https://majisemi-operation.doorkeeper.jp/events/198490</t>
        </is>
      </c>
      <c r="V312" s="10" t="n"/>
      <c r="W312" s="10" t="inlineStr">
        <is>
          <t>本文一致</t>
        </is>
      </c>
      <c r="X312" s="10" t="n"/>
    </row>
    <row r="313">
      <c r="A313" s="10" t="n">
        <v>312</v>
      </c>
      <c r="B313" s="11" t="n">
        <v>46258</v>
      </c>
      <c r="C313" s="11" t="n">
        <v>46258</v>
      </c>
      <c r="D313" s="10">
        <f>MONTH(B313)&amp;"月"</f>
        <v/>
      </c>
      <c r="E313" s="12" t="n">
        <v>1</v>
      </c>
      <c r="F313" s="10" t="n"/>
      <c r="G313" s="10" t="inlineStr">
        <is>
          <t>自律型コーディングエージェントを 用いた開発プロセスの最適化</t>
        </is>
      </c>
      <c r="H313" s="10" t="inlineStr">
        <is>
          <t>Scalar</t>
        </is>
      </c>
      <c r="I313" s="10" t="n"/>
      <c r="J313" s="10" t="inlineStr">
        <is>
          <t>connpass</t>
        </is>
      </c>
      <c r="K313" s="10" t="inlineStr">
        <is>
          <t>オンライン</t>
        </is>
      </c>
      <c r="L313" s="10" t="inlineStr">
        <is>
          <t>オンライン</t>
        </is>
      </c>
      <c r="M313" s="10" t="inlineStr">
        <is>
          <t>開発生産性</t>
        </is>
      </c>
      <c r="N313" s="10" t="inlineStr">
        <is>
          <t>AIエージェント</t>
        </is>
      </c>
      <c r="O313" s="12" t="inlineStr">
        <is>
          <t>○</t>
        </is>
      </c>
      <c r="P313" s="13" t="n">
        <v>43</v>
      </c>
      <c r="Q313" s="12" t="inlineStr">
        <is>
          <t>参加者数</t>
        </is>
      </c>
      <c r="R313" s="14" t="n">
        <v>100</v>
      </c>
      <c r="S313" s="10" t="n"/>
      <c r="T313" s="10" t="n"/>
      <c r="U313" s="15" t="inlineStr">
        <is>
          <t>https://scalar.connpass.com/event/404000/</t>
        </is>
      </c>
      <c r="V313" s="10" t="n"/>
      <c r="W313" s="10" t="inlineStr">
        <is>
          <t>タイトル一致</t>
        </is>
      </c>
      <c r="X313" s="10" t="n"/>
    </row>
    <row r="314">
      <c r="A314" s="10" t="n">
        <v>313</v>
      </c>
      <c r="B314" s="11" t="n">
        <v>46259</v>
      </c>
      <c r="C314" s="11" t="n">
        <v>46259</v>
      </c>
      <c r="D314" s="10">
        <f>MONTH(B314)&amp;"月"</f>
        <v/>
      </c>
      <c r="E314" s="12" t="n">
        <v>1</v>
      </c>
      <c r="F314" s="10" t="n"/>
      <c r="G314" s="10" t="inlineStr">
        <is>
          <t>AI Agent Journey 2026 第1回｜AIエージェントを安全に公開する第一歩</t>
        </is>
      </c>
      <c r="H314" s="10" t="inlineStr">
        <is>
          <t>データ分析・AI x データサイエンスコミュニティ</t>
        </is>
      </c>
      <c r="I314" s="10" t="n"/>
      <c r="J314" s="10" t="inlineStr">
        <is>
          <t>connpass</t>
        </is>
      </c>
      <c r="K314" s="10" t="inlineStr">
        <is>
          <t>会場</t>
        </is>
      </c>
      <c r="L314" s="10" t="inlineStr">
        <is>
          <t>〒541-0041 大阪府大阪市中央区北浜１丁目８−１６</t>
        </is>
      </c>
      <c r="M314" s="10" t="inlineStr">
        <is>
          <t>技術・AI全般</t>
        </is>
      </c>
      <c r="N314" s="10" t="inlineStr">
        <is>
          <t>AIエージェント</t>
        </is>
      </c>
      <c r="O314" s="12" t="inlineStr">
        <is>
          <t>○</t>
        </is>
      </c>
      <c r="P314" s="13" t="n">
        <v>43</v>
      </c>
      <c r="Q314" s="12" t="inlineStr">
        <is>
          <t>参加者数</t>
        </is>
      </c>
      <c r="R314" s="14" t="n">
        <v>50</v>
      </c>
      <c r="S314" s="10" t="n"/>
      <c r="T314" s="10" t="n"/>
      <c r="U314" s="15" t="inlineStr">
        <is>
          <t>https://datascience-mokumoku-kyobashi.connpass.com/event/401167/</t>
        </is>
      </c>
      <c r="V314" s="10" t="n"/>
      <c r="W314" s="10" t="inlineStr">
        <is>
          <t>タイトル一致</t>
        </is>
      </c>
      <c r="X314" s="10" t="n"/>
    </row>
    <row r="315">
      <c r="A315" s="10" t="n">
        <v>314</v>
      </c>
      <c r="B315" s="11" t="n">
        <v>46259</v>
      </c>
      <c r="C315" s="11" t="n">
        <v>46259</v>
      </c>
      <c r="D315" s="10">
        <f>MONTH(B315)&amp;"月"</f>
        <v/>
      </c>
      <c r="E315" s="12" t="n">
        <v>1</v>
      </c>
      <c r="F315" s="10" t="n"/>
      <c r="G315" s="10" t="inlineStr">
        <is>
          <t>AIエージェントでゲームを作ってみる会</t>
        </is>
      </c>
      <c r="H315" s="10" t="inlineStr">
        <is>
          <t>あちこち</t>
        </is>
      </c>
      <c r="I315" s="10" t="n"/>
      <c r="J315" s="10" t="inlineStr">
        <is>
          <t>connpass</t>
        </is>
      </c>
      <c r="K315" s="10" t="inlineStr">
        <is>
          <t>会場</t>
        </is>
      </c>
      <c r="L315" s="10" t="inlineStr">
        <is>
          <t>東京都千代田区神田佐久間町3-37-1 山茂登ビル 3階 FFFFF Cafe</t>
        </is>
      </c>
      <c r="M315" s="10" t="inlineStr">
        <is>
          <t>技術・AI全般</t>
        </is>
      </c>
      <c r="N315" s="10" t="inlineStr">
        <is>
          <t>AIエージェント</t>
        </is>
      </c>
      <c r="O315" s="12" t="inlineStr">
        <is>
          <t>○</t>
        </is>
      </c>
      <c r="P315" s="13" t="n">
        <v>9</v>
      </c>
      <c r="Q315" s="12" t="inlineStr">
        <is>
          <t>参加者数</t>
        </is>
      </c>
      <c r="R315" s="14" t="n">
        <v>10</v>
      </c>
      <c r="S315" s="10" t="n"/>
      <c r="T315" s="10" t="n"/>
      <c r="U315" s="15" t="inlineStr">
        <is>
          <t>https://achi-kochi.connpass.com/event/404384/</t>
        </is>
      </c>
      <c r="V315" s="10" t="n"/>
      <c r="W315" s="10" t="inlineStr">
        <is>
          <t>タイトル一致</t>
        </is>
      </c>
      <c r="X315" s="10" t="n"/>
    </row>
    <row r="316">
      <c r="A316" s="10" t="n">
        <v>315</v>
      </c>
      <c r="B316" s="11" t="n">
        <v>46259</v>
      </c>
      <c r="C316" s="11" t="n">
        <v>46259</v>
      </c>
      <c r="D316" s="10">
        <f>MONTH(B316)&amp;"月"</f>
        <v/>
      </c>
      <c r="E316" s="12" t="n">
        <v>1</v>
      </c>
      <c r="F316" s="10" t="n"/>
      <c r="G316" s="10" t="inlineStr">
        <is>
          <t>AI活用は企業データで決まる ～AIが業務を実行する時代を実現するデータ連携戦略～</t>
        </is>
      </c>
      <c r="H316" s="10" t="inlineStr">
        <is>
          <t>株式会社テクトラジャパン CData Software Japan 合同会社</t>
        </is>
      </c>
      <c r="I316" s="10" t="inlineStr">
        <is>
          <t>株式会社テクトラジャパン CData Software Japan 合同会社</t>
        </is>
      </c>
      <c r="J316" s="10" t="inlineStr">
        <is>
          <t>Doorkeeper</t>
        </is>
      </c>
      <c r="K316" s="10" t="inlineStr">
        <is>
          <t>オンライン</t>
        </is>
      </c>
      <c r="L316" s="10" t="inlineStr">
        <is>
          <t>Webセミナー（URLは主催企業からメールでお知らせします） オンライン</t>
        </is>
      </c>
      <c r="M316" s="10" t="inlineStr">
        <is>
          <t>生産性向上・業務効率化</t>
        </is>
      </c>
      <c r="N316" s="10" t="inlineStr">
        <is>
          <t>AIエージェント</t>
        </is>
      </c>
      <c r="O316" s="12" t="inlineStr">
        <is>
          <t>○</t>
        </is>
      </c>
      <c r="P316" s="13" t="n">
        <v>4</v>
      </c>
      <c r="Q316" s="12" t="inlineStr">
        <is>
          <t>参加者数</t>
        </is>
      </c>
      <c r="R316" s="14" t="n">
        <v>5</v>
      </c>
      <c r="S316" s="10" t="n"/>
      <c r="T316" s="10" t="inlineStr">
        <is>
          <t xml:space="preserve"> 本セミナーはWebセミナーです ツールはMicrosoft Teamsを使います。URLは直前にメールにてご連絡いたします。 なお、「Tectura.com」「osslabo.com」「majisemi.com」からのメールが迷惑メールとならないよう、メールの設定をご確認下さい。 AI活用は企業データで決まる― AIが業務を実行する時代を実現するデータ連携戦略 ― 「AIを導入したのに、期待した成果が出ない」 ——その原因の多くは、A</t>
        </is>
      </c>
      <c r="U316" s="15" t="inlineStr">
        <is>
          <t>https://majisemi-data.doorkeeper.jp/events/198576</t>
        </is>
      </c>
      <c r="V316" s="10" t="n"/>
      <c r="W316" s="10" t="inlineStr">
        <is>
          <t>本文一致</t>
        </is>
      </c>
      <c r="X316" s="10" t="n"/>
    </row>
    <row r="317">
      <c r="A317" s="10" t="n">
        <v>316</v>
      </c>
      <c r="B317" s="11" t="n">
        <v>46259</v>
      </c>
      <c r="C317" s="11" t="n">
        <v>46259</v>
      </c>
      <c r="D317" s="10">
        <f>MONTH(B317)&amp;"月"</f>
        <v/>
      </c>
      <c r="E317" s="12" t="n">
        <v>1</v>
      </c>
      <c r="F317" s="10" t="n"/>
      <c r="G317" s="10" t="inlineStr">
        <is>
          <t>Agentic Data Cloudの要点と活用のポイント紹介</t>
        </is>
      </c>
      <c r="H317" s="10" t="inlineStr">
        <is>
          <t>NRIネットコム株式会社</t>
        </is>
      </c>
      <c r="I317" s="10" t="n"/>
      <c r="J317" s="10" t="inlineStr">
        <is>
          <t>connpass</t>
        </is>
      </c>
      <c r="K317" s="10" t="inlineStr">
        <is>
          <t>会場</t>
        </is>
      </c>
      <c r="L317" s="10" t="inlineStr">
        <is>
          <t>(場所未定)</t>
        </is>
      </c>
      <c r="M317" s="10" t="inlineStr">
        <is>
          <t>技術・AI全般</t>
        </is>
      </c>
      <c r="N317" s="10" t="inlineStr">
        <is>
          <t>AIエージェント</t>
        </is>
      </c>
      <c r="O317" s="12" t="inlineStr">
        <is>
          <t>○</t>
        </is>
      </c>
      <c r="P317" s="13" t="n">
        <v>3</v>
      </c>
      <c r="Q317" s="12" t="inlineStr">
        <is>
          <t>参加者数</t>
        </is>
      </c>
      <c r="R317" s="14" t="n"/>
      <c r="S317" s="10" t="n"/>
      <c r="T317" s="10" t="n"/>
      <c r="U317" s="15" t="inlineStr">
        <is>
          <t>https://nrinetcom.connpass.com/event/403772/</t>
        </is>
      </c>
      <c r="V317" s="10" t="n"/>
      <c r="W317" s="10" t="inlineStr">
        <is>
          <t>タイトル一致</t>
        </is>
      </c>
      <c r="X317" s="10" t="n"/>
    </row>
    <row r="318">
      <c r="A318" s="10" t="n">
        <v>317</v>
      </c>
      <c r="B318" s="11" t="n">
        <v>46259</v>
      </c>
      <c r="C318" s="11" t="n">
        <v>46294</v>
      </c>
      <c r="D318" s="10">
        <f>MONTH(B318)&amp;"月"</f>
        <v/>
      </c>
      <c r="E318" s="12" t="n">
        <v>2</v>
      </c>
      <c r="F318" s="10" t="inlineStr">
        <is>
          <t>08/25、09/29</t>
        </is>
      </c>
      <c r="G318" s="10" t="inlineStr">
        <is>
          <t>JAWS-UG AI/ML #42：AIエージェントとAI-DLCで加速する！AI/ML実践LT大会</t>
        </is>
      </c>
      <c r="H318" s="10" t="inlineStr">
        <is>
          <t>JAWS-UG AI/ML 支部</t>
        </is>
      </c>
      <c r="I318" s="10" t="n"/>
      <c r="J318" s="10" t="inlineStr">
        <is>
          <t>connpass</t>
        </is>
      </c>
      <c r="K318" s="10" t="inlineStr">
        <is>
          <t>オンライン</t>
        </is>
      </c>
      <c r="L318" s="10" t="inlineStr">
        <is>
          <t>オンライン</t>
        </is>
      </c>
      <c r="M318" s="10" t="inlineStr">
        <is>
          <t>技術・AI全般</t>
        </is>
      </c>
      <c r="N318" s="10" t="inlineStr">
        <is>
          <t>AIエージェント</t>
        </is>
      </c>
      <c r="O318" s="12" t="inlineStr">
        <is>
          <t>○</t>
        </is>
      </c>
      <c r="P318" s="13" t="n">
        <v>196</v>
      </c>
      <c r="Q318" s="12" t="inlineStr">
        <is>
          <t>参加者数</t>
        </is>
      </c>
      <c r="R318" s="14" t="n"/>
      <c r="S318" s="10" t="inlineStr">
        <is>
          <t>全2回の合計</t>
        </is>
      </c>
      <c r="T318" s="10" t="n"/>
      <c r="U318" s="15" t="inlineStr">
        <is>
          <t>https://jawsug-ai.connpass.com/event/403490/</t>
        </is>
      </c>
      <c r="V318" s="10" t="n"/>
      <c r="W318" s="10" t="inlineStr">
        <is>
          <t>タイトル一致</t>
        </is>
      </c>
      <c r="X318" s="10" t="n"/>
    </row>
    <row r="319">
      <c r="A319" s="10" t="n">
        <v>318</v>
      </c>
      <c r="B319" s="11" t="n">
        <v>46259</v>
      </c>
      <c r="C319" s="11" t="n">
        <v>46262</v>
      </c>
      <c r="D319" s="10">
        <f>MONTH(B319)&amp;"月"</f>
        <v/>
      </c>
      <c r="E319" s="12" t="n">
        <v>2</v>
      </c>
      <c r="F319" s="10" t="inlineStr">
        <is>
          <t>08/25、08/28</t>
        </is>
      </c>
      <c r="G319" s="10" t="inlineStr">
        <is>
          <t>OMNILINK-AI オンライン説明会|AI × Web3の最新テクノロジーを知る</t>
        </is>
      </c>
      <c r="H319" s="10" t="inlineStr">
        <is>
          <t>OMNILINK-AI オンライン説明会|AI × Web3の最新テクノロジーを知る事務局</t>
        </is>
      </c>
      <c r="I319" s="10" t="n"/>
      <c r="J319" s="10" t="inlineStr">
        <is>
          <t>こくちーずプロ</t>
        </is>
      </c>
      <c r="K319" s="10" t="inlineStr">
        <is>
          <t>オンライン</t>
        </is>
      </c>
      <c r="L319" s="10" t="inlineStr">
        <is>
          <t>オンライン 日本</t>
        </is>
      </c>
      <c r="M319" s="10" t="inlineStr">
        <is>
          <t>生産性向上・業務効率化</t>
        </is>
      </c>
      <c r="N319" s="10" t="inlineStr">
        <is>
          <t>AIエージェント</t>
        </is>
      </c>
      <c r="O319" s="12" t="inlineStr">
        <is>
          <t>○</t>
        </is>
      </c>
      <c r="P319" s="13" t="n">
        <v>3</v>
      </c>
      <c r="Q319" s="12" t="inlineStr">
        <is>
          <t>イベント参加 2/5</t>
        </is>
      </c>
      <c r="R319" s="14" t="n">
        <v>10</v>
      </c>
      <c r="S319" s="10" t="inlineStr">
        <is>
          <t>全2回の合計</t>
        </is>
      </c>
      <c r="T319" s="10" t="inlineStr">
        <is>
          <t>「OMNILINK-AIとは何なのか？」 「どのような技術や仕組みを使っているのか？」 「AIエージェントとWeb3は、これからどのように発展していくのか？」 本説明会では、OMNILINK-AIの概要や特徴について、担当者から直接ご説明します。 AIやWeb3に興味がある方、最新のテクノロジーについて知りたい方、これからのデジタル社会について学びたい方におすすめのオンライン説明会です。 主な内容 ・OMNILINK-AIの概要 ・AI</t>
        </is>
      </c>
      <c r="U319" s="15" t="inlineStr">
        <is>
          <t>https://www.kokuchpro.com/event/ff2c85d09ea852f304937fe6a2026891/</t>
        </is>
      </c>
      <c r="V319" s="10" t="n"/>
      <c r="W319" s="10" t="inlineStr">
        <is>
          <t>本文一致</t>
        </is>
      </c>
      <c r="X319" s="10" t="n"/>
    </row>
    <row r="320">
      <c r="A320" s="10" t="n">
        <v>319</v>
      </c>
      <c r="B320" s="11" t="n">
        <v>46259</v>
      </c>
      <c r="C320" s="11" t="n">
        <v>46259</v>
      </c>
      <c r="D320" s="10">
        <f>MONTH(B320)&amp;"月"</f>
        <v/>
      </c>
      <c r="E320" s="12" t="n">
        <v>1</v>
      </c>
      <c r="F320" s="10" t="n"/>
      <c r="G320" s="10" t="inlineStr">
        <is>
          <t>「AI効率化の、その先に待ち受けるもの」</t>
        </is>
      </c>
      <c r="H320" s="10" t="inlineStr">
        <is>
          <t>株式会社ミライエ 知求人事務局</t>
        </is>
      </c>
      <c r="I320" s="10" t="n"/>
      <c r="J320" s="10" t="inlineStr">
        <is>
          <t>こくちーずプロ</t>
        </is>
      </c>
      <c r="K320" s="10" t="inlineStr">
        <is>
          <t>オフライン（会場）</t>
        </is>
      </c>
      <c r="L320" s="10" t="inlineStr">
        <is>
          <t>安城商工会議所 第1・第2研修室 愛知県安城市桜町16-1 3階</t>
        </is>
      </c>
      <c r="M320" s="10" t="inlineStr">
        <is>
          <t>生産性向上・業務効率化</t>
        </is>
      </c>
      <c r="N320" s="10" t="inlineStr">
        <is>
          <t>AIエージェント</t>
        </is>
      </c>
      <c r="O320" s="12" t="inlineStr">
        <is>
          <t>○</t>
        </is>
      </c>
      <c r="P320" s="13" t="n"/>
      <c r="Q320" s="12" t="inlineStr">
        <is>
          <t>不明</t>
        </is>
      </c>
      <c r="R320" s="14" t="n"/>
      <c r="S320" s="10" t="n"/>
      <c r="T320" s="10" t="inlineStr">
        <is>
          <t>「AI効率化の、その先に待ち受けるもの」 有料セミナーとなりますが、今日から使える具体策×次の一手まで持ち帰れる！お土産付きです。 ・皆さま、こんな悩みはございませんか? 人が採れない。ベテランが辞めそう。値下げ要求ばかり。ChatGPTは継続できなかった。効率化セミナーやAIセミナーには行ったが、その”次”が知りたい方へ ・本セミナーでは、以下の内容を予定しています。 「判断軸」のないAI導入は、現場を混乱させ、結局もとのやり方に戻っ</t>
        </is>
      </c>
      <c r="U320" s="15" t="inlineStr">
        <is>
          <t>https://www.kokuchpro.com/event/cddd071de4b6cd6cb6855d312c0263dd/</t>
        </is>
      </c>
      <c r="V320" s="10" t="n"/>
      <c r="W320" s="10" t="inlineStr">
        <is>
          <t>本文一致</t>
        </is>
      </c>
      <c r="X320" s="10" t="n"/>
    </row>
    <row r="321">
      <c r="A321" s="10" t="n">
        <v>320</v>
      </c>
      <c r="B321" s="11" t="n">
        <v>46259</v>
      </c>
      <c r="C321" s="11" t="n">
        <v>46259</v>
      </c>
      <c r="D321" s="10">
        <f>MONTH(B321)&amp;"月"</f>
        <v/>
      </c>
      <c r="E321" s="12" t="n">
        <v>1</v>
      </c>
      <c r="F321" s="10" t="n"/>
      <c r="G321" s="10" t="inlineStr">
        <is>
          <t>【All Geeks Tech】AI活用LT会〜Claude Code・AIエージェント・AI開発〜</t>
        </is>
      </c>
      <c r="H321" s="10" t="inlineStr">
        <is>
          <t>Alleeks株式会社</t>
        </is>
      </c>
      <c r="I321" s="10" t="n"/>
      <c r="J321" s="10" t="inlineStr">
        <is>
          <t>connpass</t>
        </is>
      </c>
      <c r="K321" s="10" t="inlineStr">
        <is>
          <t>会場</t>
        </is>
      </c>
      <c r="L321" s="10" t="inlineStr">
        <is>
          <t>東京都新宿区西新宿４丁目１１−２１ ホルス西新宿 2F</t>
        </is>
      </c>
      <c r="M321" s="10" t="inlineStr">
        <is>
          <t>営業・マーケ・CS</t>
        </is>
      </c>
      <c r="N321" s="10" t="inlineStr">
        <is>
          <t>AIエージェント</t>
        </is>
      </c>
      <c r="O321" s="12" t="inlineStr">
        <is>
          <t>◎</t>
        </is>
      </c>
      <c r="P321" s="13" t="n">
        <v>8</v>
      </c>
      <c r="Q321" s="12" t="inlineStr">
        <is>
          <t>参加者数</t>
        </is>
      </c>
      <c r="R321" s="14" t="n">
        <v>16</v>
      </c>
      <c r="S321" s="10" t="n"/>
      <c r="T321" s="10" t="n"/>
      <c r="U321" s="15" t="inlineStr">
        <is>
          <t>https://alleeks.connpass.com/event/402948/</t>
        </is>
      </c>
      <c r="V321" s="10" t="n"/>
      <c r="W321" s="10" t="inlineStr">
        <is>
          <t>タイトル一致</t>
        </is>
      </c>
      <c r="X321" s="10" t="n"/>
    </row>
    <row r="322">
      <c r="A322" s="10" t="n">
        <v>321</v>
      </c>
      <c r="B322" s="11" t="n">
        <v>46259</v>
      </c>
      <c r="C322" s="11" t="n">
        <v>46259</v>
      </c>
      <c r="D322" s="10">
        <f>MONTH(B322)&amp;"月"</f>
        <v/>
      </c>
      <c r="E322" s="12" t="n">
        <v>1</v>
      </c>
      <c r="F322" s="10" t="n"/>
      <c r="G322" s="10" t="inlineStr">
        <is>
          <t>【シーメンスエキスパートトーク 第5弾】エンタープライズAIを実行フェーズにもっていくために ～グラフ・オントロジーによる圧倒的競争力確保を学ぶ～</t>
        </is>
      </c>
      <c r="H322" s="10" t="inlineStr">
        <is>
          <t>シーメンス株式会社 株式会社アルネッツ 株式会社FRONTEO</t>
        </is>
      </c>
      <c r="I322" s="10" t="inlineStr">
        <is>
          <t>シーメンス株式会社 株式会社アルネッツ 株式会社FRONTEO</t>
        </is>
      </c>
      <c r="J322" s="10" t="inlineStr">
        <is>
          <t>Doorkeeper</t>
        </is>
      </c>
      <c r="K322" s="10" t="inlineStr">
        <is>
          <t>不明</t>
        </is>
      </c>
      <c r="L322" s="10" t="n"/>
      <c r="M322" s="10" t="inlineStr">
        <is>
          <t>生産管理・製造・SCM</t>
        </is>
      </c>
      <c r="N322" s="10" t="inlineStr">
        <is>
          <t>AIエージェント</t>
        </is>
      </c>
      <c r="O322" s="12" t="inlineStr">
        <is>
          <t>○</t>
        </is>
      </c>
      <c r="P322" s="13" t="n">
        <v>0</v>
      </c>
      <c r="Q322" s="12" t="inlineStr">
        <is>
          <t>参加者数</t>
        </is>
      </c>
      <c r="R322" s="14" t="n"/>
      <c r="S322" s="10" t="n"/>
      <c r="T322"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76%の産業AIプロジェクトは、生産段階に至っていない AI活用は拡大している一方で、産業分野では76%のAIプロジェクトが生産段階に至っていません。また、製造業では46%がプロセス自動化をAI投資の優</t>
        </is>
      </c>
      <c r="U322" s="15" t="inlineStr">
        <is>
          <t>https://majisemi-technology.doorkeeper.jp/events/198386</t>
        </is>
      </c>
      <c r="V322" s="10" t="n"/>
      <c r="W322" s="10" t="inlineStr">
        <is>
          <t>本文一致</t>
        </is>
      </c>
      <c r="X322" s="10" t="n"/>
    </row>
    <row r="323">
      <c r="A323" s="10" t="n">
        <v>322</v>
      </c>
      <c r="B323" s="11" t="n">
        <v>46259</v>
      </c>
      <c r="C323" s="11" t="n">
        <v>46259</v>
      </c>
      <c r="D323" s="10">
        <f>MONTH(B323)&amp;"月"</f>
        <v/>
      </c>
      <c r="E323" s="12" t="n">
        <v>1</v>
      </c>
      <c r="F323" s="10" t="n"/>
      <c r="G323" s="10" t="inlineStr">
        <is>
          <t>【セミナー開催】なぜR&amp;D部門は生成AIを導入できないのか―研究情報・未公開発明を守るAIエージェントのセキュリティー設計―</t>
        </is>
      </c>
      <c r="H323" s="10" t="inlineStr">
        <is>
          <t>リーガルテック株式会社</t>
        </is>
      </c>
      <c r="I323" s="10" t="n"/>
      <c r="J323" s="10" t="inlineStr">
        <is>
          <t>PR TIMES</t>
        </is>
      </c>
      <c r="K323" s="10" t="inlineStr">
        <is>
          <t>online</t>
        </is>
      </c>
      <c r="L323" s="10" t="inlineStr">
        <is>
          <t>オンライン（Teams）</t>
        </is>
      </c>
      <c r="M323" s="10" t="inlineStr">
        <is>
          <t>開発生産性</t>
        </is>
      </c>
      <c r="N323" s="10" t="inlineStr">
        <is>
          <t>AIエージェント</t>
        </is>
      </c>
      <c r="O323" s="12" t="inlineStr">
        <is>
          <t>○</t>
        </is>
      </c>
      <c r="P323" s="13" t="n"/>
      <c r="Q323" s="12" t="inlineStr">
        <is>
          <t>不明</t>
        </is>
      </c>
      <c r="R323" s="14" t="n"/>
      <c r="S323" s="10" t="n"/>
      <c r="T323" s="10" t="inlineStr">
        <is>
          <t>【開催概要】 知財×AI リーガルテックセミナー 日時：2026年8月25日（火）16:00～17:00 形式：オンライン（Teams） 参加費：無料 登壇者：志田 大輔（リーガルテック株式会社 取締役CTO）、平井 智之（リーガルテック株式会社 代表取締役CEO） ※プログラム内容や登壇者は、予告なく変更となる場合がございます。あらかじめご了承ください。 ※当日参加特典として、アンケート回答者限定で当日の資料を送付いたします。 お申込</t>
        </is>
      </c>
      <c r="U323" s="15" t="inlineStr">
        <is>
          <t>https://prtimes.jp/main/html/rd/p/000000507.000042056.html</t>
        </is>
      </c>
      <c r="V323" s="10" t="n"/>
      <c r="W323" s="10" t="inlineStr">
        <is>
          <t>タイトル一致</t>
        </is>
      </c>
      <c r="X323" s="10" t="n"/>
    </row>
    <row r="324">
      <c r="A324" s="10" t="n">
        <v>323</v>
      </c>
      <c r="B324" s="11" t="n">
        <v>46259</v>
      </c>
      <c r="C324" s="11" t="n">
        <v>46259</v>
      </c>
      <c r="D324" s="10">
        <f>MONTH(B324)&amp;"月"</f>
        <v/>
      </c>
      <c r="E324" s="12" t="n">
        <v>1</v>
      </c>
      <c r="F324" s="10" t="n"/>
      <c r="G324" s="10" t="inlineStr">
        <is>
          <t>【再放送】【1000名以上の企業向け】AI活用が進む中、AIエージェントにどこまでアクセス権限を与えるべきか？ ～人間・非人間ID・AIエージェントをどう統制するか、AI時代のアクセス管理を解説～</t>
        </is>
      </c>
      <c r="H324" s="10" t="inlineStr">
        <is>
          <t>Saviynt Inc 株式会社マクニカ</t>
        </is>
      </c>
      <c r="I324" s="10" t="inlineStr">
        <is>
          <t>Saviynt Inc 株式会社マクニカ</t>
        </is>
      </c>
      <c r="J324" s="10" t="inlineStr">
        <is>
          <t>Doorkeeper</t>
        </is>
      </c>
      <c r="K324" s="10" t="inlineStr">
        <is>
          <t>不明</t>
        </is>
      </c>
      <c r="L324" s="10" t="n"/>
      <c r="M324" s="10" t="inlineStr">
        <is>
          <t>生産性向上・業務効率化</t>
        </is>
      </c>
      <c r="N324" s="10" t="inlineStr">
        <is>
          <t>AIエージェント</t>
        </is>
      </c>
      <c r="O324" s="12" t="inlineStr">
        <is>
          <t>◎</t>
        </is>
      </c>
      <c r="P324" s="13" t="n">
        <v>0</v>
      </c>
      <c r="Q324" s="12" t="inlineStr">
        <is>
          <t>参加者数</t>
        </is>
      </c>
      <c r="R324" s="14" t="n"/>
      <c r="S324" s="10" t="n"/>
      <c r="T324" s="10" t="inlineStr">
        <is>
          <t xml:space="preserve"> 本セミナーはWebセミナーです。 ツールはSPEAKERSを使います。URLは直前にメールにてご連絡いたします。 なお、「osslabo.com」「majisemi.com」からのメールが迷惑メールとならないよう、メールの設定をご確認ください。 本セミナーは2026年06月17日に開催されたセミナーの再放送です。 多くのご要望をいただきましたので、再放送の開催が決まりました。 AI活用が進む一方、人間前提のID管理では統制が難しくなる</t>
        </is>
      </c>
      <c r="U324" s="15" t="inlineStr">
        <is>
          <t>https://majisemi-idaas.doorkeeper.jp/events/198491</t>
        </is>
      </c>
      <c r="V324" s="10" t="n"/>
      <c r="W324" s="10" t="inlineStr">
        <is>
          <t>タイトル一致</t>
        </is>
      </c>
      <c r="X324" s="10" t="n"/>
    </row>
    <row r="325">
      <c r="A325" s="10" t="n">
        <v>324</v>
      </c>
      <c r="B325" s="11" t="n">
        <v>46259</v>
      </c>
      <c r="C325" s="11" t="n">
        <v>46259</v>
      </c>
      <c r="D325" s="10">
        <f>MONTH(B325)&amp;"月"</f>
        <v/>
      </c>
      <c r="E325" s="12" t="n">
        <v>1</v>
      </c>
      <c r="F325" s="10" t="n"/>
      <c r="G325" s="10" t="inlineStr">
        <is>
          <t>【無料】【実践型】自分だけの「AI脳」を育てる!生成AI×Obsidianナレッジ構築セミナー</t>
        </is>
      </c>
      <c r="H325" s="10" t="inlineStr">
        <is>
          <t>WEB3LAB事務局</t>
        </is>
      </c>
      <c r="I325" s="10" t="n"/>
      <c r="J325" s="10" t="inlineStr">
        <is>
          <t>こくちーずプロ</t>
        </is>
      </c>
      <c r="K325" s="10" t="inlineStr">
        <is>
          <t>オフライン（会場）</t>
        </is>
      </c>
      <c r="L325" s="10" t="inlineStr">
        <is>
          <t>ハバスミーティングルーム 愛媛県松山市大手町1-12-5 イーストプレス2A</t>
        </is>
      </c>
      <c r="M325" s="10" t="inlineStr">
        <is>
          <t>生産性向上・業務効率化</t>
        </is>
      </c>
      <c r="N325" s="10" t="inlineStr">
        <is>
          <t>AIエージェント</t>
        </is>
      </c>
      <c r="O325" s="12" t="inlineStr">
        <is>
          <t>○</t>
        </is>
      </c>
      <c r="P325" s="13" t="n">
        <v>1</v>
      </c>
      <c r="Q325" s="12" t="inlineStr">
        <is>
          <t>イベント参加 1/10</t>
        </is>
      </c>
      <c r="R325" s="14" t="n">
        <v>10</v>
      </c>
      <c r="S325" s="10" t="n"/>
      <c r="T325" s="10" t="inlineStr">
        <is>
          <t>■テーマ 【実践型】自分だけの「AI脳」を育てる！生成AI×Obsidianナレッジ構築セミナー AI時代における自分の立ち位置と、パーソナルデータを活かした未来の働き方 ■概要 一歩先のAI活用を考える時間にしましょう。 急速に進化するAI業界の「現在地と未来の見通し」を解説する座学からスタートし、後半はObsidianとCodexを活用した実践ワークショップを行います。 今回は、自分の得意なことや経験（パーソナルデータ）をAIにイン</t>
        </is>
      </c>
      <c r="U325" s="15" t="inlineStr">
        <is>
          <t>https://www.kokuchpro.com/event/3d9602343ea13a1d1b58323e5149ccb6/</t>
        </is>
      </c>
      <c r="V325" s="10" t="n"/>
      <c r="W325" s="10" t="inlineStr">
        <is>
          <t>本文一致</t>
        </is>
      </c>
      <c r="X325" s="10" t="n"/>
    </row>
    <row r="326">
      <c r="A326" s="10" t="n">
        <v>325</v>
      </c>
      <c r="B326" s="11" t="n">
        <v>46259</v>
      </c>
      <c r="C326" s="11" t="n">
        <v>46259</v>
      </c>
      <c r="D326" s="10">
        <f>MONTH(B326)&amp;"月"</f>
        <v/>
      </c>
      <c r="E326" s="12" t="n">
        <v>1</v>
      </c>
      <c r="F326" s="10" t="n"/>
      <c r="G326" s="10" t="inlineStr">
        <is>
          <t>【経営者・事業責任者向け／無料】Claude Code × AI秘書 実践セミナー｜社長の仕事に、AI秘書を配属する60分</t>
        </is>
      </c>
      <c r="H326" s="10" t="inlineStr">
        <is>
          <t>UnionAI</t>
        </is>
      </c>
      <c r="I326" s="10" t="n"/>
      <c r="J326" s="10" t="inlineStr">
        <is>
          <t>Peatix</t>
        </is>
      </c>
      <c r="K326" s="10" t="inlineStr">
        <is>
          <t>オンライン(Zoom)</t>
        </is>
      </c>
      <c r="L326" s="10" t="n"/>
      <c r="M326" s="10" t="inlineStr">
        <is>
          <t>生産性向上・業務効率化</t>
        </is>
      </c>
      <c r="N326" s="10" t="inlineStr">
        <is>
          <t>AIエージェント</t>
        </is>
      </c>
      <c r="O326" s="12" t="inlineStr">
        <is>
          <t>◎</t>
        </is>
      </c>
      <c r="P326" s="13" t="n"/>
      <c r="Q326" s="12" t="inlineStr">
        <is>
          <t>不明</t>
        </is>
      </c>
      <c r="R326" s="14" t="n"/>
      <c r="S326" s="10" t="n"/>
      <c r="T326" s="10" t="inlineStr">
        <is>
          <t>2026年8月25日(火)19:00-20:30 Zoom 無料</t>
        </is>
      </c>
      <c r="U326" s="15" t="inlineStr">
        <is>
          <t>https://unionai-claude-code.peatix.com/</t>
        </is>
      </c>
      <c r="V326" s="10" t="n"/>
      <c r="W326" s="10" t="inlineStr">
        <is>
          <t>タイトル一致</t>
        </is>
      </c>
      <c r="X326" s="10" t="n"/>
    </row>
    <row r="327">
      <c r="A327" s="10" t="n">
        <v>326</v>
      </c>
      <c r="B327" s="11" t="n">
        <v>46259</v>
      </c>
      <c r="C327" s="11" t="n">
        <v>46259</v>
      </c>
      <c r="D327" s="10">
        <f>MONTH(B327)&amp;"月"</f>
        <v/>
      </c>
      <c r="E327" s="12" t="n">
        <v>1</v>
      </c>
      <c r="F327" s="10" t="n"/>
      <c r="G327" s="10" t="inlineStr">
        <is>
          <t>企業内検索×生成AIで業務改革【ナレッジ活用のよくある課題と解決法】</t>
        </is>
      </c>
      <c r="H327" s="10" t="inlineStr">
        <is>
          <t>「QuickSolution」紹介ウェビナー担当</t>
        </is>
      </c>
      <c r="I327" s="10" t="n"/>
      <c r="J327" s="10" t="inlineStr">
        <is>
          <t>こくちーずプロ</t>
        </is>
      </c>
      <c r="K327" s="10" t="inlineStr">
        <is>
          <t>オンライン</t>
        </is>
      </c>
      <c r="L327" s="10" t="inlineStr">
        <is>
          <t>オンライン 日本</t>
        </is>
      </c>
      <c r="M327" s="10" t="inlineStr">
        <is>
          <t>生産性向上・業務効率化</t>
        </is>
      </c>
      <c r="N327" s="10" t="inlineStr">
        <is>
          <t>AIエージェント</t>
        </is>
      </c>
      <c r="O327" s="12" t="inlineStr">
        <is>
          <t>○</t>
        </is>
      </c>
      <c r="P327" s="13" t="n"/>
      <c r="Q327" s="12" t="inlineStr">
        <is>
          <t>不明</t>
        </is>
      </c>
      <c r="R327" s="14" t="n"/>
      <c r="S327" s="10" t="n"/>
      <c r="T327" s="10" t="inlineStr">
        <is>
          <t>企業内検索×生成AIで業務改革 ～オンプレ・クラウドの横断検索、RAG・検索エージェントで業務効率化やナレッジ活用～ 普段の業務の中で「あの資料、どこにあるかな…」と長い時間をかけて探したことはありませんか？頑張って探したのに、結局見つからなかった経験があるのではないでしょうか。 エンタープライズサーチ QuickSolution(クイックソリューション)を使えば、社内ファイルサーバやクラウドサービスを横断的に文書の中身まで検索して、欲</t>
        </is>
      </c>
      <c r="U327" s="15" t="inlineStr">
        <is>
          <t>https://www.kokuchpro.com/event/6c513e6d4f8e3d1f65f8595f1f56ea1c/</t>
        </is>
      </c>
      <c r="V327" s="10" t="n"/>
      <c r="W327" s="10" t="inlineStr">
        <is>
          <t>本文一致</t>
        </is>
      </c>
      <c r="X327" s="10" t="n"/>
    </row>
    <row r="328">
      <c r="A328" s="10" t="n">
        <v>327</v>
      </c>
      <c r="B328" s="11" t="n">
        <v>46259</v>
      </c>
      <c r="C328" s="11" t="n">
        <v>46259</v>
      </c>
      <c r="D328" s="10">
        <f>MONTH(B328)&amp;"月"</f>
        <v/>
      </c>
      <c r="E328" s="12" t="n">
        <v>1</v>
      </c>
      <c r="F328" s="10" t="n"/>
      <c r="G328" s="10" t="inlineStr">
        <is>
          <t>製造現場にマニュアルはあるのに、なぜ判断が属人化するのか？</t>
        </is>
      </c>
      <c r="H328" s="10" t="inlineStr">
        <is>
          <t>株式会社トゥモロー・ネット（協力：マジセミ株式会社）</t>
        </is>
      </c>
      <c r="I328" s="10" t="n"/>
      <c r="J328" s="10" t="inlineStr">
        <is>
          <t>マジセミ</t>
        </is>
      </c>
      <c r="K328" s="10" t="inlineStr">
        <is>
          <t>online</t>
        </is>
      </c>
      <c r="L328" s="10" t="inlineStr">
        <is>
          <t>オンライン</t>
        </is>
      </c>
      <c r="M328" s="10" t="inlineStr">
        <is>
          <t>生産管理・製造・SCM</t>
        </is>
      </c>
      <c r="N328" s="10" t="inlineStr">
        <is>
          <t>AIエージェント</t>
        </is>
      </c>
      <c r="O328" s="12" t="inlineStr">
        <is>
          <t>○</t>
        </is>
      </c>
      <c r="P328" s="13" t="n"/>
      <c r="Q328" s="12" t="inlineStr">
        <is>
          <t>不明</t>
        </is>
      </c>
      <c r="R328" s="14" t="n"/>
      <c r="S328" s="10" t="n"/>
      <c r="T328" s="10" t="inlineStr">
        <is>
          <t>■製造業で、社内ナレッジをAIで活用する動きが進む 生成AIの活用は、社内文書を検索するRAGから、業務を支援するAIエージェントへと進化しつつあります。製造業でも、マニュアルや技術資料、過去のトラブル事例などをAIで活用し、必要な情報へすばやくたどり着ける環境づくりが進んでいます。一方で、AIを試験的に導入したものの、日々の業務で十分に使いこなせていない企業も少なくありません。 ■マニュアルを検索できても、判断は依然として属人化したま</t>
        </is>
      </c>
      <c r="U328" s="15" t="inlineStr">
        <is>
          <t>https://prtimes.jp/main/html/rd/p/000005511.000054842.html</t>
        </is>
      </c>
      <c r="V328" s="10" t="n"/>
      <c r="W328" s="10" t="inlineStr">
        <is>
          <t>本文一致</t>
        </is>
      </c>
      <c r="X328" s="10" t="n"/>
    </row>
    <row r="329">
      <c r="A329" s="10" t="n">
        <v>328</v>
      </c>
      <c r="B329" s="11" t="n">
        <v>46259</v>
      </c>
      <c r="C329" s="11" t="n">
        <v>46259</v>
      </c>
      <c r="D329" s="10">
        <f>MONTH(B329)&amp;"月"</f>
        <v/>
      </c>
      <c r="E329" s="12" t="n">
        <v>1</v>
      </c>
      <c r="F329" s="10" t="n"/>
      <c r="G329" s="10" t="inlineStr">
        <is>
          <t>製造現場にマニュアルはあるのに、なぜ判断が属人化するのか？ ～検索から判断支援へ、オンプレミスAIエージェントが変える現場業務～</t>
        </is>
      </c>
      <c r="H329" s="10" t="inlineStr">
        <is>
          <t>株式会社トゥモロー・ネット</t>
        </is>
      </c>
      <c r="I329" s="10" t="inlineStr">
        <is>
          <t>マジセミ株式会社</t>
        </is>
      </c>
      <c r="J329" s="10" t="inlineStr">
        <is>
          <t>Doorkeeper</t>
        </is>
      </c>
      <c r="K329" s="10" t="inlineStr">
        <is>
          <t>不明</t>
        </is>
      </c>
      <c r="L329" s="10" t="n"/>
      <c r="M329" s="10" t="inlineStr">
        <is>
          <t>生産管理・製造・SCM</t>
        </is>
      </c>
      <c r="N329" s="10" t="inlineStr">
        <is>
          <t>AIエージェント</t>
        </is>
      </c>
      <c r="O329" s="12" t="inlineStr">
        <is>
          <t>◎</t>
        </is>
      </c>
      <c r="P329" s="13" t="n">
        <v>1</v>
      </c>
      <c r="Q329" s="12" t="inlineStr">
        <is>
          <t>参加者数</t>
        </is>
      </c>
      <c r="R329" s="14" t="n">
        <v>1</v>
      </c>
      <c r="S329" s="10" t="n"/>
      <c r="T329"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製造業で、社内ナレッジをAIで活用する動きが進む 生成AIの活用は、社内文書を検索するRAGから、業務を支援するAIエージェントへと進化しつつあります。製造業でも、マニュアルや技術資料、過去のトラブル事</t>
        </is>
      </c>
      <c r="U329" s="15" t="inlineStr">
        <is>
          <t>https://majisemi-technology.doorkeeper.jp/events/198488</t>
        </is>
      </c>
      <c r="V329" s="10" t="n"/>
      <c r="W329" s="10" t="inlineStr">
        <is>
          <t>タイトル一致</t>
        </is>
      </c>
      <c r="X329" s="10" t="n"/>
    </row>
    <row r="330">
      <c r="A330" s="10" t="n">
        <v>329</v>
      </c>
      <c r="B330" s="11" t="n">
        <v>46260</v>
      </c>
      <c r="C330" s="11" t="n">
        <v>46260</v>
      </c>
      <c r="D330" s="10">
        <f>MONTH(B330)&amp;"月"</f>
        <v/>
      </c>
      <c r="E330" s="12" t="n">
        <v>1</v>
      </c>
      <c r="F330" s="10" t="n"/>
      <c r="G330" s="10" t="inlineStr">
        <is>
          <t>8/26(水)13:00- Agentic AI Transformation Day 2026 「Microsoft Copilot」活用の現在地と、次なるアプローチ</t>
        </is>
      </c>
      <c r="H330" s="10" t="inlineStr">
        <is>
          <t>skillupai</t>
        </is>
      </c>
      <c r="I330" s="10" t="n"/>
      <c r="J330" s="10" t="inlineStr">
        <is>
          <t>Doorkeeper</t>
        </is>
      </c>
      <c r="K330" s="10" t="inlineStr">
        <is>
          <t>不明</t>
        </is>
      </c>
      <c r="L330" s="10" t="n"/>
      <c r="M330" s="10" t="inlineStr">
        <is>
          <t>生産性向上・業務効率化</t>
        </is>
      </c>
      <c r="N330" s="10" t="inlineStr">
        <is>
          <t>AIエージェント</t>
        </is>
      </c>
      <c r="O330" s="12" t="inlineStr">
        <is>
          <t>◎</t>
        </is>
      </c>
      <c r="P330" s="13" t="n">
        <v>3</v>
      </c>
      <c r="Q330" s="12" t="inlineStr">
        <is>
          <t>参加者数</t>
        </is>
      </c>
      <c r="R330" s="14" t="n">
        <v>30</v>
      </c>
      <c r="S330" s="10" t="n"/>
      <c r="T330" s="10" t="inlineStr">
        <is>
          <t xml:space="preserve"> 「導入」で終わらせない。 「実践現場のリアルな試行錯誤と、 「Copilotの最新機能から読み解く、次世代ワークスタイル。 AIは今、私たちの働き方だけでなく、業務プロセスや企業経営のあり方を根本から変えつつあります。 数あるソリューションの中でも 「Microsoft 365 Copilot」 は、日経225企業の94%が導入し、企業の生産性を支える基盤として急速に普及しました。 現在、多くの企業が単なるツール導入のフェーズを終え、</t>
        </is>
      </c>
      <c r="U330" s="15" t="inlineStr">
        <is>
          <t>https://skillupai.doorkeeper.jp/events/198586</t>
        </is>
      </c>
      <c r="V330" s="10" t="n"/>
      <c r="W330" s="10" t="inlineStr">
        <is>
          <t>タイトル一致</t>
        </is>
      </c>
      <c r="X330" s="10" t="n"/>
    </row>
    <row r="331">
      <c r="A331" s="10" t="n">
        <v>330</v>
      </c>
      <c r="B331" s="11" t="n">
        <v>46260</v>
      </c>
      <c r="C331" s="11" t="n">
        <v>46260</v>
      </c>
      <c r="D331" s="10">
        <f>MONTH(B331)&amp;"月"</f>
        <v/>
      </c>
      <c r="E331" s="12" t="n">
        <v>1</v>
      </c>
      <c r="F331" s="10" t="n"/>
      <c r="G331" s="10" t="inlineStr">
        <is>
          <t>AIを"使う"から"雇う"へ — Coworkで組み立てる自社専用の業務エージェント</t>
        </is>
      </c>
      <c r="H331" s="10" t="inlineStr">
        <is>
          <t>Solvio｜生成AI活用支援</t>
        </is>
      </c>
      <c r="I331" s="10" t="n"/>
      <c r="J331" s="10" t="inlineStr">
        <is>
          <t>connpass</t>
        </is>
      </c>
      <c r="K331" s="10" t="inlineStr">
        <is>
          <t>オンライン</t>
        </is>
      </c>
      <c r="L331" s="10" t="inlineStr">
        <is>
          <t>オンライン</t>
        </is>
      </c>
      <c r="M331" s="10" t="inlineStr">
        <is>
          <t>生産性向上・業務効率化</t>
        </is>
      </c>
      <c r="N331" s="10" t="inlineStr">
        <is>
          <t>AIエージェント</t>
        </is>
      </c>
      <c r="O331" s="12" t="inlineStr">
        <is>
          <t>◎</t>
        </is>
      </c>
      <c r="P331" s="13" t="n">
        <v>10</v>
      </c>
      <c r="Q331" s="12" t="inlineStr">
        <is>
          <t>参加者数</t>
        </is>
      </c>
      <c r="R331" s="14" t="n">
        <v>100</v>
      </c>
      <c r="S331" s="10" t="n"/>
      <c r="T331" s="10" t="n"/>
      <c r="U331" s="15" t="inlineStr">
        <is>
          <t>https://solvio.connpass.com/event/403766/</t>
        </is>
      </c>
      <c r="V331" s="10" t="n"/>
      <c r="W331" s="10" t="inlineStr">
        <is>
          <t>タイトル一致</t>
        </is>
      </c>
      <c r="X331" s="10" t="n"/>
    </row>
    <row r="332">
      <c r="A332" s="10" t="n">
        <v>331</v>
      </c>
      <c r="B332" s="11" t="n">
        <v>46260</v>
      </c>
      <c r="C332" s="11" t="n">
        <v>46260</v>
      </c>
      <c r="D332" s="10">
        <f>MONTH(B332)&amp;"月"</f>
        <v/>
      </c>
      <c r="E332" s="12" t="n">
        <v>1</v>
      </c>
      <c r="F332" s="10" t="n"/>
      <c r="G332" s="10" t="inlineStr">
        <is>
          <t>AIエージェントキャッチアップ #89 - Beads</t>
        </is>
      </c>
      <c r="H332" s="10" t="inlineStr">
        <is>
          <t>ジェネラティブエージェンツ / Generative Agents</t>
        </is>
      </c>
      <c r="I332" s="10" t="n"/>
      <c r="J332" s="10" t="inlineStr">
        <is>
          <t>connpass</t>
        </is>
      </c>
      <c r="K332" s="10" t="inlineStr">
        <is>
          <t>オンライン</t>
        </is>
      </c>
      <c r="L332" s="10" t="inlineStr">
        <is>
          <t>オンライン</t>
        </is>
      </c>
      <c r="M332" s="10" t="inlineStr">
        <is>
          <t>技術・AI全般</t>
        </is>
      </c>
      <c r="N332" s="10" t="inlineStr">
        <is>
          <t>AIエージェント</t>
        </is>
      </c>
      <c r="O332" s="12" t="inlineStr">
        <is>
          <t>○</t>
        </is>
      </c>
      <c r="P332" s="13" t="n">
        <v>50</v>
      </c>
      <c r="Q332" s="12" t="inlineStr">
        <is>
          <t>参加者数</t>
        </is>
      </c>
      <c r="R332" s="14" t="n">
        <v>200</v>
      </c>
      <c r="S332" s="10" t="n"/>
      <c r="T332" s="10" t="n"/>
      <c r="U332" s="15" t="inlineStr">
        <is>
          <t>https://generative-agents.connpass.com/event/403963/</t>
        </is>
      </c>
      <c r="V332" s="10" t="n"/>
      <c r="W332" s="10" t="inlineStr">
        <is>
          <t>タイトル一致</t>
        </is>
      </c>
      <c r="X332" s="10" t="n"/>
    </row>
    <row r="333">
      <c r="A333" s="10" t="n">
        <v>332</v>
      </c>
      <c r="B333" s="11" t="n">
        <v>46260</v>
      </c>
      <c r="C333" s="11" t="n">
        <v>46261</v>
      </c>
      <c r="D333" s="10">
        <f>MONTH(B333)&amp;"月"</f>
        <v/>
      </c>
      <c r="E333" s="12" t="n">
        <v>1</v>
      </c>
      <c r="F333" s="10" t="n"/>
      <c r="G333" s="10" t="inlineStr">
        <is>
          <t>AI博覧会 Summer 2026</t>
        </is>
      </c>
      <c r="H333" s="10" t="inlineStr">
        <is>
          <t>株式会社アイスマイリー</t>
        </is>
      </c>
      <c r="I333" s="10" t="inlineStr">
        <is>
          <t>出展80社</t>
        </is>
      </c>
      <c r="J333" s="10" t="inlineStr">
        <is>
          <t>個別調査（公式サイト・PR TIMES等）</t>
        </is>
      </c>
      <c r="K333" s="10" t="inlineStr">
        <is>
          <t>会場</t>
        </is>
      </c>
      <c r="L333" s="10" t="inlineStr">
        <is>
          <t>新宿住友ビル三角広場</t>
        </is>
      </c>
      <c r="M333" s="10" t="inlineStr">
        <is>
          <t>大型カンファレンス・展示会</t>
        </is>
      </c>
      <c r="N333" s="10" t="inlineStr">
        <is>
          <t>AIエージェント</t>
        </is>
      </c>
      <c r="O333" s="12" t="inlineStr">
        <is>
          <t>◎</t>
        </is>
      </c>
      <c r="P333" s="13" t="n">
        <v>8739</v>
      </c>
      <c r="Q333" s="12" t="inlineStr">
        <is>
          <t>来場者数</t>
        </is>
      </c>
      <c r="R333" s="14" t="n"/>
      <c r="S333" s="10" t="inlineStr">
        <is>
          <t>初日4,245名、2日目4,494名</t>
        </is>
      </c>
      <c r="T333" s="10" t="inlineStr">
        <is>
          <t>80社が200以上のAI製品を展示し、講演は約40本。AIエージェントやフィジカルAIのゾーンがある。</t>
        </is>
      </c>
      <c r="U333" s="15" t="inlineStr">
        <is>
          <t>https://aismiley.co.jp/ai_news/aihaku-sum2026-report02/</t>
        </is>
      </c>
      <c r="V333" s="10" t="n"/>
      <c r="W333" s="10" t="inlineStr">
        <is>
          <t>個別確認</t>
        </is>
      </c>
      <c r="X333" s="10" t="n"/>
    </row>
    <row r="334">
      <c r="A334" s="10" t="n">
        <v>333</v>
      </c>
      <c r="B334" s="11" t="n">
        <v>46260</v>
      </c>
      <c r="C334" s="11" t="n">
        <v>46260</v>
      </c>
      <c r="D334" s="10">
        <f>MONTH(B334)&amp;"月"</f>
        <v/>
      </c>
      <c r="E334" s="12" t="n">
        <v>1</v>
      </c>
      <c r="F334" s="10" t="n"/>
      <c r="G334" s="10" t="inlineStr">
        <is>
          <t>「導入しただけ」で終わらせない！現場を変えるAI活用ウェビナー</t>
        </is>
      </c>
      <c r="H334" s="10" t="inlineStr">
        <is>
          <t>株式会社アイスマイリー</t>
        </is>
      </c>
      <c r="I334" s="10" t="inlineStr">
        <is>
          <t>中央コンピューター株式会社ほか（3社共催）</t>
        </is>
      </c>
      <c r="J334" s="10" t="inlineStr">
        <is>
          <t>個別調査（公式サイト・PR TIMES等）</t>
        </is>
      </c>
      <c r="K334" s="10" t="inlineStr">
        <is>
          <t>オンライン</t>
        </is>
      </c>
      <c r="L334" s="10" t="n"/>
      <c r="M334" s="10" t="inlineStr">
        <is>
          <t>生産性向上・業務効率化</t>
        </is>
      </c>
      <c r="N334" s="10" t="inlineStr">
        <is>
          <t>AIエージェント</t>
        </is>
      </c>
      <c r="O334" s="12" t="inlineStr">
        <is>
          <t>◎</t>
        </is>
      </c>
      <c r="P334" s="13" t="n"/>
      <c r="Q334" s="12" t="inlineStr">
        <is>
          <t>不明</t>
        </is>
      </c>
      <c r="R334" s="14" t="n"/>
      <c r="S334" s="10" t="n"/>
      <c r="T334" s="10" t="inlineStr">
        <is>
          <t>AIエージェントを適用する業務の選び方、社内ナレッジの活用、現場への定着を、デモを交えて解説する。</t>
        </is>
      </c>
      <c r="U334" s="15" t="inlineStr">
        <is>
          <t>https://www.chuo-computer.co.jp/news/20260821/</t>
        </is>
      </c>
      <c r="V334" s="10" t="n"/>
      <c r="W334" s="10" t="inlineStr">
        <is>
          <t>個別確認</t>
        </is>
      </c>
      <c r="X334" s="10" t="n"/>
    </row>
    <row r="335">
      <c r="A335" s="10" t="n">
        <v>334</v>
      </c>
      <c r="B335" s="11" t="n">
        <v>46260</v>
      </c>
      <c r="C335" s="11" t="n">
        <v>46260</v>
      </c>
      <c r="D335" s="10">
        <f>MONTH(B335)&amp;"月"</f>
        <v/>
      </c>
      <c r="E335" s="12" t="n">
        <v>1</v>
      </c>
      <c r="F335" s="10" t="n"/>
      <c r="G335" s="10" t="inlineStr">
        <is>
          <t>【8/26開催】「導入しただけ」で終わらせない！現場を変えるAI活用ウェビナー 自社に合った業務選定から現場・組織へ定着させる実践ノウハウまで</t>
        </is>
      </c>
      <c r="H335" s="10" t="inlineStr">
        <is>
          <t>株式会社アイスマイリー</t>
        </is>
      </c>
      <c r="I335" s="10" t="n"/>
      <c r="J335" s="10" t="inlineStr">
        <is>
          <t>AIsmiley</t>
        </is>
      </c>
      <c r="K335" s="10" t="inlineStr">
        <is>
          <t>online</t>
        </is>
      </c>
      <c r="L335" s="10" t="inlineStr">
        <is>
          <t>オンライン（ウェビナー専用URL）</t>
        </is>
      </c>
      <c r="M335" s="10" t="inlineStr">
        <is>
          <t>生産性向上・業務効率化</t>
        </is>
      </c>
      <c r="N335" s="10" t="inlineStr">
        <is>
          <t>AIエージェント</t>
        </is>
      </c>
      <c r="O335" s="12" t="inlineStr">
        <is>
          <t>○</t>
        </is>
      </c>
      <c r="P335" s="13" t="n"/>
      <c r="Q335" s="12" t="inlineStr">
        <is>
          <t>不明</t>
        </is>
      </c>
      <c r="R335" s="14" t="n"/>
      <c r="S335" s="10" t="n"/>
      <c r="T335" s="10" t="inlineStr">
        <is>
          <t>主催：株式会社アイスマイリー。2026年8月26日（水）12:00～13:30、無料。全社的な業務効率化・業務自動化など生成AI／AIエージェント活用を推進したいDX推進・情シス部門向け。登壇：PKSHA Technology、SBモバイルサービス、中央コンピューター。社内ナレッジ活用、組織の自律化、どの業務にどうAIを適用すべきかの判断基準を紹介。</t>
        </is>
      </c>
      <c r="U335" s="15" t="inlineStr">
        <is>
          <t>https://aismiley.co.jp/ai_news/20260826webinar/</t>
        </is>
      </c>
      <c r="V335" s="10" t="n"/>
      <c r="W335" s="10" t="inlineStr">
        <is>
          <t>本文一致</t>
        </is>
      </c>
      <c r="X335" s="10" t="n"/>
    </row>
    <row r="336">
      <c r="A336" s="10" t="n">
        <v>335</v>
      </c>
      <c r="B336" s="11" t="n">
        <v>46260</v>
      </c>
      <c r="C336" s="11" t="n">
        <v>46295</v>
      </c>
      <c r="D336" s="10">
        <f>MONTH(B336)&amp;"月"</f>
        <v/>
      </c>
      <c r="E336" s="12" t="n">
        <v>2</v>
      </c>
      <c r="F336" s="10" t="inlineStr">
        <is>
          <t>08/26、09/30</t>
        </is>
      </c>
      <c r="G336" s="10" t="inlineStr">
        <is>
          <t>【WACA会員向けオフィスアワー8月】小川卓さんに直接GA4の質問ができる会</t>
        </is>
      </c>
      <c r="H336" s="10" t="inlineStr">
        <is>
          <t>web-mining</t>
        </is>
      </c>
      <c r="I336" s="10" t="n"/>
      <c r="J336" s="10" t="inlineStr">
        <is>
          <t>Doorkeeper</t>
        </is>
      </c>
      <c r="K336" s="10" t="inlineStr">
        <is>
          <t>不明</t>
        </is>
      </c>
      <c r="L336" s="10" t="n"/>
      <c r="M336" s="10" t="inlineStr">
        <is>
          <t>技術・AI全般</t>
        </is>
      </c>
      <c r="N336" s="10" t="inlineStr">
        <is>
          <t>AIエージェント</t>
        </is>
      </c>
      <c r="O336" s="12" t="inlineStr">
        <is>
          <t>△</t>
        </is>
      </c>
      <c r="P336" s="13" t="n">
        <v>60</v>
      </c>
      <c r="Q336" s="12" t="inlineStr">
        <is>
          <t>参加者数</t>
        </is>
      </c>
      <c r="R336" s="14" t="n">
        <v>500</v>
      </c>
      <c r="S336" s="10" t="inlineStr">
        <is>
          <t>全2回の合計</t>
        </is>
      </c>
      <c r="T336" s="10" t="inlineStr">
        <is>
          <t xml:space="preserve"> こちらのセミナーは「参加要件」がございます。 必ずお読みください。 セミナー概要 2026年ウェブ解析士協会 会員向け企画 【カリキュラムセミナー】小川卓さんに直接GA4の質問ができる会 （スピーカー：株式会社HAPPY ANALYTICS 代表取締役社長 小川 卓 氏） Google アナリティクスといえば、小川卓さん と言っても過言ではないくらい、著書や講演実績も多く、第一線で活躍されています。 そんな小川卓さんですが、実はウェブ</t>
        </is>
      </c>
      <c r="U336" s="15" t="inlineStr">
        <is>
          <t>https://web-mining.doorkeeper.jp/events/198676</t>
        </is>
      </c>
      <c r="V336" s="10" t="n"/>
      <c r="W336" s="10" t="inlineStr">
        <is>
          <t>本文一致</t>
        </is>
      </c>
      <c r="X336" s="10" t="n"/>
    </row>
    <row r="337">
      <c r="A337" s="10" t="n">
        <v>336</v>
      </c>
      <c r="B337" s="11" t="n">
        <v>46260</v>
      </c>
      <c r="C337" s="11" t="n">
        <v>46260</v>
      </c>
      <c r="D337" s="10">
        <f>MONTH(B337)&amp;"月"</f>
        <v/>
      </c>
      <c r="E337" s="12" t="n">
        <v>1</v>
      </c>
      <c r="F337" s="10" t="n"/>
      <c r="G337" s="10" t="inlineStr">
        <is>
          <t>【無料ウェビナー】非エンジニアのための Codex 入門——ChatGPT感覚で始める"任せる働き方"</t>
        </is>
      </c>
      <c r="H337" s="10" t="inlineStr">
        <is>
          <t>株式会社AI Orchestra</t>
        </is>
      </c>
      <c r="I337" s="10" t="n"/>
      <c r="J337" s="10" t="inlineStr">
        <is>
          <t>こくちーずプロ</t>
        </is>
      </c>
      <c r="K337" s="10" t="inlineStr">
        <is>
          <t>オンライン</t>
        </is>
      </c>
      <c r="L337" s="10" t="inlineStr">
        <is>
          <t>オンライン 日本</t>
        </is>
      </c>
      <c r="M337" s="10" t="inlineStr">
        <is>
          <t>生産性向上・業務効率化</t>
        </is>
      </c>
      <c r="N337" s="10" t="inlineStr">
        <is>
          <t>AIエージェント</t>
        </is>
      </c>
      <c r="O337" s="12" t="inlineStr">
        <is>
          <t>◎</t>
        </is>
      </c>
      <c r="P337" s="13" t="n"/>
      <c r="Q337" s="12" t="inlineStr">
        <is>
          <t>不明</t>
        </is>
      </c>
      <c r="R337" s="14" t="n"/>
      <c r="S337" s="10" t="n"/>
      <c r="T337" s="10" t="inlineStr">
        <is>
          <t>【無料ウェビナー】非エンジニアのための Codex 入門 ——ChatGPT感覚で始める"任せる働き方" ChatGPTは、毎日のように使っている。 文章づくりも、調べものも、確かに速くなった。 それなのに——仕事の総量は、思ったほど減っていない。 資料も、議事録も、メール対応も、最後は自分の手で仕上げている。 AIに"聞く"ことはできても、"任せる"ことができていないからです。 そのChatGPTをつくったOpenAIが提供しているA</t>
        </is>
      </c>
      <c r="U337" s="15" t="inlineStr">
        <is>
          <t>https://www.kokuchpro.com/event/414c894be3d62002b5839830bded9990/</t>
        </is>
      </c>
      <c r="V337" s="10" t="n"/>
      <c r="W337" s="10" t="inlineStr">
        <is>
          <t>タイトル一致</t>
        </is>
      </c>
      <c r="X337" s="10" t="n"/>
    </row>
    <row r="338">
      <c r="A338" s="10" t="n">
        <v>337</v>
      </c>
      <c r="B338" s="11" t="n">
        <v>46260</v>
      </c>
      <c r="C338" s="11" t="n">
        <v>46260</v>
      </c>
      <c r="D338" s="10">
        <f>MONTH(B338)&amp;"月"</f>
        <v/>
      </c>
      <c r="E338" s="12" t="n">
        <v>1</v>
      </c>
      <c r="F338" s="10" t="n"/>
      <c r="G338" s="10" t="inlineStr">
        <is>
          <t>それ、本当にClaude Codeじゃないとダメ？より安全でラクに使えるCowork公開デモ</t>
        </is>
      </c>
      <c r="H338" s="10" t="inlineStr">
        <is>
          <t>#Offers_DeepDive / オファーズ</t>
        </is>
      </c>
      <c r="I338" s="10" t="n"/>
      <c r="J338" s="10" t="inlineStr">
        <is>
          <t>connpass</t>
        </is>
      </c>
      <c r="K338" s="10" t="inlineStr">
        <is>
          <t>オンライン</t>
        </is>
      </c>
      <c r="L338" s="10" t="inlineStr">
        <is>
          <t>オンライン</t>
        </is>
      </c>
      <c r="M338" s="10" t="inlineStr">
        <is>
          <t>開発生産性</t>
        </is>
      </c>
      <c r="N338" s="10" t="inlineStr">
        <is>
          <t>AIエージェント</t>
        </is>
      </c>
      <c r="O338" s="12" t="inlineStr">
        <is>
          <t>○</t>
        </is>
      </c>
      <c r="P338" s="13" t="n">
        <v>416</v>
      </c>
      <c r="Q338" s="12" t="inlineStr">
        <is>
          <t>参加者数</t>
        </is>
      </c>
      <c r="R338" s="14" t="n"/>
      <c r="S338" s="10" t="n"/>
      <c r="T338" s="10" t="n"/>
      <c r="U338" s="15" t="inlineStr">
        <is>
          <t>https://offers-jp.connpass.com/event/401450/</t>
        </is>
      </c>
      <c r="V338" s="10" t="n"/>
      <c r="W338" s="10" t="inlineStr">
        <is>
          <t>タイトル一致</t>
        </is>
      </c>
      <c r="X338" s="10" t="n"/>
    </row>
    <row r="339">
      <c r="A339" s="10" t="n">
        <v>338</v>
      </c>
      <c r="B339" s="11" t="n">
        <v>46260</v>
      </c>
      <c r="C339" s="11" t="n">
        <v>46260</v>
      </c>
      <c r="D339" s="10">
        <f>MONTH(B339)&amp;"月"</f>
        <v/>
      </c>
      <c r="E339" s="12" t="n">
        <v>1</v>
      </c>
      <c r="F339" s="10" t="n"/>
      <c r="G339" s="10" t="inlineStr">
        <is>
          <t>スキルアップNeXt、オンラインカンファレンス『Agentic AI Transformation Day 2026』を8/26（水）に開催</t>
        </is>
      </c>
      <c r="H339" s="10" t="inlineStr">
        <is>
          <t>株式会社スキルアップNeXt（「Microsoft Copilot」Specialization 認定パートナー）</t>
        </is>
      </c>
      <c r="I339" s="10" t="n"/>
      <c r="J339" s="10" t="inlineStr">
        <is>
          <t>PR TIMES</t>
        </is>
      </c>
      <c r="K339" s="10" t="inlineStr">
        <is>
          <t>online</t>
        </is>
      </c>
      <c r="L339" s="10" t="inlineStr">
        <is>
          <t>オンライン配信</t>
        </is>
      </c>
      <c r="M339" s="10" t="inlineStr">
        <is>
          <t>営業・マーケ・CS</t>
        </is>
      </c>
      <c r="N339" s="10" t="inlineStr">
        <is>
          <t>AIエージェント</t>
        </is>
      </c>
      <c r="O339" s="12" t="inlineStr">
        <is>
          <t>◎</t>
        </is>
      </c>
      <c r="P339" s="13" t="n"/>
      <c r="Q339" s="12" t="inlineStr">
        <is>
          <t>不明</t>
        </is>
      </c>
      <c r="R339" s="14" t="n"/>
      <c r="S339" s="10" t="n"/>
      <c r="T339" s="10" t="inlineStr">
        <is>
          <t>マイクロソフトの最上位パートナー資格「Microsoft Copilot」Specialization取得企業である株式会社スキルアップNeXt（本社：東京都千代田区、代表取締役：田原 眞一、以下「スキルアップNeXt」）は、2026年8月26日（水）に、オンラインカンファレンス『Agentic AI Transformation Day 2026 〜「Microsoft Copilot」活用の現在地と、次なるアプローチ〜』を、（一社）</t>
        </is>
      </c>
      <c r="U339" s="15" t="inlineStr">
        <is>
          <t>https://prtimes.jp/main/html/rd/p/000000206.000035215.html</t>
        </is>
      </c>
      <c r="V339" s="10" t="n"/>
      <c r="W339" s="10" t="inlineStr">
        <is>
          <t>タイトル一致</t>
        </is>
      </c>
      <c r="X339" s="10" t="n"/>
    </row>
    <row r="340">
      <c r="A340" s="10" t="n">
        <v>339</v>
      </c>
      <c r="B340" s="11" t="n">
        <v>46260</v>
      </c>
      <c r="C340" s="11" t="n">
        <v>46260</v>
      </c>
      <c r="D340" s="10">
        <f>MONTH(B340)&amp;"月"</f>
        <v/>
      </c>
      <c r="E340" s="12" t="n">
        <v>1</v>
      </c>
      <c r="F340" s="10" t="n"/>
      <c r="G340" s="10" t="inlineStr">
        <is>
          <t>情シスへの「問い合わせ」対応を自動化するAIエージェント活用</t>
        </is>
      </c>
      <c r="H340" s="10" t="inlineStr">
        <is>
          <t>シスクル</t>
        </is>
      </c>
      <c r="I340" s="10" t="n"/>
      <c r="J340" s="10" t="inlineStr">
        <is>
          <t>connpass</t>
        </is>
      </c>
      <c r="K340" s="10" t="inlineStr">
        <is>
          <t>会場</t>
        </is>
      </c>
      <c r="L340" s="10" t="inlineStr">
        <is>
          <t>(場所未定)</t>
        </is>
      </c>
      <c r="M340" s="10" t="inlineStr">
        <is>
          <t>営業・マーケ・CS</t>
        </is>
      </c>
      <c r="N340" s="10" t="inlineStr">
        <is>
          <t>AIエージェント</t>
        </is>
      </c>
      <c r="O340" s="12" t="inlineStr">
        <is>
          <t>◎</t>
        </is>
      </c>
      <c r="P340" s="13" t="n">
        <v>8</v>
      </c>
      <c r="Q340" s="12" t="inlineStr">
        <is>
          <t>参加者数</t>
        </is>
      </c>
      <c r="R340" s="14" t="n"/>
      <c r="S340" s="10" t="n"/>
      <c r="T340" s="10" t="n"/>
      <c r="U340" s="15" t="inlineStr">
        <is>
          <t>https://dxer.connpass.com/event/402509/</t>
        </is>
      </c>
      <c r="V340" s="10" t="n"/>
      <c r="W340" s="10" t="inlineStr">
        <is>
          <t>タイトル一致</t>
        </is>
      </c>
      <c r="X340" s="10" t="n"/>
    </row>
    <row r="341">
      <c r="A341" s="10" t="n">
        <v>340</v>
      </c>
      <c r="B341" s="11" t="n">
        <v>46260</v>
      </c>
      <c r="C341" s="11" t="n">
        <v>46260</v>
      </c>
      <c r="D341" s="10">
        <f>MONTH(B341)&amp;"月"</f>
        <v/>
      </c>
      <c r="E341" s="12" t="n">
        <v>1</v>
      </c>
      <c r="F341" s="10" t="n"/>
      <c r="G341" s="10" t="inlineStr">
        <is>
          <t>情シスへの「問い合わせ」対応を自動化するAIエージェント活用 〜現場のデータから見えた、人とAIの最適な業務分担〜</t>
        </is>
      </c>
      <c r="H341" s="10" t="inlineStr">
        <is>
          <t>DXER イベント事務局</t>
        </is>
      </c>
      <c r="I341" s="10" t="n"/>
      <c r="J341" s="10" t="inlineStr">
        <is>
          <t>こくちーずプロ</t>
        </is>
      </c>
      <c r="K341" s="10" t="inlineStr">
        <is>
          <t>オンライン</t>
        </is>
      </c>
      <c r="L341" s="10" t="inlineStr">
        <is>
          <t>オンライン 日本</t>
        </is>
      </c>
      <c r="M341" s="10" t="inlineStr">
        <is>
          <t>営業・マーケ・CS</t>
        </is>
      </c>
      <c r="N341" s="10" t="inlineStr">
        <is>
          <t>AIエージェント</t>
        </is>
      </c>
      <c r="O341" s="12" t="inlineStr">
        <is>
          <t>◎</t>
        </is>
      </c>
      <c r="P341" s="13" t="n"/>
      <c r="Q341" s="12" t="inlineStr">
        <is>
          <t>不明</t>
        </is>
      </c>
      <c r="R341" s="14" t="n"/>
      <c r="S341" s="10" t="n"/>
      <c r="T341" s="10" t="inlineStr">
        <is>
          <t>ウェビナー概要 AIエージェントが注目を集める一方で、「具体的に情シスの定型業務にどう組み込めばいいのか」「どこまでAIに任せて大丈夫なのか」と悩むご担当者様も少なくありません。さらに最近は、情シスが他部門から「うちの業務も自動化してほしい」と相談を受けるケースも増えています。 本ウェビナーでは、AIエージェントが今どのように使われているのか、最新の活用状況を整理したうえで、 情シス業務での具体的な活用 をデモンストレーションを交えてご</t>
        </is>
      </c>
      <c r="U341" s="15" t="inlineStr">
        <is>
          <t>https://www.kokuchpro.com/event/1ada8bb76ae66c2aade0e8054c784caa/</t>
        </is>
      </c>
      <c r="V341" s="10" t="n"/>
      <c r="W341" s="10" t="inlineStr">
        <is>
          <t>タイトル一致</t>
        </is>
      </c>
      <c r="X341" s="10" t="n"/>
    </row>
    <row r="342">
      <c r="A342" s="10" t="n">
        <v>341</v>
      </c>
      <c r="B342" s="11" t="n">
        <v>46260</v>
      </c>
      <c r="C342" s="11" t="n">
        <v>46260</v>
      </c>
      <c r="D342" s="10">
        <f>MONTH(B342)&amp;"月"</f>
        <v/>
      </c>
      <c r="E342" s="12" t="n">
        <v>1</v>
      </c>
      <c r="F342" s="10" t="n"/>
      <c r="G342" s="10" t="inlineStr">
        <is>
          <t>株式会社kozokaAI、ベル・データ株式会社と共同ウェビナーを開催 「受注入力はAIに任せる時代へ ～ただのOCRじゃない！ 手書きにも強く、あらゆる業種に対応する受注AIエージェント～」</t>
        </is>
      </c>
      <c r="H342" s="10" t="inlineStr">
        <is>
          <t>ベル・データ株式会社 / 株式会社kozokaAI</t>
        </is>
      </c>
      <c r="I342" s="10" t="n"/>
      <c r="J342" s="10" t="inlineStr">
        <is>
          <t>PR TIMES</t>
        </is>
      </c>
      <c r="K342" s="10" t="inlineStr">
        <is>
          <t>online</t>
        </is>
      </c>
      <c r="L342" s="10" t="inlineStr">
        <is>
          <t>オンライン形式（Zoom）</t>
        </is>
      </c>
      <c r="M342" s="10" t="inlineStr">
        <is>
          <t>生産性向上・業務効率化</t>
        </is>
      </c>
      <c r="N342" s="10" t="inlineStr">
        <is>
          <t>AIエージェント</t>
        </is>
      </c>
      <c r="O342" s="12" t="inlineStr">
        <is>
          <t>◎</t>
        </is>
      </c>
      <c r="P342" s="13" t="n"/>
      <c r="Q342" s="12" t="inlineStr">
        <is>
          <t>定員</t>
        </is>
      </c>
      <c r="R342" s="14" t="n">
        <v>50</v>
      </c>
      <c r="S342" s="10" t="n"/>
      <c r="T342" s="10" t="inlineStr">
        <is>
          <t>株式会社kozokaAIは、ベル・データ株式会社と共同で、オンラインセミナー「受注入力はAIに任せる時代へ ～ただのOCRじゃない！ 手書きにも強く、あらゆる業種に対応する受注AIエージェント～」を2026年8月26日（水）に開催いたします。 ■ ウェビナー開催の背景・内容 取引先ごとに異なる注文書のフォーマット、手書き文字の判読、そして終わりの見えない確認作業など、受注業務には多くの煩雑な課題が存在します。こうした課題を解決するのが、</t>
        </is>
      </c>
      <c r="U342" s="15" t="inlineStr">
        <is>
          <t>https://prtimes.jp/main/html/rd/p/000000018.000175889.html</t>
        </is>
      </c>
      <c r="V342" s="10" t="n"/>
      <c r="W342" s="10" t="inlineStr">
        <is>
          <t>タイトル一致</t>
        </is>
      </c>
      <c r="X342" s="10" t="n"/>
    </row>
    <row r="343">
      <c r="A343" s="10" t="n">
        <v>342</v>
      </c>
      <c r="B343" s="11" t="n">
        <v>46260</v>
      </c>
      <c r="C343" s="11" t="n">
        <v>46260</v>
      </c>
      <c r="D343" s="10">
        <f>MONTH(B343)&amp;"月"</f>
        <v/>
      </c>
      <c r="E343" s="12" t="n">
        <v>1</v>
      </c>
      <c r="F343" s="10" t="n"/>
      <c r="G343" s="10" t="inlineStr">
        <is>
          <t>生成AIシェア会_LT編〜使ってみた・調べてみたをみんなに共有しませんか?〜</t>
        </is>
      </c>
      <c r="H343" s="10" t="inlineStr">
        <is>
          <t>生成AIシェア会_LT編〜使ってみた・調べてみたをみんなに共有しませんか?〜事務局</t>
        </is>
      </c>
      <c r="I343" s="10" t="n"/>
      <c r="J343" s="10" t="inlineStr">
        <is>
          <t>こくちーずプロ</t>
        </is>
      </c>
      <c r="K343" s="10" t="inlineStr">
        <is>
          <t>オンライン</t>
        </is>
      </c>
      <c r="L343" s="10" t="inlineStr">
        <is>
          <t>オンライン 日本</t>
        </is>
      </c>
      <c r="M343" s="10" t="inlineStr">
        <is>
          <t>生産性向上・業務効率化</t>
        </is>
      </c>
      <c r="N343" s="10" t="inlineStr">
        <is>
          <t>AIエージェント</t>
        </is>
      </c>
      <c r="O343" s="12" t="inlineStr">
        <is>
          <t>○</t>
        </is>
      </c>
      <c r="P343" s="13" t="n">
        <v>1</v>
      </c>
      <c r="Q343" s="12" t="inlineStr">
        <is>
          <t>イベント参加 1/20</t>
        </is>
      </c>
      <c r="R343" s="14" t="n">
        <v>20</v>
      </c>
      <c r="S343" s="10" t="n"/>
      <c r="T343" s="10" t="inlineStr">
        <is>
          <t>このイベントについて ChatGPT、Claude、Gemini、GitHub Copilotなど、生成AIを仕事や開発で活用する機会がどんどん増えています。 一方で、 「他の人は生成AIをどう使っているんだろう？」 「仕事で使ってみた事例を聞いてみたい」 「最近調べたAI技術について誰かと話したい」 「便利だった使い方や、逆にうまくいかなかった話も聞いてみたい」 と思うことはありませんか？ このイベントは、 生成AIについて「使ってみ</t>
        </is>
      </c>
      <c r="U343" s="15" t="inlineStr">
        <is>
          <t>https://www.kokuchpro.com/event/6dc0b2cd4e8e341a978ac2a0490762a1/</t>
        </is>
      </c>
      <c r="V343" s="10" t="n"/>
      <c r="W343" s="10" t="inlineStr">
        <is>
          <t>本文一致</t>
        </is>
      </c>
      <c r="X343" s="10" t="n"/>
    </row>
    <row r="344">
      <c r="A344" s="10" t="n">
        <v>343</v>
      </c>
      <c r="B344" s="11" t="n">
        <v>46261</v>
      </c>
      <c r="C344" s="11" t="n">
        <v>46289</v>
      </c>
      <c r="D344" s="10">
        <f>MONTH(B344)&amp;"月"</f>
        <v/>
      </c>
      <c r="E344" s="12" t="n">
        <v>2</v>
      </c>
      <c r="F344" s="10" t="inlineStr">
        <is>
          <t>08/27、09/24</t>
        </is>
      </c>
      <c r="G344" s="10" t="inlineStr">
        <is>
          <t>1日で追いつく Claude Codeを学ぶ入門講座</t>
        </is>
      </c>
      <c r="H344" s="10" t="inlineStr">
        <is>
          <t>1日で追いつく Claude Codeを学ぶ入門講座事務局</t>
        </is>
      </c>
      <c r="I344" s="10" t="n"/>
      <c r="J344" s="10" t="inlineStr">
        <is>
          <t>こくちーずプロ</t>
        </is>
      </c>
      <c r="K344" s="10" t="inlineStr">
        <is>
          <t>オンライン</t>
        </is>
      </c>
      <c r="L344" s="10" t="inlineStr">
        <is>
          <t>オンライン 日本</t>
        </is>
      </c>
      <c r="M344" s="10" t="inlineStr">
        <is>
          <t>開発生産性</t>
        </is>
      </c>
      <c r="N344" s="10" t="inlineStr">
        <is>
          <t>AIエージェント</t>
        </is>
      </c>
      <c r="O344" s="12" t="inlineStr">
        <is>
          <t>○</t>
        </is>
      </c>
      <c r="P344" s="13" t="n">
        <v>28</v>
      </c>
      <c r="Q344" s="12" t="inlineStr">
        <is>
          <t>イベント参加 11/20</t>
        </is>
      </c>
      <c r="R344" s="14" t="n">
        <v>40</v>
      </c>
      <c r="S344" s="10" t="inlineStr">
        <is>
          <t>全2回の合計</t>
        </is>
      </c>
      <c r="T344" s="10" t="inlineStr">
        <is>
          <t>セミナー概要 生成AIを使って調べる、文章を作成するだけでなく、実際の業務を動かす時代が始まっています。本セミナーでは、AIエージェントの基本からClaude Codeの使い方まで、初心者向けに0から解説します。Web検索による情報収集、Webサイト作成、過去の見積書や品番を参照した帳簿作成、クラウド環境との接続まで、実際の画面を使いながら実演。さらに、Webサイトの自動更新やAIによるお問い合わせ対応など、実務での活用事例もご紹介しま</t>
        </is>
      </c>
      <c r="U344" s="15" t="inlineStr">
        <is>
          <t>https://www.kokuchpro.com/event/a4113cef596f1e0521e48cb15c7fe6aa/</t>
        </is>
      </c>
      <c r="V344" s="10" t="n"/>
      <c r="W344" s="10" t="inlineStr">
        <is>
          <t>タイトル一致</t>
        </is>
      </c>
      <c r="X344" s="10" t="n"/>
    </row>
    <row r="345">
      <c r="A345" s="10" t="n">
        <v>344</v>
      </c>
      <c r="B345" s="11" t="n">
        <v>46261</v>
      </c>
      <c r="C345" s="11" t="n">
        <v>46261</v>
      </c>
      <c r="D345" s="10">
        <f>MONTH(B345)&amp;"月"</f>
        <v/>
      </c>
      <c r="E345" s="12" t="n">
        <v>1</v>
      </c>
      <c r="F345" s="10" t="n"/>
      <c r="G345" s="10" t="inlineStr">
        <is>
          <t>20分）Azure MCP サーバを使ってAzureリソースを自然言語で操作してみる！</t>
        </is>
      </c>
      <c r="H345" s="10" t="inlineStr">
        <is>
          <t>WEST-CLOUD-demo</t>
        </is>
      </c>
      <c r="I345" s="10" t="n"/>
      <c r="J345" s="10" t="inlineStr">
        <is>
          <t>connpass</t>
        </is>
      </c>
      <c r="K345" s="10" t="inlineStr">
        <is>
          <t>会場</t>
        </is>
      </c>
      <c r="L345" s="10" t="inlineStr">
        <is>
          <t>(場所未定)</t>
        </is>
      </c>
      <c r="M345" s="10" t="inlineStr">
        <is>
          <t>技術・AI全般</t>
        </is>
      </c>
      <c r="N345" s="10" t="inlineStr">
        <is>
          <t>MCP</t>
        </is>
      </c>
      <c r="O345" s="12" t="inlineStr">
        <is>
          <t>○</t>
        </is>
      </c>
      <c r="P345" s="13" t="n">
        <v>4</v>
      </c>
      <c r="Q345" s="12" t="inlineStr">
        <is>
          <t>参加者数</t>
        </is>
      </c>
      <c r="R345" s="14" t="n"/>
      <c r="S345" s="10" t="n"/>
      <c r="T345" s="10" t="n"/>
      <c r="U345" s="15" t="inlineStr">
        <is>
          <t>https://mitsurumemo.connpass.com/event/404695/</t>
        </is>
      </c>
      <c r="V345" s="10" t="n"/>
      <c r="W345" s="10" t="inlineStr">
        <is>
          <t>タイトル一致</t>
        </is>
      </c>
      <c r="X345" s="10" t="n"/>
    </row>
    <row r="346">
      <c r="A346" s="10" t="n">
        <v>345</v>
      </c>
      <c r="B346" s="11" t="n">
        <v>46261</v>
      </c>
      <c r="C346" s="11" t="n">
        <v>46261</v>
      </c>
      <c r="D346" s="10">
        <f>MONTH(B346)&amp;"月"</f>
        <v/>
      </c>
      <c r="E346" s="12" t="n">
        <v>1</v>
      </c>
      <c r="F346" s="10" t="n"/>
      <c r="G346" s="10" t="inlineStr">
        <is>
          <t>AIエージェントのためのデータベース設計</t>
        </is>
      </c>
      <c r="H346" s="10" t="inlineStr">
        <is>
          <t>日本データマネジメント・コンソーシアム（JDMC）コミュニティ</t>
        </is>
      </c>
      <c r="I346" s="10" t="n"/>
      <c r="J346" s="10" t="inlineStr">
        <is>
          <t>connpass</t>
        </is>
      </c>
      <c r="K346" s="10" t="inlineStr">
        <is>
          <t>オンライン</t>
        </is>
      </c>
      <c r="L346" s="10" t="inlineStr">
        <is>
          <t>オンライン</t>
        </is>
      </c>
      <c r="M346" s="10" t="inlineStr">
        <is>
          <t>技術・AI全般</t>
        </is>
      </c>
      <c r="N346" s="10" t="inlineStr">
        <is>
          <t>AIエージェント</t>
        </is>
      </c>
      <c r="O346" s="12" t="inlineStr">
        <is>
          <t>○</t>
        </is>
      </c>
      <c r="P346" s="13" t="n">
        <v>294</v>
      </c>
      <c r="Q346" s="12" t="inlineStr">
        <is>
          <t>参加者数</t>
        </is>
      </c>
      <c r="R346" s="14" t="n"/>
      <c r="S346" s="10" t="n"/>
      <c r="T346" s="10" t="n"/>
      <c r="U346" s="15" t="inlineStr">
        <is>
          <t>https://jdmc.connpass.com/event/400197/</t>
        </is>
      </c>
      <c r="V346" s="10" t="n"/>
      <c r="W346" s="10" t="inlineStr">
        <is>
          <t>タイトル一致</t>
        </is>
      </c>
      <c r="X346" s="10" t="n"/>
    </row>
    <row r="347">
      <c r="A347" s="10" t="n">
        <v>346</v>
      </c>
      <c r="B347" s="11" t="n">
        <v>46261</v>
      </c>
      <c r="C347" s="11" t="n">
        <v>46261</v>
      </c>
      <c r="D347" s="10">
        <f>MONTH(B347)&amp;"月"</f>
        <v/>
      </c>
      <c r="E347" s="12" t="n">
        <v>1</v>
      </c>
      <c r="F347" s="10" t="n"/>
      <c r="G347" s="10" t="inlineStr">
        <is>
          <t>AIエージェントの利用実態とリスク、把握できていますか？ 〜端末の設定不備・脆弱性・AIリスクをまとめて評価〜</t>
        </is>
      </c>
      <c r="H347" s="10" t="inlineStr">
        <is>
          <t>TeamT5株式会社</t>
        </is>
      </c>
      <c r="I347" s="10" t="inlineStr">
        <is>
          <t>マジセミ株式会社</t>
        </is>
      </c>
      <c r="J347" s="10" t="inlineStr">
        <is>
          <t>Doorkeeper</t>
        </is>
      </c>
      <c r="K347" s="10" t="inlineStr">
        <is>
          <t>不明</t>
        </is>
      </c>
      <c r="L347" s="10" t="n"/>
      <c r="M347" s="10" t="inlineStr">
        <is>
          <t>営業・マーケ・CS</t>
        </is>
      </c>
      <c r="N347" s="10" t="inlineStr">
        <is>
          <t>AIエージェント</t>
        </is>
      </c>
      <c r="O347" s="12" t="inlineStr">
        <is>
          <t>◎</t>
        </is>
      </c>
      <c r="P347" s="13" t="n">
        <v>0</v>
      </c>
      <c r="Q347" s="12" t="inlineStr">
        <is>
          <t>参加者数</t>
        </is>
      </c>
      <c r="R347" s="14" t="n"/>
      <c r="S347" s="10" t="n"/>
      <c r="T34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AIエージェントの普及で広がるエンドポイントリスク 生成AIの業務活用が進み、ChatGPTやClaudeなどの生成AIサービスに加え、外部ツールやファイル、APIにアクセスして処理を実行するAIエージ</t>
        </is>
      </c>
      <c r="U347" s="15" t="inlineStr">
        <is>
          <t>https://majisemi-technology.doorkeeper.jp/events/198546</t>
        </is>
      </c>
      <c r="V347" s="10" t="n"/>
      <c r="W347" s="10" t="inlineStr">
        <is>
          <t>タイトル一致</t>
        </is>
      </c>
      <c r="X347" s="10" t="n"/>
    </row>
    <row r="348">
      <c r="A348" s="10" t="n">
        <v>347</v>
      </c>
      <c r="B348" s="11" t="n">
        <v>46261</v>
      </c>
      <c r="C348" s="11" t="n">
        <v>46261</v>
      </c>
      <c r="D348" s="10">
        <f>MONTH(B348)&amp;"月"</f>
        <v/>
      </c>
      <c r="E348" s="12" t="n">
        <v>1</v>
      </c>
      <c r="F348" s="10" t="n"/>
      <c r="G348" s="10" t="inlineStr">
        <is>
          <t>CodexとClaude Code、結局何を使えばいい？使い分け完全整理</t>
        </is>
      </c>
      <c r="H348" s="10" t="inlineStr">
        <is>
          <t>Polyscape</t>
        </is>
      </c>
      <c r="I348" s="10" t="n"/>
      <c r="J348" s="10" t="inlineStr">
        <is>
          <t>connpass</t>
        </is>
      </c>
      <c r="K348" s="10" t="inlineStr">
        <is>
          <t>オンライン</t>
        </is>
      </c>
      <c r="L348" s="10" t="inlineStr">
        <is>
          <t>オンライン</t>
        </is>
      </c>
      <c r="M348" s="10" t="inlineStr">
        <is>
          <t>開発生産性</t>
        </is>
      </c>
      <c r="N348" s="10" t="inlineStr">
        <is>
          <t>AIエージェント</t>
        </is>
      </c>
      <c r="O348" s="12" t="inlineStr">
        <is>
          <t>○</t>
        </is>
      </c>
      <c r="P348" s="13" t="n">
        <v>15</v>
      </c>
      <c r="Q348" s="12" t="inlineStr">
        <is>
          <t>参加者数</t>
        </is>
      </c>
      <c r="R348" s="14" t="n"/>
      <c r="S348" s="10" t="n"/>
      <c r="T348" s="10" t="n"/>
      <c r="U348" s="15" t="inlineStr">
        <is>
          <t>https://polyscape.connpass.com/event/402426/</t>
        </is>
      </c>
      <c r="V348" s="10" t="n"/>
      <c r="W348" s="10" t="inlineStr">
        <is>
          <t>タイトル一致</t>
        </is>
      </c>
      <c r="X348" s="10" t="n"/>
    </row>
    <row r="349">
      <c r="A349" s="10" t="n">
        <v>348</v>
      </c>
      <c r="B349" s="11" t="n">
        <v>46261</v>
      </c>
      <c r="C349" s="11" t="n">
        <v>46261</v>
      </c>
      <c r="D349" s="10">
        <f>MONTH(B349)&amp;"月"</f>
        <v/>
      </c>
      <c r="E349" s="12" t="n">
        <v>1</v>
      </c>
      <c r="F349" s="10" t="n"/>
      <c r="G349" s="10" t="inlineStr">
        <is>
          <t>OpenAI Codex - Fast Hacks in Tokyo</t>
        </is>
      </c>
      <c r="H349" s="10" t="inlineStr">
        <is>
          <t>CreatorLabo</t>
        </is>
      </c>
      <c r="I349" s="10" t="n"/>
      <c r="J349" s="10" t="inlineStr">
        <is>
          <t>connpass</t>
        </is>
      </c>
      <c r="K349" s="10" t="inlineStr">
        <is>
          <t>会場</t>
        </is>
      </c>
      <c r="L349" s="10" t="inlineStr">
        <is>
          <t>FinGATE KAYABA 3F 303, １丁目-８-1 日本橋茅場町 中央区 東京都</t>
        </is>
      </c>
      <c r="M349" s="10" t="inlineStr">
        <is>
          <t>開発生産性</t>
        </is>
      </c>
      <c r="N349" s="10" t="inlineStr">
        <is>
          <t>AIエージェント</t>
        </is>
      </c>
      <c r="O349" s="12" t="inlineStr">
        <is>
          <t>○</t>
        </is>
      </c>
      <c r="P349" s="13" t="n">
        <v>6</v>
      </c>
      <c r="Q349" s="12" t="inlineStr">
        <is>
          <t>参加者数</t>
        </is>
      </c>
      <c r="R349" s="14" t="n"/>
      <c r="S349" s="10" t="n"/>
      <c r="T349" s="10" t="n"/>
      <c r="U349" s="15" t="inlineStr">
        <is>
          <t>https://connpass.com/event/402927/</t>
        </is>
      </c>
      <c r="V349" s="10" t="n"/>
      <c r="W349" s="10" t="inlineStr">
        <is>
          <t>タイトル一致</t>
        </is>
      </c>
      <c r="X349" s="10" t="n"/>
    </row>
    <row r="350">
      <c r="A350" s="10" t="n">
        <v>349</v>
      </c>
      <c r="B350" s="11" t="n">
        <v>46261</v>
      </c>
      <c r="C350" s="11" t="n">
        <v>46261</v>
      </c>
      <c r="D350" s="10">
        <f>MONTH(B350)&amp;"月"</f>
        <v/>
      </c>
      <c r="E350" s="12" t="n">
        <v>1</v>
      </c>
      <c r="F350" s="10" t="n"/>
      <c r="G350" s="10" t="inlineStr">
        <is>
          <t>【8/27(木)18:00】AIを自分専属の参謀にする方法 〜プロンプトより大切な“コンテクスト”の作り方〜</t>
        </is>
      </c>
      <c r="H350" s="10" t="inlineStr">
        <is>
          <t>AIビジネスフォーラム事務局</t>
        </is>
      </c>
      <c r="I350" s="10" t="n"/>
      <c r="J350" s="10" t="inlineStr">
        <is>
          <t>こくちーずプロ</t>
        </is>
      </c>
      <c r="K350" s="10" t="inlineStr">
        <is>
          <t>オンライン</t>
        </is>
      </c>
      <c r="L350" s="10" t="inlineStr">
        <is>
          <t>オンライン 日本</t>
        </is>
      </c>
      <c r="M350" s="10" t="inlineStr">
        <is>
          <t>技術・AI全般</t>
        </is>
      </c>
      <c r="N350" s="10" t="inlineStr">
        <is>
          <t>AIエージェント</t>
        </is>
      </c>
      <c r="O350" s="12" t="inlineStr">
        <is>
          <t>△</t>
        </is>
      </c>
      <c r="P350" s="13" t="n">
        <v>0</v>
      </c>
      <c r="Q350" s="12" t="inlineStr">
        <is>
          <t>イベント参加 0/30</t>
        </is>
      </c>
      <c r="R350" s="14" t="n">
        <v>30</v>
      </c>
      <c r="S350" s="10" t="n"/>
      <c r="T350" s="10" t="inlineStr">
        <is>
          <t>AIを自分専属の参謀にする方法 〜プロンプトより大切な“コンテクスト”の作り方〜 以前Obsidianを使ったAIセカンドブレインの基本構造について紹介しました。 今回はその発展版として、単なるメモ管理やAI要約を超えて、自分の背景・仕事・プロジェクト・判断基準を理解してくれる「AI参謀」の構築方法と運営方法を解説します。 多くのAI活用は、プロンプトの書き方やAIモデルの性能に注目しがちです。 しかし本当に重要なのは、AIが「あなたが</t>
        </is>
      </c>
      <c r="U350" s="15" t="inlineStr">
        <is>
          <t>https://www.kokuchpro.com/event/1fee470b2c03f29d184815e54f8a5ba5/</t>
        </is>
      </c>
      <c r="V350" s="10" t="n"/>
      <c r="W350" s="10" t="inlineStr">
        <is>
          <t>本文一致</t>
        </is>
      </c>
      <c r="X350" s="10" t="n"/>
    </row>
    <row r="351">
      <c r="A351" s="10" t="n">
        <v>350</v>
      </c>
      <c r="B351" s="11" t="n">
        <v>46261</v>
      </c>
      <c r="C351" s="11" t="n">
        <v>46261</v>
      </c>
      <c r="D351" s="10">
        <f>MONTH(B351)&amp;"月"</f>
        <v/>
      </c>
      <c r="E351" s="12" t="n">
        <v>1</v>
      </c>
      <c r="F351" s="10" t="n"/>
      <c r="G351" s="10" t="inlineStr">
        <is>
          <t>【トランスコスモスオンラインセミナー】Agentic Commerce 2026「AIが判断を担う時代」のEC事業設計とはを8月27日（木）に開催</t>
        </is>
      </c>
      <c r="H351" s="10" t="inlineStr">
        <is>
          <t>トランスコスモス株式会社</t>
        </is>
      </c>
      <c r="I351" s="10" t="n"/>
      <c r="J351" s="10" t="inlineStr">
        <is>
          <t>PR TIMES</t>
        </is>
      </c>
      <c r="K351" s="10" t="inlineStr">
        <is>
          <t>online</t>
        </is>
      </c>
      <c r="L351" s="10" t="inlineStr">
        <is>
          <t>オンライン開催（ZOOM）</t>
        </is>
      </c>
      <c r="M351" s="10" t="inlineStr">
        <is>
          <t>営業・マーケ・CS</t>
        </is>
      </c>
      <c r="N351" s="10" t="inlineStr">
        <is>
          <t>AIエージェント</t>
        </is>
      </c>
      <c r="O351" s="12" t="inlineStr">
        <is>
          <t>◎</t>
        </is>
      </c>
      <c r="P351" s="13" t="n"/>
      <c r="Q351" s="12" t="inlineStr">
        <is>
          <t>不明</t>
        </is>
      </c>
      <c r="R351" s="14" t="n"/>
      <c r="S351" s="10" t="n"/>
      <c r="T351" s="10" t="inlineStr">
        <is>
          <t>トランスコスモスは、Agentic Commerce 2026「AIが判断を担う時代」のEC事業設計とは～トランスコスモス×Shopifyが実務視点で整理～を8月27日（木）に開催します。 生成AIの進展により、EC領域でも意思決定と実行をAIが担う「Agentic Commerce」への移行が現実的になっています。一方で多くのEC事業者ではAI活用が部分最適に留まり、業務構造やEC基盤の再設計まで踏み込めていません。本セミナーでは、S</t>
        </is>
      </c>
      <c r="U351" s="15" t="inlineStr">
        <is>
          <t>https://prtimes.jp/main/html/rd/p/000002118.000000183.html</t>
        </is>
      </c>
      <c r="V351" s="10" t="n"/>
      <c r="W351" s="10" t="inlineStr">
        <is>
          <t>タイトル一致</t>
        </is>
      </c>
      <c r="X351" s="10" t="n"/>
    </row>
    <row r="352">
      <c r="A352" s="10" t="n">
        <v>351</v>
      </c>
      <c r="B352" s="11" t="n">
        <v>46261</v>
      </c>
      <c r="C352" s="11" t="n">
        <v>46261</v>
      </c>
      <c r="D352" s="10">
        <f>MONTH(B352)&amp;"月"</f>
        <v/>
      </c>
      <c r="E352" s="12" t="n">
        <v>1</v>
      </c>
      <c r="F352" s="10" t="n"/>
      <c r="G352" s="10" t="inlineStr">
        <is>
          <t>メールでOffice資料が届く！Office CLIで自分用AIエージェント開発 #ProtoOut</t>
        </is>
      </c>
      <c r="H352" s="10" t="inlineStr">
        <is>
          <t>プロトアウトスタジオ</t>
        </is>
      </c>
      <c r="I352" s="10" t="n"/>
      <c r="J352" s="10" t="inlineStr">
        <is>
          <t>connpass</t>
        </is>
      </c>
      <c r="K352" s="10" t="inlineStr">
        <is>
          <t>オンライン</t>
        </is>
      </c>
      <c r="L352" s="10" t="inlineStr">
        <is>
          <t>オンライン</t>
        </is>
      </c>
      <c r="M352" s="10" t="inlineStr">
        <is>
          <t>開発生産性</t>
        </is>
      </c>
      <c r="N352" s="10" t="inlineStr">
        <is>
          <t>AIエージェント</t>
        </is>
      </c>
      <c r="O352" s="12" t="inlineStr">
        <is>
          <t>○</t>
        </is>
      </c>
      <c r="P352" s="13" t="n">
        <v>23</v>
      </c>
      <c r="Q352" s="12" t="inlineStr">
        <is>
          <t>参加者数</t>
        </is>
      </c>
      <c r="R352" s="14" t="n">
        <v>30</v>
      </c>
      <c r="S352" s="10" t="n"/>
      <c r="T352" s="10" t="n"/>
      <c r="U352" s="15" t="inlineStr">
        <is>
          <t>https://protoout.connpass.com/event/401712/</t>
        </is>
      </c>
      <c r="V352" s="10" t="n"/>
      <c r="W352" s="10" t="inlineStr">
        <is>
          <t>タイトル一致</t>
        </is>
      </c>
      <c r="X352" s="10" t="n"/>
    </row>
    <row r="353">
      <c r="A353" s="10" t="n">
        <v>352</v>
      </c>
      <c r="B353" s="11" t="n">
        <v>46261</v>
      </c>
      <c r="C353" s="11" t="n">
        <v>46261</v>
      </c>
      <c r="D353" s="10">
        <f>MONTH(B353)&amp;"月"</f>
        <v/>
      </c>
      <c r="E353" s="12" t="n">
        <v>1</v>
      </c>
      <c r="F353" s="10" t="n"/>
      <c r="G353" s="10" t="inlineStr">
        <is>
          <t>現場を動かすAIエージェント〜製造・リテール・モビリティ各業界の実践〜</t>
        </is>
      </c>
      <c r="H353" s="10" t="inlineStr">
        <is>
          <t>KINTOテクノロジーズ株式会社</t>
        </is>
      </c>
      <c r="I353" s="10" t="n"/>
      <c r="J353" s="10" t="inlineStr">
        <is>
          <t>connpass</t>
        </is>
      </c>
      <c r="K353" s="10" t="inlineStr">
        <is>
          <t>会場</t>
        </is>
      </c>
      <c r="L353" s="10" t="inlineStr">
        <is>
          <t>〒810-0021 福岡県福岡市中央区今泉１丁目１９−２２ 西鉄天神クラス 3階</t>
        </is>
      </c>
      <c r="M353" s="10" t="inlineStr">
        <is>
          <t>生産管理・製造・SCM</t>
        </is>
      </c>
      <c r="N353" s="10" t="inlineStr">
        <is>
          <t>AIエージェント</t>
        </is>
      </c>
      <c r="O353" s="12" t="inlineStr">
        <is>
          <t>◎</t>
        </is>
      </c>
      <c r="P353" s="13" t="n">
        <v>62</v>
      </c>
      <c r="Q353" s="12" t="inlineStr">
        <is>
          <t>参加者数</t>
        </is>
      </c>
      <c r="R353" s="14" t="n">
        <v>75</v>
      </c>
      <c r="S353" s="10" t="n"/>
      <c r="T353" s="10" t="n"/>
      <c r="U353" s="15" t="inlineStr">
        <is>
          <t>https://kinto-technologies.connpass.com/event/400133/</t>
        </is>
      </c>
      <c r="V353" s="10" t="n"/>
      <c r="W353" s="10" t="inlineStr">
        <is>
          <t>タイトル一致</t>
        </is>
      </c>
      <c r="X353" s="10" t="n"/>
    </row>
    <row r="354">
      <c r="A354" s="10" t="n">
        <v>353</v>
      </c>
      <c r="B354" s="11" t="n">
        <v>46261</v>
      </c>
      <c r="C354" s="11" t="n">
        <v>46261</v>
      </c>
      <c r="D354" s="10">
        <f>MONTH(B354)&amp;"月"</f>
        <v/>
      </c>
      <c r="E354" s="12" t="n">
        <v>1</v>
      </c>
      <c r="F354" s="10" t="n"/>
      <c r="G354" s="10" t="inlineStr">
        <is>
          <t>生成AIを業務に組み込みたいのに、技術的課題とノウハウ不足で現場利用が進まない ～権限制御を効かせた社内データの横断検索とノーコード自動化をAmazon Quickで実現～</t>
        </is>
      </c>
      <c r="H354" s="10" t="inlineStr">
        <is>
          <t>株式会社アシスト クラウド&amp;データベース技術統括部 クラウド技術部</t>
        </is>
      </c>
      <c r="I354" s="10" t="inlineStr">
        <is>
          <t>マジセミ株式会社</t>
        </is>
      </c>
      <c r="J354" s="10" t="inlineStr">
        <is>
          <t>Doorkeeper</t>
        </is>
      </c>
      <c r="K354" s="10" t="inlineStr">
        <is>
          <t>不明</t>
        </is>
      </c>
      <c r="L354" s="10" t="n"/>
      <c r="M354" s="10" t="inlineStr">
        <is>
          <t>生産性向上・業務効率化</t>
        </is>
      </c>
      <c r="N354" s="10" t="inlineStr">
        <is>
          <t>AIエージェント</t>
        </is>
      </c>
      <c r="O354" s="12" t="inlineStr">
        <is>
          <t>○</t>
        </is>
      </c>
      <c r="P354" s="13" t="n">
        <v>3</v>
      </c>
      <c r="Q354" s="12" t="inlineStr">
        <is>
          <t>参加者数</t>
        </is>
      </c>
      <c r="R354" s="14" t="n">
        <v>3</v>
      </c>
      <c r="S354" s="10" t="n"/>
      <c r="T354"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生成AIの活用は広がる一方、「社内データの横断検索」と「業務の自動化」は思うように進まない 汎用生成AI・AIエージェントの活用は急速に広がり、日常業務に生成AIを取り入れる企業が増えています。しかし、</t>
        </is>
      </c>
      <c r="U354" s="15" t="inlineStr">
        <is>
          <t>https://majisemi-technology.doorkeeper.jp/events/198520</t>
        </is>
      </c>
      <c r="V354" s="10" t="n"/>
      <c r="W354" s="10" t="inlineStr">
        <is>
          <t>本文一致</t>
        </is>
      </c>
      <c r="X354" s="10" t="n"/>
    </row>
    <row r="355">
      <c r="A355" s="10" t="n">
        <v>354</v>
      </c>
      <c r="B355" s="11" t="n">
        <v>46261</v>
      </c>
      <c r="C355" s="11" t="n">
        <v>46261</v>
      </c>
      <c r="D355" s="10">
        <f>MONTH(B355)&amp;"月"</f>
        <v/>
      </c>
      <c r="E355" s="12" t="n">
        <v>1</v>
      </c>
      <c r="F355" s="10" t="n"/>
      <c r="G355" s="10" t="inlineStr">
        <is>
          <t>製造DXセミナー #1「見積支援AIエージェント『匠フォース』」</t>
        </is>
      </c>
      <c r="H355" s="10" t="inlineStr">
        <is>
          <t>茨城県産業技術イノベーションセンター</t>
        </is>
      </c>
      <c r="I355" s="10" t="n"/>
      <c r="J355" s="10" t="inlineStr">
        <is>
          <t>個別調査（公式サイト・PR TIMES等）</t>
        </is>
      </c>
      <c r="K355" s="10" t="inlineStr">
        <is>
          <t>ハイブリッド</t>
        </is>
      </c>
      <c r="L355" s="10" t="n"/>
      <c r="M355" s="10" t="inlineStr">
        <is>
          <t>生産管理・製造・SCM</t>
        </is>
      </c>
      <c r="N355" s="10" t="inlineStr">
        <is>
          <t>AIエージェント</t>
        </is>
      </c>
      <c r="O355" s="12" t="inlineStr">
        <is>
          <t>◎</t>
        </is>
      </c>
      <c r="P355" s="13" t="n">
        <v>80</v>
      </c>
      <c r="Q355" s="12" t="inlineStr">
        <is>
          <t>定員</t>
        </is>
      </c>
      <c r="R355" s="14" t="n">
        <v>80</v>
      </c>
      <c r="S355" s="10" t="inlineStr">
        <is>
          <t>現地30名とオンライン50名の合計</t>
        </is>
      </c>
      <c r="T355" s="10" t="inlineStr">
        <is>
          <t>見積と原価管理を自律的に進める、製造業向けAIエージェントを紹介する。対象は県内の中小製造業。</t>
        </is>
      </c>
      <c r="U355" s="15" t="inlineStr">
        <is>
          <t>https://www.itic.pref.ibaraki.jp/infolist/seminar_training/info-20260731/</t>
        </is>
      </c>
      <c r="V355" s="10" t="n"/>
      <c r="W355" s="10" t="inlineStr">
        <is>
          <t>個別確認</t>
        </is>
      </c>
      <c r="X355" s="10" t="inlineStr">
        <is>
          <t>生産管理（見積・原価）に直結するテーマ</t>
        </is>
      </c>
    </row>
    <row r="356">
      <c r="A356" s="10" t="n">
        <v>355</v>
      </c>
      <c r="B356" s="11" t="n">
        <v>46261</v>
      </c>
      <c r="C356" s="11" t="n">
        <v>46261</v>
      </c>
      <c r="D356" s="10">
        <f>MONTH(B356)&amp;"月"</f>
        <v/>
      </c>
      <c r="E356" s="12" t="n">
        <v>1</v>
      </c>
      <c r="F356" s="10" t="n"/>
      <c r="G356" s="10" t="inlineStr">
        <is>
          <t>電通デジタル CX Shift Session 2026 Vol.2 人と生成AIが共創する次世代CRM・シナリオ設計</t>
        </is>
      </c>
      <c r="H356" s="10" t="inlineStr">
        <is>
          <t>株式会社電通デジタル</t>
        </is>
      </c>
      <c r="I356" s="10" t="n"/>
      <c r="J356" s="10" t="inlineStr">
        <is>
          <t>個別調査（公式サイト・PR TIMES等）</t>
        </is>
      </c>
      <c r="K356" s="10" t="inlineStr">
        <is>
          <t>会場</t>
        </is>
      </c>
      <c r="L356" s="10" t="inlineStr">
        <is>
          <t>電通本社</t>
        </is>
      </c>
      <c r="M356" s="10" t="inlineStr">
        <is>
          <t>営業・マーケ・CS</t>
        </is>
      </c>
      <c r="N356" s="10" t="inlineStr">
        <is>
          <t>AIエージェント</t>
        </is>
      </c>
      <c r="O356" s="12" t="inlineStr">
        <is>
          <t>◎</t>
        </is>
      </c>
      <c r="P356" s="13" t="n">
        <v>40</v>
      </c>
      <c r="Q356" s="12" t="inlineStr">
        <is>
          <t>定員</t>
        </is>
      </c>
      <c r="R356" s="14" t="n">
        <v>40</v>
      </c>
      <c r="S356" s="10" t="inlineStr">
        <is>
          <t>申込多数のため受付終了</t>
        </is>
      </c>
      <c r="T356" s="10" t="inlineStr">
        <is>
          <t>CDP上に作ったAIエージェントを使い、CRM施策のシナリオ設計から実行・運用までを実演し、参加者も体験する。</t>
        </is>
      </c>
      <c r="U356" s="15" t="inlineStr">
        <is>
          <t>https://pages2.dentsudigital.co.jp/seminar/20260827/</t>
        </is>
      </c>
      <c r="V356" s="10" t="n"/>
      <c r="W356" s="10" t="inlineStr">
        <is>
          <t>個別確認</t>
        </is>
      </c>
      <c r="X356" s="10" t="n"/>
    </row>
    <row r="357">
      <c r="A357" s="10" t="n">
        <v>356</v>
      </c>
      <c r="B357" s="11" t="n">
        <v>46262</v>
      </c>
      <c r="C357" s="11" t="n">
        <v>46262</v>
      </c>
      <c r="D357" s="10">
        <f>MONTH(B357)&amp;"月"</f>
        <v/>
      </c>
      <c r="E357" s="12" t="n">
        <v>1</v>
      </c>
      <c r="F357" s="10" t="n"/>
      <c r="G357" s="10" t="inlineStr">
        <is>
          <t>AIエージェント実践活用LT会～現場のエンジニアはこう使う～（Claude Code/Codex）</t>
        </is>
      </c>
      <c r="H357" s="10" t="inlineStr">
        <is>
          <t>SREホールディングス</t>
        </is>
      </c>
      <c r="I357" s="10" t="n"/>
      <c r="J357" s="10" t="inlineStr">
        <is>
          <t>connpass</t>
        </is>
      </c>
      <c r="K357" s="10" t="inlineStr">
        <is>
          <t>会場</t>
        </is>
      </c>
      <c r="L357" s="10" t="inlineStr">
        <is>
          <t>東京都港区赤坂1-8-1 赤坂インターシティAIR 14階</t>
        </is>
      </c>
      <c r="M357" s="10" t="inlineStr">
        <is>
          <t>開発生産性</t>
        </is>
      </c>
      <c r="N357" s="10" t="inlineStr">
        <is>
          <t>AIエージェント</t>
        </is>
      </c>
      <c r="O357" s="12" t="inlineStr">
        <is>
          <t>○</t>
        </is>
      </c>
      <c r="P357" s="13" t="n">
        <v>76</v>
      </c>
      <c r="Q357" s="12" t="inlineStr">
        <is>
          <t>参加者数</t>
        </is>
      </c>
      <c r="R357" s="14" t="n"/>
      <c r="S357" s="10" t="n"/>
      <c r="T357" s="10" t="n"/>
      <c r="U357" s="15" t="inlineStr">
        <is>
          <t>https://sre-holdings.connpass.com/event/401894/</t>
        </is>
      </c>
      <c r="V357" s="10" t="n"/>
      <c r="W357" s="10" t="inlineStr">
        <is>
          <t>タイトル一致</t>
        </is>
      </c>
      <c r="X357" s="10" t="n"/>
    </row>
    <row r="358">
      <c r="A358" s="10" t="n">
        <v>357</v>
      </c>
      <c r="B358" s="11" t="n">
        <v>46262</v>
      </c>
      <c r="C358" s="11" t="n">
        <v>46262</v>
      </c>
      <c r="D358" s="10">
        <f>MONTH(B358)&amp;"月"</f>
        <v/>
      </c>
      <c r="E358" s="12" t="n">
        <v>1</v>
      </c>
      <c r="F358" s="10" t="n"/>
      <c r="G358" s="10" t="inlineStr">
        <is>
          <t>AIエージェント時代「会社はどう変わるのか?」経営者が最初に考えるべきこと</t>
        </is>
      </c>
      <c r="H358" s="10" t="inlineStr">
        <is>
          <t>Equi 井上 比奈</t>
        </is>
      </c>
      <c r="I358" s="10" t="n"/>
      <c r="J358" s="10" t="inlineStr">
        <is>
          <t>こくちーずプロ</t>
        </is>
      </c>
      <c r="K358" s="10" t="inlineStr">
        <is>
          <t>オフライン（会場）</t>
        </is>
      </c>
      <c r="L358" s="10" t="inlineStr">
        <is>
          <t>オープンイノベーション拠点ARKade 兵庫県尼崎市神田中通2丁目27番地</t>
        </is>
      </c>
      <c r="M358" s="10" t="inlineStr">
        <is>
          <t>生産性向上・業務効率化</t>
        </is>
      </c>
      <c r="N358" s="10" t="inlineStr">
        <is>
          <t>AIエージェント</t>
        </is>
      </c>
      <c r="O358" s="12" t="inlineStr">
        <is>
          <t>◎</t>
        </is>
      </c>
      <c r="P358" s="13" t="n"/>
      <c r="Q358" s="12" t="inlineStr">
        <is>
          <t>不明</t>
        </is>
      </c>
      <c r="R358" s="14" t="n"/>
      <c r="S358" s="10" t="n"/>
      <c r="T358" s="10" t="inlineStr">
        <is>
          <t>AIが作業、人が判断する新しい働き方 「AIを使えば業務が効率化し、生産性が向上する」——そう信じてAIツールを導入したものの、個人の利用にとどまり組織的な成果に繋がっていない中小企業は少なくありません。 AIエージェントの登場により、AIは単なる質問ツールから「仕事を任せる存在」へと進化していますが、計画なしに導入を進めることは不要なコストや失敗のリスクを伴います。 本セミナーは、ツールの操作方法を学ぶ講座ではありません。 AIエージ</t>
        </is>
      </c>
      <c r="U358" s="15" t="inlineStr">
        <is>
          <t>https://www.kokuchpro.com/event/aiagent0828/</t>
        </is>
      </c>
      <c r="V358" s="10" t="n"/>
      <c r="W358" s="10" t="inlineStr">
        <is>
          <t>タイトル一致</t>
        </is>
      </c>
      <c r="X358" s="10" t="n"/>
    </row>
    <row r="359">
      <c r="A359" s="10" t="n">
        <v>358</v>
      </c>
      <c r="B359" s="11" t="n">
        <v>46262</v>
      </c>
      <c r="C359" s="11" t="n">
        <v>46262</v>
      </c>
      <c r="D359" s="10">
        <f>MONTH(B359)&amp;"月"</f>
        <v/>
      </c>
      <c r="E359" s="12" t="n">
        <v>1</v>
      </c>
      <c r="F359" s="10" t="n"/>
      <c r="G359" s="10" t="inlineStr">
        <is>
          <t>ChatGPT×Claude Code バイブコーディング交流会 〜実務で使えるAI開発〜</t>
        </is>
      </c>
      <c r="H359" s="10" t="inlineStr">
        <is>
          <t>AI ハックラボ</t>
        </is>
      </c>
      <c r="I359" s="10" t="n"/>
      <c r="J359" s="10" t="inlineStr">
        <is>
          <t>connpass</t>
        </is>
      </c>
      <c r="K359" s="10" t="inlineStr">
        <is>
          <t>会場</t>
        </is>
      </c>
      <c r="L359" s="10" t="inlineStr">
        <is>
          <t>大阪府大阪市北区芝田2丁目621PMO梅田4F</t>
        </is>
      </c>
      <c r="M359" s="10" t="inlineStr">
        <is>
          <t>開発生産性</t>
        </is>
      </c>
      <c r="N359" s="10" t="inlineStr">
        <is>
          <t>AIエージェント</t>
        </is>
      </c>
      <c r="O359" s="12" t="inlineStr">
        <is>
          <t>○</t>
        </is>
      </c>
      <c r="P359" s="13" t="n">
        <v>19</v>
      </c>
      <c r="Q359" s="12" t="inlineStr">
        <is>
          <t>参加者数</t>
        </is>
      </c>
      <c r="R359" s="14" t="n">
        <v>25</v>
      </c>
      <c r="S359" s="10" t="n"/>
      <c r="T359" s="10" t="n"/>
      <c r="U359" s="15" t="inlineStr">
        <is>
          <t>https://aihacklabo.connpass.com/event/402216/</t>
        </is>
      </c>
      <c r="V359" s="10" t="n"/>
      <c r="W359" s="10" t="inlineStr">
        <is>
          <t>タイトル一致</t>
        </is>
      </c>
      <c r="X359" s="10" t="n"/>
    </row>
    <row r="360">
      <c r="A360" s="10" t="n">
        <v>359</v>
      </c>
      <c r="B360" s="11" t="n">
        <v>46262</v>
      </c>
      <c r="C360" s="11" t="n">
        <v>46262</v>
      </c>
      <c r="D360" s="10">
        <f>MONTH(B360)&amp;"月"</f>
        <v/>
      </c>
      <c r="E360" s="12" t="n">
        <v>1</v>
      </c>
      <c r="F360" s="10" t="n"/>
      <c r="G360" s="10" t="inlineStr">
        <is>
          <t>Claude Code Meetup Japan #7（Claude Code祭り!）</t>
        </is>
      </c>
      <c r="H360" s="10" t="inlineStr">
        <is>
          <t>AI駆動開発勉強会</t>
        </is>
      </c>
      <c r="I360" s="10" t="n"/>
      <c r="J360" s="10" t="inlineStr">
        <is>
          <t>個別調査（公式サイト・PR TIMES等）</t>
        </is>
      </c>
      <c r="K360" s="10" t="inlineStr">
        <is>
          <t>ハイブリッド</t>
        </is>
      </c>
      <c r="L360" s="10" t="inlineStr">
        <is>
          <t>麻布台ヒルズ森JPタワー48F（SHIFT本社）</t>
        </is>
      </c>
      <c r="M360" s="10" t="inlineStr">
        <is>
          <t>開発生産性</t>
        </is>
      </c>
      <c r="N360" s="10" t="inlineStr">
        <is>
          <t>AIエージェント</t>
        </is>
      </c>
      <c r="O360" s="12" t="inlineStr">
        <is>
          <t>○</t>
        </is>
      </c>
      <c r="P360" s="13" t="n">
        <v>1190</v>
      </c>
      <c r="Q360" s="12" t="inlineStr">
        <is>
          <t>参加者数</t>
        </is>
      </c>
      <c r="R360" s="14" t="n"/>
      <c r="S360" s="10" t="inlineStr">
        <is>
          <t>現地191名（定員250名）とリモート999名（定員1,000名）の合計。connpassの表示</t>
        </is>
      </c>
      <c r="T360" s="10" t="inlineStr">
        <is>
          <t>自律型エージェントによるAI駆動開発がテーマ。「開発以外の業務も爆速化」など、非開発業務での活用も扱った。</t>
        </is>
      </c>
      <c r="U360" s="15" t="inlineStr">
        <is>
          <t>https://aid.connpass.com/event/402949/</t>
        </is>
      </c>
      <c r="V360" s="10" t="n"/>
      <c r="W360" s="10" t="inlineStr">
        <is>
          <t>個別確認</t>
        </is>
      </c>
      <c r="X360" s="10" t="n"/>
    </row>
    <row r="361">
      <c r="A361" s="10" t="n">
        <v>360</v>
      </c>
      <c r="B361" s="11" t="n">
        <v>46262</v>
      </c>
      <c r="C361" s="11" t="n">
        <v>46280</v>
      </c>
      <c r="D361" s="10">
        <f>MONTH(B361)&amp;"月"</f>
        <v/>
      </c>
      <c r="E361" s="12" t="n">
        <v>1</v>
      </c>
      <c r="F361" s="10" t="n"/>
      <c r="G361" s="10" t="inlineStr">
        <is>
          <t>freee Advisor Day 2026「その業務、AIに預けて。その思考、もっと自由に。」</t>
        </is>
      </c>
      <c r="H361" s="10" t="inlineStr">
        <is>
          <t>freee株式会社</t>
        </is>
      </c>
      <c r="I361" s="10" t="inlineStr">
        <is>
          <t>Anthropic Japanが登壇</t>
        </is>
      </c>
      <c r="J361" s="10" t="inlineStr">
        <is>
          <t>個別調査（公式サイト・PR TIMES等）</t>
        </is>
      </c>
      <c r="K361" s="10" t="inlineStr">
        <is>
          <t>会場</t>
        </is>
      </c>
      <c r="L361" s="10" t="inlineStr">
        <is>
          <t>福岡国際会議場（8/28）、うめきたSOUTHホール（9/3）、高輪ゲートウェイコンベンションセンター（9/15）</t>
        </is>
      </c>
      <c r="M361" s="10" t="inlineStr">
        <is>
          <t>生産性向上・業務効率化</t>
        </is>
      </c>
      <c r="N361" s="10" t="inlineStr">
        <is>
          <t>両方（要確認）</t>
        </is>
      </c>
      <c r="O361" s="12" t="inlineStr">
        <is>
          <t>◎</t>
        </is>
      </c>
      <c r="P361" s="13" t="n"/>
      <c r="Q361" s="12" t="inlineStr">
        <is>
          <t>不明</t>
        </is>
      </c>
      <c r="R361" s="14" t="n"/>
      <c r="S361" s="10" t="inlineStr">
        <is>
          <t>今年の数値は未公表。前年は3都市合計で約2,000名が参加（公式LPの記載）</t>
        </is>
      </c>
      <c r="T361" s="10" t="inlineStr">
        <is>
          <t>会計事務所のAI活用がテーマ。士業向けのAIエージェント開発基盤「freee Agent Hub」を体験できる。</t>
        </is>
      </c>
      <c r="U361" s="15" t="inlineStr">
        <is>
          <t>https://www.freee.co.jp/lp2/freee-advisor-day/</t>
        </is>
      </c>
      <c r="V361" s="15" t="inlineStr">
        <is>
          <t>https://corp.freee.co.jp/news/20260807freee_AIagent&amp;fAH.html</t>
        </is>
      </c>
      <c r="W361" s="10" t="inlineStr">
        <is>
          <t>個別確認</t>
        </is>
      </c>
      <c r="X361" s="10" t="inlineStr">
        <is>
          <t>MCPを扱ったかどうかは関連リリースからの推測</t>
        </is>
      </c>
    </row>
    <row r="362">
      <c r="A362" s="10" t="n">
        <v>361</v>
      </c>
      <c r="B362" s="11" t="n">
        <v>46262</v>
      </c>
      <c r="C362" s="11" t="n">
        <v>46262</v>
      </c>
      <c r="D362" s="10">
        <f>MONTH(B362)&amp;"月"</f>
        <v/>
      </c>
      <c r="E362" s="12" t="n">
        <v>1</v>
      </c>
      <c r="F362" s="10" t="n"/>
      <c r="G362" s="10" t="inlineStr">
        <is>
          <t>【8/28】第13回Roblox×AIで、自分だけの ゲームを作ろう！ 最寄駅：南与野駅・与野本町駅</t>
        </is>
      </c>
      <c r="H362" s="10" t="inlineStr">
        <is>
          <t>gameschool</t>
        </is>
      </c>
      <c r="I362" s="10" t="n"/>
      <c r="J362" s="10" t="inlineStr">
        <is>
          <t>Doorkeeper</t>
        </is>
      </c>
      <c r="K362" s="10" t="inlineStr">
        <is>
          <t>会場</t>
        </is>
      </c>
      <c r="L362" s="10" t="inlineStr">
        <is>
          <t>路地裏GarageMarket 〒338-0013 埼玉県さいたま市中央区鈴谷７丁目７−３</t>
        </is>
      </c>
      <c r="M362" s="10" t="inlineStr">
        <is>
          <t>生産管理・製造・SCM</t>
        </is>
      </c>
      <c r="N362" s="10" t="inlineStr">
        <is>
          <t>AIエージェント</t>
        </is>
      </c>
      <c r="O362" s="12" t="inlineStr">
        <is>
          <t>○</t>
        </is>
      </c>
      <c r="P362" s="13" t="n">
        <v>3</v>
      </c>
      <c r="Q362" s="12" t="inlineStr">
        <is>
          <t>参加者数</t>
        </is>
      </c>
      <c r="R362" s="14" t="n">
        <v>7</v>
      </c>
      <c r="S362" s="10" t="n"/>
      <c r="T362" s="10" t="inlineStr">
        <is>
          <t xml:space="preserve"> こども向けゲームクリエイター体験会 🎮 ゲームクリエイターと一緒に、自分だけのゲームを作ろう 「遊ぶだけ」から「作る喜び」へ。 この体験会では、ゲーム業界歴20年以上のプロクリエイターと一緒に、企画から完成まで「自分のゲーム」を作ります。 これからの時代は、ただ遊ぶだけでなく「自分で作って届ける力」が大きな武器になります。 📊 安心してご参加いただけます ゲーム制作20年以上 のプロが指導 参加した 3人に1人 がリピート 9割 が「</t>
        </is>
      </c>
      <c r="U362" s="15" t="inlineStr">
        <is>
          <t>https://gameschool.doorkeeper.jp/events/198459</t>
        </is>
      </c>
      <c r="V362" s="10" t="n"/>
      <c r="W362" s="10" t="inlineStr">
        <is>
          <t>本文一致</t>
        </is>
      </c>
      <c r="X362" s="10" t="n"/>
    </row>
    <row r="363">
      <c r="A363" s="10" t="n">
        <v>362</v>
      </c>
      <c r="B363" s="11" t="n">
        <v>46262</v>
      </c>
      <c r="C363" s="11" t="n">
        <v>46262</v>
      </c>
      <c r="D363" s="10">
        <f>MONTH(B363)&amp;"月"</f>
        <v/>
      </c>
      <c r="E363" s="12" t="n">
        <v>1</v>
      </c>
      <c r="F363" s="10" t="n"/>
      <c r="G363" s="10" t="inlineStr">
        <is>
          <t>【8/28開催ウェビナー】現場改革＆DX推進ウェビナー！AI導入を全社DXにつなげるには？品質不具合の未然防止から全社変革事例まで、成果につながる最新AI活用術</t>
        </is>
      </c>
      <c r="H363" s="10" t="inlineStr">
        <is>
          <t>（記載なし）</t>
        </is>
      </c>
      <c r="I363" s="10" t="n"/>
      <c r="J363" s="10" t="inlineStr">
        <is>
          <t>AIsmiley</t>
        </is>
      </c>
      <c r="K363" s="10" t="inlineStr">
        <is>
          <t>ウェビナー</t>
        </is>
      </c>
      <c r="L363" s="10" t="inlineStr">
        <is>
          <t>オンライン</t>
        </is>
      </c>
      <c r="M363" s="10" t="inlineStr">
        <is>
          <t>生産性向上・業務効率化</t>
        </is>
      </c>
      <c r="N363" s="10" t="inlineStr">
        <is>
          <t>AIエージェント</t>
        </is>
      </c>
      <c r="O363" s="12" t="inlineStr">
        <is>
          <t>○</t>
        </is>
      </c>
      <c r="P363" s="13" t="n"/>
      <c r="Q363" s="12" t="inlineStr">
        <is>
          <t>不明</t>
        </is>
      </c>
      <c r="R363" s="14" t="n"/>
      <c r="S363" s="10" t="n"/>
      <c r="T363" s="10" t="inlineStr">
        <is>
          <t xml:space="preserve"> 【8/28開催】 【製造業向け】現場改革＆DX推進ウェビナー！ AI導入を全社DXにつなげるには？ 品質不具合の未然防止から全社変革事例まで、成果につながる最新AI活用術 こんな方にお勧めのウェビナーです！ ・製造業における最新のAI活用事例や実践ノウハウを知りたい方 ・単なる一部の業務改善から全社変革へ繋げたいDX推進・現場担当者様 ・AI・データ活用を進めたいが、現場への定着や成果に悩みがある方 ・設計・品質保証部門で、DR/FM</t>
        </is>
      </c>
      <c r="U363" s="15" t="inlineStr">
        <is>
          <t>https://aismiley.co.jp/webinar/20260828webinar/</t>
        </is>
      </c>
      <c r="V363" s="10" t="n"/>
      <c r="W363" s="10" t="inlineStr">
        <is>
          <t>本文一致</t>
        </is>
      </c>
      <c r="X363" s="10" t="n"/>
    </row>
    <row r="364">
      <c r="A364" s="10" t="n">
        <v>363</v>
      </c>
      <c r="B364" s="11" t="n">
        <v>46262</v>
      </c>
      <c r="C364" s="11" t="n">
        <v>46262</v>
      </c>
      <c r="D364" s="10">
        <f>MONTH(B364)&amp;"月"</f>
        <v/>
      </c>
      <c r="E364" s="12" t="n">
        <v>1</v>
      </c>
      <c r="F364" s="10" t="n"/>
      <c r="G364" s="10" t="inlineStr">
        <is>
          <t>【生成AIでコードは書けるのに】なぜ社内の業務アプリ開発は進まないのか？ ～コード生成だけでは足りない、社内システムとの接続から実行・運用までをRetoolで実現～</t>
        </is>
      </c>
      <c r="H364" s="10" t="inlineStr">
        <is>
          <t>株式会社GxP</t>
        </is>
      </c>
      <c r="I364" s="10" t="inlineStr">
        <is>
          <t>マジセミ株式会社</t>
        </is>
      </c>
      <c r="J364" s="10" t="inlineStr">
        <is>
          <t>Doorkeeper</t>
        </is>
      </c>
      <c r="K364" s="10" t="inlineStr">
        <is>
          <t>不明</t>
        </is>
      </c>
      <c r="L364" s="10" t="n"/>
      <c r="M364" s="10" t="inlineStr">
        <is>
          <t>生産性向上・業務効率化</t>
        </is>
      </c>
      <c r="N364" s="10" t="inlineStr">
        <is>
          <t>AIエージェント</t>
        </is>
      </c>
      <c r="O364" s="12" t="inlineStr">
        <is>
          <t>○</t>
        </is>
      </c>
      <c r="P364" s="13" t="n">
        <v>1</v>
      </c>
      <c r="Q364" s="12" t="inlineStr">
        <is>
          <t>参加者数</t>
        </is>
      </c>
      <c r="R364" s="14" t="n">
        <v>1</v>
      </c>
      <c r="S364" s="10" t="n"/>
      <c r="T364"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生成AIの進化で、業務アプリ開発への期待が高まっている 生成AIの進化により、自然言語で指示するだけで、アプリケーションの画面やコードを短時間で生成できるようになりました。 これまで開発部門や外部ベンダ</t>
        </is>
      </c>
      <c r="U364" s="15" t="inlineStr">
        <is>
          <t>https://majisemi-dev.doorkeeper.jp/events/198507</t>
        </is>
      </c>
      <c r="V364" s="10" t="n"/>
      <c r="W364" s="10" t="inlineStr">
        <is>
          <t>本文一致</t>
        </is>
      </c>
      <c r="X364" s="10" t="n"/>
    </row>
    <row r="365">
      <c r="A365" s="10" t="n">
        <v>364</v>
      </c>
      <c r="B365" s="11" t="n">
        <v>46262</v>
      </c>
      <c r="C365" s="11" t="n">
        <v>46262</v>
      </c>
      <c r="D365" s="10">
        <f>MONTH(B365)&amp;"月"</f>
        <v/>
      </c>
      <c r="E365" s="12" t="n">
        <v>1</v>
      </c>
      <c r="F365" s="10" t="n"/>
      <c r="G365" s="10" t="inlineStr">
        <is>
          <t>【製造業向け】現場改革＆DX推進ウェビナー！AI導入を全社DXにつなげるには？</t>
        </is>
      </c>
      <c r="H365" s="10" t="inlineStr">
        <is>
          <t>株式会社アイスマイリー</t>
        </is>
      </c>
      <c r="I365" s="10" t="n"/>
      <c r="J365" s="10" t="inlineStr">
        <is>
          <t>個別調査（公式サイト・PR TIMES等）</t>
        </is>
      </c>
      <c r="K365" s="10" t="inlineStr">
        <is>
          <t>オンライン</t>
        </is>
      </c>
      <c r="L365" s="10" t="n"/>
      <c r="M365" s="10" t="inlineStr">
        <is>
          <t>生産管理・製造・SCM</t>
        </is>
      </c>
      <c r="N365" s="10" t="inlineStr">
        <is>
          <t>AIエージェント（扱いは小さい）</t>
        </is>
      </c>
      <c r="O365" s="12" t="inlineStr">
        <is>
          <t>◎</t>
        </is>
      </c>
      <c r="P365" s="13" t="n"/>
      <c r="Q365" s="12" t="inlineStr">
        <is>
          <t>不明</t>
        </is>
      </c>
      <c r="R365" s="14" t="n"/>
      <c r="S365" s="10" t="n"/>
      <c r="T365" s="10" t="inlineStr">
        <is>
          <t>トラブルデータのAI活用、品質の作り込み、全社DXの進め方を紹介する。</t>
        </is>
      </c>
      <c r="U365" s="15" t="inlineStr">
        <is>
          <t>https://aismiley.co.jp/ai_news/20260828webinar/</t>
        </is>
      </c>
      <c r="V365" s="10" t="n"/>
      <c r="W365" s="10" t="inlineStr">
        <is>
          <t>個別確認</t>
        </is>
      </c>
      <c r="X365" s="10" t="inlineStr">
        <is>
          <t>AIエージェントはテーマの中心ではない</t>
        </is>
      </c>
    </row>
    <row r="366">
      <c r="A366" s="10" t="n">
        <v>365</v>
      </c>
      <c r="B366" s="11" t="n">
        <v>46262</v>
      </c>
      <c r="C366" s="11" t="n">
        <v>46262</v>
      </c>
      <c r="D366" s="10">
        <f>MONTH(B366)&amp;"月"</f>
        <v/>
      </c>
      <c r="E366" s="12" t="n">
        <v>1</v>
      </c>
      <c r="F366" s="10" t="n"/>
      <c r="G366" s="10" t="inlineStr">
        <is>
          <t>【開催中止】ClaudeCode業務自動化ワークショップ</t>
        </is>
      </c>
      <c r="H366" s="10" t="inlineStr">
        <is>
          <t>smile_up0806</t>
        </is>
      </c>
      <c r="I366" s="10" t="n"/>
      <c r="J366" s="10" t="inlineStr">
        <is>
          <t>connpass</t>
        </is>
      </c>
      <c r="K366" s="10" t="inlineStr">
        <is>
          <t>会場</t>
        </is>
      </c>
      <c r="L366" s="10" t="inlineStr">
        <is>
          <t>(場所未定)</t>
        </is>
      </c>
      <c r="M366" s="10" t="inlineStr">
        <is>
          <t>営業・マーケ・CS</t>
        </is>
      </c>
      <c r="N366" s="10" t="inlineStr">
        <is>
          <t>AIエージェント</t>
        </is>
      </c>
      <c r="O366" s="12" t="inlineStr">
        <is>
          <t>◎</t>
        </is>
      </c>
      <c r="P366" s="13" t="n">
        <v>4</v>
      </c>
      <c r="Q366" s="12" t="inlineStr">
        <is>
          <t>参加者数</t>
        </is>
      </c>
      <c r="R366" s="14" t="n">
        <v>10</v>
      </c>
      <c r="S366" s="10" t="n"/>
      <c r="T366" s="10" t="n"/>
      <c r="U366" s="15" t="inlineStr">
        <is>
          <t>https://connpass.com/event/404208/</t>
        </is>
      </c>
      <c r="V366" s="10" t="n"/>
      <c r="W366" s="10" t="inlineStr">
        <is>
          <t>タイトル一致</t>
        </is>
      </c>
      <c r="X366" s="10" t="n"/>
    </row>
    <row r="367">
      <c r="A367" s="10" t="n">
        <v>366</v>
      </c>
      <c r="B367" s="11" t="n">
        <v>46262</v>
      </c>
      <c r="C367" s="11" t="n">
        <v>46262</v>
      </c>
      <c r="D367" s="10">
        <f>MONTH(B367)&amp;"月"</f>
        <v/>
      </c>
      <c r="E367" s="12" t="n">
        <v>1</v>
      </c>
      <c r="F367" s="10" t="n"/>
      <c r="G367" s="10" t="inlineStr">
        <is>
          <t>コーディングエージェントを使った最新の開発技法</t>
        </is>
      </c>
      <c r="H367" s="10" t="inlineStr">
        <is>
          <t>アポロ株式会社</t>
        </is>
      </c>
      <c r="I367" s="10" t="n"/>
      <c r="J367" s="10" t="inlineStr">
        <is>
          <t>connpass</t>
        </is>
      </c>
      <c r="K367" s="10" t="inlineStr">
        <is>
          <t>オンライン</t>
        </is>
      </c>
      <c r="L367" s="10" t="inlineStr">
        <is>
          <t>オンライン</t>
        </is>
      </c>
      <c r="M367" s="10" t="inlineStr">
        <is>
          <t>開発生産性</t>
        </is>
      </c>
      <c r="N367" s="10" t="inlineStr">
        <is>
          <t>AIエージェント</t>
        </is>
      </c>
      <c r="O367" s="12" t="inlineStr">
        <is>
          <t>○</t>
        </is>
      </c>
      <c r="P367" s="13" t="n">
        <v>0</v>
      </c>
      <c r="Q367" s="12" t="inlineStr">
        <is>
          <t>参加者数</t>
        </is>
      </c>
      <c r="R367" s="14" t="n">
        <v>100</v>
      </c>
      <c r="S367" s="10" t="n"/>
      <c r="T367" s="10" t="n"/>
      <c r="U367" s="15" t="inlineStr">
        <is>
          <t>https://apol2020.connpass.com/event/403011/</t>
        </is>
      </c>
      <c r="V367" s="10" t="n"/>
      <c r="W367" s="10" t="inlineStr">
        <is>
          <t>タイトル一致</t>
        </is>
      </c>
      <c r="X367" s="10" t="n"/>
    </row>
    <row r="368">
      <c r="A368" s="10" t="n">
        <v>367</v>
      </c>
      <c r="B368" s="11" t="n">
        <v>46262</v>
      </c>
      <c r="C368" s="11" t="n">
        <v>46262</v>
      </c>
      <c r="D368" s="10">
        <f>MONTH(B368)&amp;"月"</f>
        <v/>
      </c>
      <c r="E368" s="12" t="n">
        <v>1</v>
      </c>
      <c r="F368" s="10" t="n"/>
      <c r="G368" s="10" t="inlineStr">
        <is>
          <t>初めてのAI エージェント体験会 (オンライン) - GDGoC 東京都立大 [無料]</t>
        </is>
      </c>
      <c r="H368" s="10" t="inlineStr">
        <is>
          <t>Google DGoC (GDSC) Tokyo Metropolitan University</t>
        </is>
      </c>
      <c r="I368" s="10" t="n"/>
      <c r="J368" s="10" t="inlineStr">
        <is>
          <t>connpass</t>
        </is>
      </c>
      <c r="K368" s="10" t="inlineStr">
        <is>
          <t>オンライン</t>
        </is>
      </c>
      <c r="L368" s="10" t="inlineStr">
        <is>
          <t>(場所未定)</t>
        </is>
      </c>
      <c r="M368" s="10" t="inlineStr">
        <is>
          <t>技術・AI全般</t>
        </is>
      </c>
      <c r="N368" s="10" t="inlineStr">
        <is>
          <t>AIエージェント</t>
        </is>
      </c>
      <c r="O368" s="12" t="inlineStr">
        <is>
          <t>○</t>
        </is>
      </c>
      <c r="P368" s="13" t="n">
        <v>15</v>
      </c>
      <c r="Q368" s="12" t="inlineStr">
        <is>
          <t>参加者数</t>
        </is>
      </c>
      <c r="R368" s="14" t="n">
        <v>100</v>
      </c>
      <c r="S368" s="10" t="n"/>
      <c r="T368" s="10" t="n"/>
      <c r="U368" s="15" t="inlineStr">
        <is>
          <t>https://gdsc-tmu.connpass.com/event/401139/</t>
        </is>
      </c>
      <c r="V368" s="10" t="n"/>
      <c r="W368" s="10" t="inlineStr">
        <is>
          <t>タイトル一致</t>
        </is>
      </c>
      <c r="X368" s="10" t="n"/>
    </row>
    <row r="369">
      <c r="A369" s="10" t="n">
        <v>368</v>
      </c>
      <c r="B369" s="11" t="n">
        <v>46262</v>
      </c>
      <c r="C369" s="11" t="n">
        <v>46262</v>
      </c>
      <c r="D369" s="10">
        <f>MONTH(B369)&amp;"月"</f>
        <v/>
      </c>
      <c r="E369" s="12" t="n">
        <v>1</v>
      </c>
      <c r="F369" s="10" t="n"/>
      <c r="G369" s="10" t="inlineStr">
        <is>
          <t>特許検索競技大会三分野ゴールド制覇賞受賞者が教える！生成AI×MCPサーバーによる「特許調査」「明細書作成」実践演習セミナーを東京で開催（8月28日・9月3日）</t>
        </is>
      </c>
      <c r="H369" s="10" t="inlineStr">
        <is>
          <t>株式会社AI Samurai</t>
        </is>
      </c>
      <c r="I369" s="10" t="n"/>
      <c r="J369" s="10" t="inlineStr">
        <is>
          <t>PR TIMES</t>
        </is>
      </c>
      <c r="K369" s="10" t="inlineStr">
        <is>
          <t>offline</t>
        </is>
      </c>
      <c r="L369" s="10" t="inlineStr">
        <is>
          <t>大手町ビル4階 FINOLABイベントスペース</t>
        </is>
      </c>
      <c r="M369" s="10" t="inlineStr">
        <is>
          <t>生産性向上・業務効率化</t>
        </is>
      </c>
      <c r="N369" s="10" t="inlineStr">
        <is>
          <t>MCP</t>
        </is>
      </c>
      <c r="O369" s="12" t="inlineStr">
        <is>
          <t>◎</t>
        </is>
      </c>
      <c r="P369" s="13" t="n"/>
      <c r="Q369" s="12" t="inlineStr">
        <is>
          <t>定員</t>
        </is>
      </c>
      <c r="R369" s="14" t="n">
        <v>30</v>
      </c>
      <c r="S369" s="10" t="n"/>
      <c r="T369" s="10" t="inlineStr">
        <is>
          <t>株式会社AI Samurai（本社：東京都千代田区、代表取締役：白坂 一、以下「当社」）は、当社が提供する「AI Samurai MCPサーバー」と生成AIツール（Copilot Studio、Claude Desktop、ChatGPT・Codex）を組み合わせ、特許調査および特許明細書作成を実際に手を動かして体験いただく実践演習セミナーを、2026年8月28日（金）・9月3日（木）に東京で開催いたします。講師陣には、特許検索競技大会</t>
        </is>
      </c>
      <c r="U369" s="15" t="inlineStr">
        <is>
          <t>https://prtimes.jp/main/html/rd/p/000000304.000021559.html</t>
        </is>
      </c>
      <c r="V369" s="10" t="n"/>
      <c r="W369" s="10" t="inlineStr">
        <is>
          <t>タイトル一致</t>
        </is>
      </c>
      <c r="X369" s="10" t="n"/>
    </row>
    <row r="370">
      <c r="A370" s="10" t="n">
        <v>369</v>
      </c>
      <c r="B370" s="11" t="n">
        <v>46263</v>
      </c>
      <c r="C370" s="11" t="n">
        <v>46263</v>
      </c>
      <c r="D370" s="10">
        <f>MONTH(B370)&amp;"月"</f>
        <v/>
      </c>
      <c r="E370" s="12" t="n">
        <v>1</v>
      </c>
      <c r="F370" s="10" t="n"/>
      <c r="G370" s="10" t="inlineStr">
        <is>
          <t>8/29 AIエージェントで体験するAIコーディング ハンズオン</t>
        </is>
      </c>
      <c r="H370" s="10" t="inlineStr">
        <is>
          <t>とことんDevOps勉強会</t>
        </is>
      </c>
      <c r="I370" s="10" t="n"/>
      <c r="J370" s="10" t="inlineStr">
        <is>
          <t>connpass</t>
        </is>
      </c>
      <c r="K370" s="10" t="inlineStr">
        <is>
          <t>会場</t>
        </is>
      </c>
      <c r="L370" s="10" t="inlineStr">
        <is>
          <t>日本工学院専門学校 蒲田キャンパス</t>
        </is>
      </c>
      <c r="M370" s="10" t="inlineStr">
        <is>
          <t>開発生産性</t>
        </is>
      </c>
      <c r="N370" s="10" t="inlineStr">
        <is>
          <t>AIエージェント</t>
        </is>
      </c>
      <c r="O370" s="12" t="inlineStr">
        <is>
          <t>○</t>
        </is>
      </c>
      <c r="P370" s="13" t="n">
        <v>11</v>
      </c>
      <c r="Q370" s="12" t="inlineStr">
        <is>
          <t>参加者数</t>
        </is>
      </c>
      <c r="R370" s="14" t="n">
        <v>16</v>
      </c>
      <c r="S370" s="10" t="n"/>
      <c r="T370" s="10" t="n"/>
      <c r="U370" s="15" t="inlineStr">
        <is>
          <t>https://devops-study.connpass.com/event/402331/</t>
        </is>
      </c>
      <c r="V370" s="10" t="n"/>
      <c r="W370" s="10" t="inlineStr">
        <is>
          <t>タイトル一致</t>
        </is>
      </c>
      <c r="X370" s="10" t="n"/>
    </row>
    <row r="371">
      <c r="A371" s="10" t="n">
        <v>370</v>
      </c>
      <c r="B371" s="11" t="n">
        <v>46263</v>
      </c>
      <c r="C371" s="11" t="n">
        <v>46263</v>
      </c>
      <c r="D371" s="10">
        <f>MONTH(B371)&amp;"月"</f>
        <v/>
      </c>
      <c r="E371" s="12" t="n">
        <v>1</v>
      </c>
      <c r="F371" s="10" t="n"/>
      <c r="G371" s="10" t="inlineStr">
        <is>
          <t>【WACA近畿支部主催】フォローアップ試験対策講座（ウェブ解析士、上級ウェブ解析士）〜2027年も資格維持するために〜&amp;納涼会</t>
        </is>
      </c>
      <c r="H371" s="10" t="inlineStr">
        <is>
          <t>web-mining</t>
        </is>
      </c>
      <c r="I371" s="10" t="n"/>
      <c r="J371" s="10" t="inlineStr">
        <is>
          <t>Doorkeeper</t>
        </is>
      </c>
      <c r="K371" s="10" t="inlineStr">
        <is>
          <t>不明</t>
        </is>
      </c>
      <c r="L371" s="10" t="n"/>
      <c r="M371" s="10" t="inlineStr">
        <is>
          <t>営業・マーケ・CS</t>
        </is>
      </c>
      <c r="N371" s="10" t="inlineStr">
        <is>
          <t>AIエージェント</t>
        </is>
      </c>
      <c r="O371" s="12" t="inlineStr">
        <is>
          <t>○</t>
        </is>
      </c>
      <c r="P371" s="13" t="n">
        <v>50</v>
      </c>
      <c r="Q371" s="12" t="inlineStr">
        <is>
          <t>参加者数</t>
        </is>
      </c>
      <c r="R371" s="14" t="n">
        <v>50</v>
      </c>
      <c r="S371" s="10" t="n"/>
      <c r="T371" s="10" t="inlineStr">
        <is>
          <t xml:space="preserve"> セミナー概要 第一部テーマ：データを求めた先に、見えてきたもの 講師：合同会社一空ブランディング 代表 浪岡 泰枝氏 第二部：フォローアップ試験対策講座（ウェブ解析士、上級ウェブ解析士） 講師（ウェブ解析士）：RIコンサルティング株式会社 代表取締役 稲葉 修久氏 講師（上級ウェブ解析士）：株式会社トモシビ 代表取締役 石本 憲貴氏 第１部 データを求めた先に、見えてきたもの 講師： 浪岡 泰枝氏 画面の向こうにいるお客さんを知りたく</t>
        </is>
      </c>
      <c r="U371" s="15" t="inlineStr">
        <is>
          <t>https://web-mining.doorkeeper.jp/events/198274</t>
        </is>
      </c>
      <c r="V371" s="10" t="n"/>
      <c r="W371" s="10" t="inlineStr">
        <is>
          <t>本文一致</t>
        </is>
      </c>
      <c r="X371" s="10" t="n"/>
    </row>
    <row r="372">
      <c r="A372" s="10" t="n">
        <v>371</v>
      </c>
      <c r="B372" s="11" t="n">
        <v>46263</v>
      </c>
      <c r="C372" s="11" t="n">
        <v>46263</v>
      </c>
      <c r="D372" s="10">
        <f>MONTH(B372)&amp;"月"</f>
        <v/>
      </c>
      <c r="E372" s="12" t="n">
        <v>1</v>
      </c>
      <c r="F372" s="10" t="n"/>
      <c r="G372" s="10" t="inlineStr">
        <is>
          <t>【東京・銀座/少人数】非エンジニアのための Codex 入門——講師にその場で質問できる対面3時間</t>
        </is>
      </c>
      <c r="H372" s="10" t="inlineStr">
        <is>
          <t>株式会社AI Orchestra</t>
        </is>
      </c>
      <c r="I372" s="10" t="n"/>
      <c r="J372" s="10" t="inlineStr">
        <is>
          <t>こくちーずプロ</t>
        </is>
      </c>
      <c r="K372" s="10" t="inlineStr">
        <is>
          <t>オフライン（会場）</t>
        </is>
      </c>
      <c r="L372" s="10" t="inlineStr">
        <is>
          <t>銀座ユニーク貸会議室 5丁目店 G401 カンファレンスルーム 東京都中央区銀座5丁目14-6 2F</t>
        </is>
      </c>
      <c r="M372" s="10" t="inlineStr">
        <is>
          <t>生産性向上・業務効率化</t>
        </is>
      </c>
      <c r="N372" s="10" t="inlineStr">
        <is>
          <t>AIエージェント</t>
        </is>
      </c>
      <c r="O372" s="12" t="inlineStr">
        <is>
          <t>◎</t>
        </is>
      </c>
      <c r="P372" s="13" t="n"/>
      <c r="Q372" s="12" t="inlineStr">
        <is>
          <t>不明</t>
        </is>
      </c>
      <c r="R372" s="14" t="n"/>
      <c r="S372" s="10" t="n"/>
      <c r="T372" s="10" t="inlineStr">
        <is>
          <t>【対面・少人数開催】非エンジニアのための Codex 入門 in 銀座 ——講師にその場で質問しながら、"AIに仕事を任せる"最初の一歩を踏み出す3時間 オンラインセミナーを見て「なるほど」と思ったのに、 自分のパソコンでは、結局始められなかった——。 新しいツールの導入でいちばん多いつまずきは、 わからないことが出た瞬間に、聞ける人がいない ことです。 この会は、講師と同じ部屋で、その場で質問しながら進められる 少人数・対面 のCod</t>
        </is>
      </c>
      <c r="U372" s="15" t="inlineStr">
        <is>
          <t>https://www.kokuchpro.com/event/d42f60aa80c72bd890e666f79fb4326a/</t>
        </is>
      </c>
      <c r="V372" s="10" t="n"/>
      <c r="W372" s="10" t="inlineStr">
        <is>
          <t>タイトル一致</t>
        </is>
      </c>
      <c r="X372" s="10" t="n"/>
    </row>
    <row r="373">
      <c r="A373" s="10" t="n">
        <v>372</v>
      </c>
      <c r="B373" s="11" t="n">
        <v>46263</v>
      </c>
      <c r="C373" s="11" t="n">
        <v>46263</v>
      </c>
      <c r="D373" s="10">
        <f>MONTH(B373)&amp;"月"</f>
        <v/>
      </c>
      <c r="E373" s="12" t="n">
        <v>1</v>
      </c>
      <c r="F373" s="10" t="n"/>
      <c r="G373" s="10" t="inlineStr">
        <is>
          <t>月末の請求書30枚が、5分で終わる——Claude Codeが変える中小企業のバックオフィス【経営者向けライブ実演】</t>
        </is>
      </c>
      <c r="H373" s="10" t="inlineStr">
        <is>
          <t>株式会社ノヴァリス</t>
        </is>
      </c>
      <c r="I373" s="10" t="n"/>
      <c r="J373" s="10" t="inlineStr">
        <is>
          <t>こくちーずプロ</t>
        </is>
      </c>
      <c r="K373" s="10" t="inlineStr">
        <is>
          <t>オンライン</t>
        </is>
      </c>
      <c r="L373" s="10" t="inlineStr">
        <is>
          <t>オンライン 日本</t>
        </is>
      </c>
      <c r="M373" s="10" t="inlineStr">
        <is>
          <t>生産性向上・業務効率化</t>
        </is>
      </c>
      <c r="N373" s="10" t="inlineStr">
        <is>
          <t>AIエージェント</t>
        </is>
      </c>
      <c r="O373" s="12" t="inlineStr">
        <is>
          <t>◎</t>
        </is>
      </c>
      <c r="P373" s="13" t="n">
        <v>1</v>
      </c>
      <c r="Q373" s="12" t="inlineStr">
        <is>
          <t>イベント参加 1/10</t>
        </is>
      </c>
      <c r="R373" s="14" t="n">
        <v>10</v>
      </c>
      <c r="S373" s="10" t="n"/>
      <c r="T373" s="10" t="inlineStr">
        <is>
          <t>月末の請求書30枚が、5分で終わる——Claude Codeが変える中小企業のバックオフィス 【経営者向けライブ実演】 参加無料 / オンライン / 60分（お昼休みに参加できます） ■ 毎月末、同じ光景になっていませんか 25日を過ぎると、そわそわし始める。 顧客リストとにらめっこしながら、請求書を1枚ずつ作る。宛名を確認して、金額を転記して、日付を直して——30枚作り終える頃には、半日が消えている。そのあとには売上の集計と、月次レポ</t>
        </is>
      </c>
      <c r="U373" s="15" t="inlineStr">
        <is>
          <t>https://www.kokuchpro.com/event/c4c45682fee8a511c64041da1b520717/3867721/</t>
        </is>
      </c>
      <c r="V373" s="10" t="n"/>
      <c r="W373" s="10" t="inlineStr">
        <is>
          <t>タイトル一致</t>
        </is>
      </c>
      <c r="X373" s="10" t="n"/>
    </row>
    <row r="374">
      <c r="A374" s="10" t="n">
        <v>373</v>
      </c>
      <c r="B374" s="11" t="n">
        <v>46264</v>
      </c>
      <c r="C374" s="11" t="n">
        <v>46264</v>
      </c>
      <c r="D374" s="10">
        <f>MONTH(B374)&amp;"月"</f>
        <v/>
      </c>
      <c r="E374" s="12" t="n">
        <v>1</v>
      </c>
      <c r="F374" s="10" t="n"/>
      <c r="G374" s="10" t="inlineStr">
        <is>
          <t>スマホから頼むと、PCの中でAIが動く — Claude Code × Discord 連携セミナー</t>
        </is>
      </c>
      <c r="H374" s="10" t="inlineStr">
        <is>
          <t>合同会社ウルノワ</t>
        </is>
      </c>
      <c r="I374" s="10" t="n"/>
      <c r="J374" s="10" t="inlineStr">
        <is>
          <t>こくちーずプロ</t>
        </is>
      </c>
      <c r="K374" s="10" t="inlineStr">
        <is>
          <t>オフライン（会場）</t>
        </is>
      </c>
      <c r="L374" s="10" t="inlineStr">
        <is>
          <t>ふれあい貸し会議室 上野No60 東京都東京都台東区上野7-4-3 上野ビル 3階 301号室</t>
        </is>
      </c>
      <c r="M374" s="10" t="inlineStr">
        <is>
          <t>開発生産性</t>
        </is>
      </c>
      <c r="N374" s="10" t="inlineStr">
        <is>
          <t>AIエージェント</t>
        </is>
      </c>
      <c r="O374" s="12" t="inlineStr">
        <is>
          <t>○</t>
        </is>
      </c>
      <c r="P374" s="13" t="n">
        <v>0</v>
      </c>
      <c r="Q374" s="12" t="inlineStr">
        <is>
          <t>イベント参加 0/20</t>
        </is>
      </c>
      <c r="R374" s="14" t="n">
        <v>20</v>
      </c>
      <c r="S374" s="10" t="n"/>
      <c r="T374" s="10" t="inlineStr">
        <is>
          <t>■ 日時 2026年8月30日(日)14:00〜17:00(開場13:45／全180分・休憩10分含む) ■ 会場 ふれあい貸し会議室 上野No60 東京都台東区上野7-4-3 上野ビル3階 301号室 JR上野駅 中央改札 浅草口 徒歩1分 ※3階・階段のみ(エレベーターなし) ■ 参加費 無料 ■ 定員 20名(先着順) ■ 対象 個人事業主・フリーランス・経営者・DX推進担当の方 AIをこれから使う方／Claude Codeを触っ</t>
        </is>
      </c>
      <c r="U374" s="15" t="inlineStr">
        <is>
          <t>https://www.kokuchpro.com/event/dc9a0669c2b210188a9e5886b9e43266/</t>
        </is>
      </c>
      <c r="V374" s="10" t="n"/>
      <c r="W374" s="10" t="inlineStr">
        <is>
          <t>タイトル一致</t>
        </is>
      </c>
      <c r="X374" s="10" t="n"/>
    </row>
    <row r="375">
      <c r="A375" s="10" t="n">
        <v>374</v>
      </c>
      <c r="B375" s="11" t="n">
        <v>46265</v>
      </c>
      <c r="C375" s="11" t="n">
        <v>46265</v>
      </c>
      <c r="D375" s="10">
        <f>MONTH(B375)&amp;"月"</f>
        <v/>
      </c>
      <c r="E375" s="12" t="n">
        <v>1</v>
      </c>
      <c r="F375" s="10" t="n"/>
      <c r="G375" s="10" t="inlineStr">
        <is>
          <t>BPStudy#228〜LLM・AIエージェントシステムベストプラクティス</t>
        </is>
      </c>
      <c r="H375" s="10" t="inlineStr">
        <is>
          <t>BPStudy</t>
        </is>
      </c>
      <c r="I375" s="10" t="n"/>
      <c r="J375" s="10" t="inlineStr">
        <is>
          <t>connpass</t>
        </is>
      </c>
      <c r="K375" s="10" t="inlineStr">
        <is>
          <t>オンライン</t>
        </is>
      </c>
      <c r="L375" s="10" t="inlineStr">
        <is>
          <t>オンライン</t>
        </is>
      </c>
      <c r="M375" s="10" t="inlineStr">
        <is>
          <t>技術・AI全般</t>
        </is>
      </c>
      <c r="N375" s="10" t="inlineStr">
        <is>
          <t>AIエージェント</t>
        </is>
      </c>
      <c r="O375" s="12" t="inlineStr">
        <is>
          <t>○</t>
        </is>
      </c>
      <c r="P375" s="13" t="n">
        <v>141</v>
      </c>
      <c r="Q375" s="12" t="inlineStr">
        <is>
          <t>参加者数</t>
        </is>
      </c>
      <c r="R375" s="14" t="n">
        <v>151</v>
      </c>
      <c r="S375" s="10" t="n"/>
      <c r="T375" s="10" t="n"/>
      <c r="U375" s="15" t="inlineStr">
        <is>
          <t>https://bpstudy.connpass.com/event/401476/</t>
        </is>
      </c>
      <c r="V375" s="10" t="n"/>
      <c r="W375" s="10" t="inlineStr">
        <is>
          <t>タイトル一致</t>
        </is>
      </c>
      <c r="X375" s="10" t="n"/>
    </row>
    <row r="376">
      <c r="A376" s="10" t="n">
        <v>375</v>
      </c>
      <c r="B376" s="11" t="n">
        <v>46265</v>
      </c>
      <c r="C376" s="11" t="n">
        <v>46289</v>
      </c>
      <c r="D376" s="10">
        <f>MONTH(B376)&amp;"月"</f>
        <v/>
      </c>
      <c r="E376" s="12" t="n">
        <v>1</v>
      </c>
      <c r="F376" s="10" t="n"/>
      <c r="G376" s="10" t="inlineStr">
        <is>
          <t>Copilot Studioで加速する業務効率化とAIエージェント活用（8/31・9/10・9/24ほか）</t>
        </is>
      </c>
      <c r="H376" s="10" t="inlineStr">
        <is>
          <t>テクバン株式会社</t>
        </is>
      </c>
      <c r="I376" s="10" t="n"/>
      <c r="J376" s="10" t="inlineStr">
        <is>
          <t>個別調査（公式サイト・PR TIMES等）</t>
        </is>
      </c>
      <c r="K376" s="10" t="inlineStr">
        <is>
          <t>オンライン</t>
        </is>
      </c>
      <c r="L376" s="10" t="inlineStr">
        <is>
          <t>各回20分</t>
        </is>
      </c>
      <c r="M376" s="10" t="inlineStr">
        <is>
          <t>生産性向上・業務効率化</t>
        </is>
      </c>
      <c r="N376" s="10" t="inlineStr">
        <is>
          <t>AIエージェント</t>
        </is>
      </c>
      <c r="O376" s="12" t="inlineStr">
        <is>
          <t>◎</t>
        </is>
      </c>
      <c r="P376" s="13" t="n">
        <v>50</v>
      </c>
      <c r="Q376" s="12" t="inlineStr">
        <is>
          <t>定員</t>
        </is>
      </c>
      <c r="R376" s="14" t="n">
        <v>50</v>
      </c>
      <c r="S376" s="10" t="inlineStr">
        <is>
          <t>各回の定員。10/6と10/20にも開催予定</t>
        </is>
      </c>
      <c r="T376" s="10" t="inlineStr">
        <is>
          <t>Copilot StudioでAIエージェントを作って業務を自動化する方法を、導入ステップと事例とともに解説する入門セミナー。</t>
        </is>
      </c>
      <c r="U376" s="15" t="inlineStr">
        <is>
          <t>https://www.techvan.co.jp/news/2026/08/0831_14webcopilotstudio.html</t>
        </is>
      </c>
      <c r="V376" s="10" t="n"/>
      <c r="W376" s="10" t="inlineStr">
        <is>
          <t>個別確認</t>
        </is>
      </c>
      <c r="X376" s="10" t="n"/>
    </row>
    <row r="377">
      <c r="A377" s="10" t="n">
        <v>376</v>
      </c>
      <c r="B377" s="11" t="n">
        <v>46265</v>
      </c>
      <c r="C377" s="11" t="n">
        <v>46267</v>
      </c>
      <c r="D377" s="10">
        <f>MONTH(B377)&amp;"月"</f>
        <v/>
      </c>
      <c r="E377" s="12" t="n">
        <v>3</v>
      </c>
      <c r="F377" s="10" t="inlineStr">
        <is>
          <t>08/31、09/01、09/02</t>
        </is>
      </c>
      <c r="G377" s="10" t="inlineStr">
        <is>
          <t>【Bet AI Day 2026 Pre-Event】AI Agent Talks丨活用</t>
        </is>
      </c>
      <c r="H377" s="10" t="inlineStr">
        <is>
          <t>LayerX</t>
        </is>
      </c>
      <c r="I377" s="10" t="n"/>
      <c r="J377" s="10" t="inlineStr">
        <is>
          <t>connpass</t>
        </is>
      </c>
      <c r="K377" s="10" t="inlineStr">
        <is>
          <t>オンライン</t>
        </is>
      </c>
      <c r="L377" s="10" t="inlineStr">
        <is>
          <t>オンライン</t>
        </is>
      </c>
      <c r="M377" s="10" t="inlineStr">
        <is>
          <t>技術・AI全般</t>
        </is>
      </c>
      <c r="N377" s="10" t="inlineStr">
        <is>
          <t>AIエージェント</t>
        </is>
      </c>
      <c r="O377" s="12" t="inlineStr">
        <is>
          <t>○</t>
        </is>
      </c>
      <c r="P377" s="13" t="n">
        <v>1088</v>
      </c>
      <c r="Q377" s="12" t="inlineStr">
        <is>
          <t>参加者数</t>
        </is>
      </c>
      <c r="R377" s="14" t="n"/>
      <c r="S377" s="10" t="inlineStr">
        <is>
          <t>全3回の合計</t>
        </is>
      </c>
      <c r="T377" s="10" t="n"/>
      <c r="U377" s="15" t="inlineStr">
        <is>
          <t>https://layerx.connpass.com/event/399945/</t>
        </is>
      </c>
      <c r="V377" s="10" t="n"/>
      <c r="W377" s="10" t="inlineStr">
        <is>
          <t>タイトル一致</t>
        </is>
      </c>
      <c r="X377" s="10" t="n"/>
    </row>
    <row r="378">
      <c r="A378" s="10" t="n">
        <v>377</v>
      </c>
      <c r="B378" s="11" t="n">
        <v>46266</v>
      </c>
      <c r="C378" s="11" t="n">
        <v>46266</v>
      </c>
      <c r="D378" s="10">
        <f>MONTH(B378)&amp;"月"</f>
        <v/>
      </c>
      <c r="E378" s="12" t="n">
        <v>1</v>
      </c>
      <c r="F378" s="10" t="n"/>
      <c r="G378" s="10" t="inlineStr">
        <is>
          <t>DroidKaigi 2026 Event Day Workshop (9/1)</t>
        </is>
      </c>
      <c r="H378" s="10" t="inlineStr">
        <is>
          <t>droidkaigi</t>
        </is>
      </c>
      <c r="I378" s="10" t="n"/>
      <c r="J378" s="10" t="inlineStr">
        <is>
          <t>Doorkeeper</t>
        </is>
      </c>
      <c r="K378" s="10" t="inlineStr">
        <is>
          <t>会場</t>
        </is>
      </c>
      <c r="L378" s="10" t="inlineStr">
        <is>
          <t>ベルサール渋谷ガーデン 〒150-0036 東京都渋谷区南平台町16-17 住友不動産渋谷ガーデンタワー １Ｆ</t>
        </is>
      </c>
      <c r="M378" s="10" t="inlineStr">
        <is>
          <t>技術・AI全般</t>
        </is>
      </c>
      <c r="N378" s="10" t="inlineStr">
        <is>
          <t>AIエージェント</t>
        </is>
      </c>
      <c r="O378" s="12" t="inlineStr">
        <is>
          <t>△</t>
        </is>
      </c>
      <c r="P378" s="13" t="n">
        <v>126</v>
      </c>
      <c r="Q378" s="12" t="inlineStr">
        <is>
          <t>参加者数</t>
        </is>
      </c>
      <c r="R378" s="14" t="n">
        <v>140</v>
      </c>
      <c r="S378" s="10" t="n"/>
      <c r="T378" s="10" t="inlineStr">
        <is>
          <t xml:space="preserve"> 開催概要 DroidKaigi 2026のEvent DayではDroidKaigi 2026のIn-Person参加者のみが参加申し込みできるハンズオン形式の学習コンテンツ（Workshop）を提供します。 DroidKaigi 2026のチケット をご購入の上、お申し込みください。 Workshopは参加可能な人数に限りがあります。お早めに申し込み下さい スカラーシッププログラム対象の方は別プログラムを用意しているためお申し込みい</t>
        </is>
      </c>
      <c r="U378" s="15" t="inlineStr">
        <is>
          <t>https://droidkaigi.doorkeeper.jp/events/198628</t>
        </is>
      </c>
      <c r="V378" s="10" t="n"/>
      <c r="W378" s="10" t="inlineStr">
        <is>
          <t>本文一致</t>
        </is>
      </c>
      <c r="X378" s="10" t="n"/>
    </row>
    <row r="379">
      <c r="A379" s="10" t="n">
        <v>378</v>
      </c>
      <c r="B379" s="11" t="n">
        <v>46266</v>
      </c>
      <c r="C379" s="11" t="n">
        <v>46266</v>
      </c>
      <c r="D379" s="10">
        <f>MONTH(B379)&amp;"月"</f>
        <v/>
      </c>
      <c r="E379" s="12" t="n">
        <v>1</v>
      </c>
      <c r="F379" s="10" t="n"/>
      <c r="G379" s="10" t="inlineStr">
        <is>
          <t>【9/1登壇】AIエージェントの本番運用｜実行基盤の作り方を解説（DATAFLUCT登壇）</t>
        </is>
      </c>
      <c r="H379" s="10" t="inlineStr">
        <is>
          <t>株式会社Innovation &amp; Co.</t>
        </is>
      </c>
      <c r="I379" s="10" t="n"/>
      <c r="J379" s="10" t="inlineStr">
        <is>
          <t>PR TIMES</t>
        </is>
      </c>
      <c r="K379" s="10" t="inlineStr">
        <is>
          <t>online</t>
        </is>
      </c>
      <c r="L379" s="10" t="inlineStr">
        <is>
          <t>オンライン</t>
        </is>
      </c>
      <c r="M379" s="10" t="inlineStr">
        <is>
          <t>生産性向上・業務効率化</t>
        </is>
      </c>
      <c r="N379" s="10" t="inlineStr">
        <is>
          <t>AIエージェント</t>
        </is>
      </c>
      <c r="O379" s="12" t="inlineStr">
        <is>
          <t>◎</t>
        </is>
      </c>
      <c r="P379" s="13" t="n"/>
      <c r="Q379" s="12" t="inlineStr">
        <is>
          <t>不明</t>
        </is>
      </c>
      <c r="R379" s="14" t="n"/>
      <c r="S379" s="10" t="n"/>
      <c r="T379" s="10" t="inlineStr">
        <is>
          <t>株式会社DATAFLUCT（本社所在地：東京都渋谷区、代表取締役CEO：久米村 隼人、以下「DATAFLUCT」）は、株式会社Innovation &amp; Co.が主催するオンライン展示会「ITトレンドEXPO2026 Summer」に、代表取締役CEOの久米村 隼人が登壇することをお知らせします。 講演は2026年9月1日（火）17:00～17:25に開催。テーマは「現場業務をAIエージェントにどこまで任せるか｜AIエージェント実行基盤の</t>
        </is>
      </c>
      <c r="U379" s="15" t="inlineStr">
        <is>
          <t>https://prtimes.jp/main/html/rd/p/000000366.000046062.html</t>
        </is>
      </c>
      <c r="V379" s="10" t="n"/>
      <c r="W379" s="10" t="inlineStr">
        <is>
          <t>タイトル一致</t>
        </is>
      </c>
      <c r="X379" s="10" t="n"/>
    </row>
    <row r="380">
      <c r="A380" s="10" t="n">
        <v>379</v>
      </c>
      <c r="B380" s="11" t="n">
        <v>46266</v>
      </c>
      <c r="C380" s="11" t="n">
        <v>46266</v>
      </c>
      <c r="D380" s="10">
        <f>MONTH(B380)&amp;"月"</f>
        <v/>
      </c>
      <c r="E380" s="12" t="n">
        <v>1</v>
      </c>
      <c r="F380" s="10" t="n"/>
      <c r="G380" s="10" t="inlineStr">
        <is>
          <t>【中堅・大企業向け】ベテランの暗黙知、異動や退職と一緒に消えていませんか？ AIヒアリングエージェントが判断の理由や例外対応を聞き出し、構造化して可視化する</t>
        </is>
      </c>
      <c r="H380" s="10" t="inlineStr">
        <is>
          <t>株式会社Kikuvi</t>
        </is>
      </c>
      <c r="I380" s="10" t="inlineStr">
        <is>
          <t>マジセミ株式会社</t>
        </is>
      </c>
      <c r="J380" s="10" t="inlineStr">
        <is>
          <t>Doorkeeper</t>
        </is>
      </c>
      <c r="K380" s="10" t="inlineStr">
        <is>
          <t>不明</t>
        </is>
      </c>
      <c r="L380" s="10" t="n"/>
      <c r="M380" s="10" t="inlineStr">
        <is>
          <t>営業・マーケ・CS</t>
        </is>
      </c>
      <c r="N380" s="10" t="inlineStr">
        <is>
          <t>AIエージェント</t>
        </is>
      </c>
      <c r="O380" s="12" t="inlineStr">
        <is>
          <t>◎</t>
        </is>
      </c>
      <c r="P380" s="13" t="n">
        <v>1</v>
      </c>
      <c r="Q380" s="12" t="inlineStr">
        <is>
          <t>参加者数</t>
        </is>
      </c>
      <c r="R380" s="14" t="n">
        <v>1</v>
      </c>
      <c r="S380" s="10" t="n"/>
      <c r="T380"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熟練者の退職が迫る中、引き継ぎ・OJTが属人的で技能承継が進まない 技術や経験が個人に蓄積されやすい現場系の業務を中心に、業種を問わずベテラン社員の定年退職が着実に進んでいます。 加えて、退職に至らない</t>
        </is>
      </c>
      <c r="U380" s="15" t="inlineStr">
        <is>
          <t>https://majisemi-technology.doorkeeper.jp/events/198618</t>
        </is>
      </c>
      <c r="V380" s="10" t="n"/>
      <c r="W380" s="10" t="inlineStr">
        <is>
          <t>タイトル一致</t>
        </is>
      </c>
      <c r="X380" s="10" t="n"/>
    </row>
    <row r="381">
      <c r="A381" s="10" t="n">
        <v>380</v>
      </c>
      <c r="B381" s="11" t="n">
        <v>46266</v>
      </c>
      <c r="C381" s="11" t="n">
        <v>46266</v>
      </c>
      <c r="D381" s="10">
        <f>MONTH(B381)&amp;"月"</f>
        <v/>
      </c>
      <c r="E381" s="12" t="n">
        <v>1</v>
      </c>
      <c r="F381" s="10" t="n"/>
      <c r="G381" s="10" t="inlineStr">
        <is>
          <t>データサイエンススクール129</t>
        </is>
      </c>
      <c r="H381" s="10" t="inlineStr">
        <is>
          <t>cireds</t>
        </is>
      </c>
      <c r="I381" s="10" t="n"/>
      <c r="J381" s="10" t="inlineStr">
        <is>
          <t>Doorkeeper</t>
        </is>
      </c>
      <c r="K381" s="10" t="inlineStr">
        <is>
          <t>不明</t>
        </is>
      </c>
      <c r="L381" s="10" t="n"/>
      <c r="M381" s="10" t="inlineStr">
        <is>
          <t>生産性向上・業務効率化</t>
        </is>
      </c>
      <c r="N381" s="10" t="inlineStr">
        <is>
          <t>AIエージェント</t>
        </is>
      </c>
      <c r="O381" s="12" t="inlineStr">
        <is>
          <t>○</t>
        </is>
      </c>
      <c r="P381" s="13" t="n">
        <v>45</v>
      </c>
      <c r="Q381" s="12" t="inlineStr">
        <is>
          <t>参加者数</t>
        </is>
      </c>
      <c r="R381" s="14" t="n">
        <v>66</v>
      </c>
      <c r="S381" s="10" t="n"/>
      <c r="T381" s="10" t="inlineStr">
        <is>
          <t xml:space="preserve"> データサイエンススクール 129 データ科学は科学研究の基本の一つであり、本学における数多くの研究活動において活用されています。このデータサイエンススクールは「数理・データサイエンス・AI教育の全国展開の推進」拠点大学の活動として、多くの学生がデータ科学の最前線について知ることができ、さらにデータ科学の手法について、その利用法を体験しながら実践的に学ぶことができる機会を提供するように企画いたしました。データ科学領域の最先端分野を基礎か</t>
        </is>
      </c>
      <c r="U381" s="15" t="inlineStr">
        <is>
          <t>https://cireds.doorkeeper.jp/events/198133</t>
        </is>
      </c>
      <c r="V381" s="10" t="n"/>
      <c r="W381" s="10" t="inlineStr">
        <is>
          <t>本文一致</t>
        </is>
      </c>
      <c r="X381" s="10" t="n"/>
    </row>
    <row r="382">
      <c r="A382" s="10" t="n">
        <v>381</v>
      </c>
      <c r="B382" s="11" t="n">
        <v>46266</v>
      </c>
      <c r="C382" s="11" t="n">
        <v>46266</v>
      </c>
      <c r="D382" s="10">
        <f>MONTH(B382)&amp;"月"</f>
        <v/>
      </c>
      <c r="E382" s="12" t="n">
        <v>1</v>
      </c>
      <c r="F382" s="10" t="n"/>
      <c r="G382" s="10" t="inlineStr">
        <is>
          <t>第１回 「AIエージェント時代の開発プロセスの変化について」わいわいするしゃけ</t>
        </is>
      </c>
      <c r="H382" s="10" t="inlineStr">
        <is>
          <t>しゃけ.tech</t>
        </is>
      </c>
      <c r="I382" s="10" t="n"/>
      <c r="J382" s="10" t="inlineStr">
        <is>
          <t>connpass</t>
        </is>
      </c>
      <c r="K382" s="10" t="inlineStr">
        <is>
          <t>会場</t>
        </is>
      </c>
      <c r="L382" s="10" t="inlineStr">
        <is>
          <t>東京都港区芝５丁目１３−１８ いちご三田ビル ８F</t>
        </is>
      </c>
      <c r="M382" s="10" t="inlineStr">
        <is>
          <t>開発生産性</t>
        </is>
      </c>
      <c r="N382" s="10" t="inlineStr">
        <is>
          <t>AIエージェント</t>
        </is>
      </c>
      <c r="O382" s="12" t="inlineStr">
        <is>
          <t>○</t>
        </is>
      </c>
      <c r="P382" s="13" t="n">
        <v>28</v>
      </c>
      <c r="Q382" s="12" t="inlineStr">
        <is>
          <t>参加者数</t>
        </is>
      </c>
      <c r="R382" s="14" t="n">
        <v>40</v>
      </c>
      <c r="S382" s="10" t="n"/>
      <c r="T382" s="10" t="n"/>
      <c r="U382" s="15" t="inlineStr">
        <is>
          <t>https://shaketech.connpass.com/event/401907/</t>
        </is>
      </c>
      <c r="V382" s="10" t="n"/>
      <c r="W382" s="10" t="inlineStr">
        <is>
          <t>タイトル一致</t>
        </is>
      </c>
      <c r="X382" s="10" t="n"/>
    </row>
    <row r="383">
      <c r="A383" s="10" t="n">
        <v>382</v>
      </c>
      <c r="B383" s="11" t="n">
        <v>46267</v>
      </c>
      <c r="C383" s="11" t="n">
        <v>46267</v>
      </c>
      <c r="D383" s="10">
        <f>MONTH(B383)&amp;"月"</f>
        <v/>
      </c>
      <c r="E383" s="12" t="n">
        <v>1</v>
      </c>
      <c r="F383" s="10" t="n"/>
      <c r="G383" s="10" t="inlineStr">
        <is>
          <t>AIエージェントキャッチアップ #90 - Agent Plugins</t>
        </is>
      </c>
      <c r="H383" s="10" t="inlineStr">
        <is>
          <t>ジェネラティブエージェンツ / Generative Agents</t>
        </is>
      </c>
      <c r="I383" s="10" t="n"/>
      <c r="J383" s="10" t="inlineStr">
        <is>
          <t>connpass</t>
        </is>
      </c>
      <c r="K383" s="10" t="inlineStr">
        <is>
          <t>オンライン</t>
        </is>
      </c>
      <c r="L383" s="10" t="inlineStr">
        <is>
          <t>オンライン</t>
        </is>
      </c>
      <c r="M383" s="10" t="inlineStr">
        <is>
          <t>技術・AI全般</t>
        </is>
      </c>
      <c r="N383" s="10" t="inlineStr">
        <is>
          <t>AIエージェント</t>
        </is>
      </c>
      <c r="O383" s="12" t="inlineStr">
        <is>
          <t>○</t>
        </is>
      </c>
      <c r="P383" s="13" t="n">
        <v>60</v>
      </c>
      <c r="Q383" s="12" t="inlineStr">
        <is>
          <t>参加者数</t>
        </is>
      </c>
      <c r="R383" s="14" t="n">
        <v>200</v>
      </c>
      <c r="S383" s="10" t="n"/>
      <c r="T383" s="10" t="n"/>
      <c r="U383" s="15" t="inlineStr">
        <is>
          <t>https://generative-agents.connpass.com/event/404983/</t>
        </is>
      </c>
      <c r="V383" s="10" t="n"/>
      <c r="W383" s="10" t="inlineStr">
        <is>
          <t>タイトル一致</t>
        </is>
      </c>
      <c r="X383" s="10" t="n"/>
    </row>
    <row r="384">
      <c r="A384" s="10" t="n">
        <v>383</v>
      </c>
      <c r="B384" s="11" t="n">
        <v>46267</v>
      </c>
      <c r="C384" s="11" t="n">
        <v>46267</v>
      </c>
      <c r="D384" s="10">
        <f>MONTH(B384)&amp;"月"</f>
        <v/>
      </c>
      <c r="E384" s="12" t="n">
        <v>1</v>
      </c>
      <c r="F384" s="10" t="n"/>
      <c r="G384" s="10" t="inlineStr">
        <is>
          <t>AI活用の広がりに備えるセキュリティ、ネットワーク戦略 ～Netskope One AI Securityで考える次の一手～</t>
        </is>
      </c>
      <c r="H384" s="10" t="inlineStr">
        <is>
          <t>株式会社マクニカ</t>
        </is>
      </c>
      <c r="I384" s="10" t="n"/>
      <c r="J384" s="10" t="inlineStr">
        <is>
          <t>ZDNET Japan イベント</t>
        </is>
      </c>
      <c r="K384" s="10" t="inlineStr">
        <is>
          <t>オンライン</t>
        </is>
      </c>
      <c r="L384" s="10" t="inlineStr">
        <is>
          <t>WEB</t>
        </is>
      </c>
      <c r="M384" s="10" t="inlineStr">
        <is>
          <t>営業・マーケ・CS</t>
        </is>
      </c>
      <c r="N384" s="10" t="inlineStr">
        <is>
          <t>AIエージェント</t>
        </is>
      </c>
      <c r="O384" s="12" t="inlineStr">
        <is>
          <t>○</t>
        </is>
      </c>
      <c r="P384" s="13" t="n"/>
      <c r="Q384" s="12" t="inlineStr">
        <is>
          <t>不明</t>
        </is>
      </c>
      <c r="R384" s="14" t="n"/>
      <c r="S384" s="10" t="n"/>
      <c r="T384" s="10" t="inlineStr">
        <is>
          <t>開催場所： WEB 開催日： 2026-09-02 生成AIやAIエージェントの業務活用が急速に広がるなか、企業には利便性を損なわずにリスクを見極め、適切に制御する仕組みが求められています。 本セミナーでは情報漏えいやシャドーAI、AI固有の脅威といったAIセキュリティの観点を整理し、Netskope One AI Securityを軸とした可視化・制御の考え方をご紹介します。 あわせてAIを「守る対象」としてだけでなく「守りに活かす」</t>
        </is>
      </c>
      <c r="U384" s="15" t="inlineStr">
        <is>
          <t>https://japan.zdnet.com/event_info/30015062/</t>
        </is>
      </c>
      <c r="V384" s="10" t="n"/>
      <c r="W384" s="10" t="inlineStr">
        <is>
          <t>本文一致</t>
        </is>
      </c>
      <c r="X384" s="10" t="n"/>
    </row>
    <row r="385">
      <c r="A385" s="10" t="n">
        <v>384</v>
      </c>
      <c r="B385" s="11" t="n">
        <v>46267</v>
      </c>
      <c r="C385" s="11" t="n">
        <v>46267</v>
      </c>
      <c r="D385" s="10">
        <f>MONTH(B385)&amp;"月"</f>
        <v/>
      </c>
      <c r="E385" s="12" t="n">
        <v>1</v>
      </c>
      <c r="F385" s="10" t="n"/>
      <c r="G385" s="10" t="inlineStr">
        <is>
          <t>HubSpot AIエージェント実装ワークショップ</t>
        </is>
      </c>
      <c r="H385" s="10" t="inlineStr">
        <is>
          <t>HubSpot Japan</t>
        </is>
      </c>
      <c r="I385" s="10" t="inlineStr">
        <is>
          <t>株式会社100（共催）</t>
        </is>
      </c>
      <c r="J385" s="10" t="inlineStr">
        <is>
          <t>個別調査（公式サイト・PR TIMES等）</t>
        </is>
      </c>
      <c r="K385" s="10" t="inlineStr">
        <is>
          <t>会場</t>
        </is>
      </c>
      <c r="L385" s="10" t="inlineStr">
        <is>
          <t>渋谷ソラスタコンファレンス</t>
        </is>
      </c>
      <c r="M385" s="10" t="inlineStr">
        <is>
          <t>営業・マーケ・CS</t>
        </is>
      </c>
      <c r="N385" s="10" t="inlineStr">
        <is>
          <t>AIエージェント</t>
        </is>
      </c>
      <c r="O385" s="12" t="inlineStr">
        <is>
          <t>◎</t>
        </is>
      </c>
      <c r="P385" s="13" t="n">
        <v>50</v>
      </c>
      <c r="Q385" s="12" t="inlineStr">
        <is>
          <t>定員</t>
        </is>
      </c>
      <c r="R385" s="14" t="n">
        <v>50</v>
      </c>
      <c r="S385" s="10" t="inlineStr">
        <is>
          <t>定員を超えた場合は抽選</t>
        </is>
      </c>
      <c r="T385" s="10" t="inlineStr">
        <is>
          <t>BreezeエージェントとClaude Codeを使い、重複データの整理、案件創出、問い合わせ対応の自動化を体験するハンズオン。</t>
        </is>
      </c>
      <c r="U385" s="15" t="inlineStr">
        <is>
          <t>https://www.100inc.co.jp/news/20260805-event-hubspot-ai-agent-workshop</t>
        </is>
      </c>
      <c r="V385" s="10" t="n"/>
      <c r="W385" s="10" t="inlineStr">
        <is>
          <t>個別確認</t>
        </is>
      </c>
      <c r="X385" s="10" t="n"/>
    </row>
    <row r="386">
      <c r="A386" s="10" t="n">
        <v>385</v>
      </c>
      <c r="B386" s="11" t="n">
        <v>46267</v>
      </c>
      <c r="C386" s="11" t="n">
        <v>46267</v>
      </c>
      <c r="D386" s="10">
        <f>MONTH(B386)&amp;"月"</f>
        <v/>
      </c>
      <c r="E386" s="12" t="n">
        <v>1</v>
      </c>
      <c r="F386" s="10" t="n"/>
      <c r="G386" s="10" t="inlineStr">
        <is>
          <t>SIEMコストを維持するために、ログを捨て続けますか？～Databricksで実現する新しいセキュリティデータ戦略</t>
        </is>
      </c>
      <c r="H386" s="10" t="inlineStr">
        <is>
          <t>株式会社マクニカ</t>
        </is>
      </c>
      <c r="I386" s="10" t="n"/>
      <c r="J386" s="10" t="inlineStr">
        <is>
          <t>ZDNET Japan イベント</t>
        </is>
      </c>
      <c r="K386" s="10" t="inlineStr">
        <is>
          <t>オンライン</t>
        </is>
      </c>
      <c r="L386" s="10" t="inlineStr">
        <is>
          <t>WEB</t>
        </is>
      </c>
      <c r="M386" s="10" t="inlineStr">
        <is>
          <t>生産性向上・業務効率化</t>
        </is>
      </c>
      <c r="N386" s="10" t="inlineStr">
        <is>
          <t>AIエージェント</t>
        </is>
      </c>
      <c r="O386" s="12" t="inlineStr">
        <is>
          <t>○</t>
        </is>
      </c>
      <c r="P386" s="13" t="n"/>
      <c r="Q386" s="12" t="inlineStr">
        <is>
          <t>不明</t>
        </is>
      </c>
      <c r="R386" s="14" t="n"/>
      <c r="S386" s="10" t="n"/>
      <c r="T386" s="10" t="inlineStr">
        <is>
          <t>開催場所： WEB 開催日： 2026-09-02 セキュリティログは年々増加し、SIEMのライセンスコストと長期保持コストは多くの企業にとって大きな課題となっています。 投資額があらかじめ決まっている以上、多くの企業が取る手段は 「緊急度の低いログを取り込まない」 「保持期間を短縮する」 ——つまり、ログを捨てることでした。 しかしAIエージェントがセキュリティ運用を担う時代を前に、参照可能なデータ量と履歴の蓄積はこれまで以上に重要に</t>
        </is>
      </c>
      <c r="U386" s="15" t="inlineStr">
        <is>
          <t>https://japan.zdnet.com/event_info/30015071/</t>
        </is>
      </c>
      <c r="V386" s="10" t="n"/>
      <c r="W386" s="10" t="inlineStr">
        <is>
          <t>本文一致</t>
        </is>
      </c>
      <c r="X386" s="10" t="n"/>
    </row>
    <row r="387">
      <c r="A387" s="10" t="n">
        <v>386</v>
      </c>
      <c r="B387" s="11" t="n">
        <v>46267</v>
      </c>
      <c r="C387" s="11" t="n">
        <v>46267</v>
      </c>
      <c r="D387" s="10">
        <f>MONTH(B387)&amp;"月"</f>
        <v/>
      </c>
      <c r="E387" s="12" t="n">
        <v>1</v>
      </c>
      <c r="F387" s="10" t="n"/>
      <c r="G387" s="10" t="inlineStr">
        <is>
          <t>【水曜のDX道場】新しいCopilot Studioとプロンプト＆スキルの書き方</t>
        </is>
      </c>
      <c r="H387" s="10" t="inlineStr">
        <is>
          <t>水曜のDX道場</t>
        </is>
      </c>
      <c r="I387" s="10" t="n"/>
      <c r="J387" s="10" t="inlineStr">
        <is>
          <t>connpass</t>
        </is>
      </c>
      <c r="K387" s="10" t="inlineStr">
        <is>
          <t>会場</t>
        </is>
      </c>
      <c r="L387" s="10" t="inlineStr">
        <is>
          <t>大阪市北区本庄東１−１８−８</t>
        </is>
      </c>
      <c r="M387" s="10" t="inlineStr">
        <is>
          <t>生産性向上・業務効率化</t>
        </is>
      </c>
      <c r="N387" s="10" t="inlineStr">
        <is>
          <t>AIエージェント</t>
        </is>
      </c>
      <c r="O387" s="12" t="inlineStr">
        <is>
          <t>◎</t>
        </is>
      </c>
      <c r="P387" s="13" t="n">
        <v>11</v>
      </c>
      <c r="Q387" s="12" t="inlineStr">
        <is>
          <t>参加者数</t>
        </is>
      </c>
      <c r="R387" s="14" t="n">
        <v>16</v>
      </c>
      <c r="S387" s="10" t="n"/>
      <c r="T387" s="10" t="n"/>
      <c r="U387" s="15" t="inlineStr">
        <is>
          <t>https://dxdojo.connpass.com/event/405048/</t>
        </is>
      </c>
      <c r="V387" s="10" t="n"/>
      <c r="W387" s="10" t="inlineStr">
        <is>
          <t>タイトル一致</t>
        </is>
      </c>
      <c r="X387" s="10" t="n"/>
    </row>
    <row r="388">
      <c r="A388" s="10" t="n">
        <v>387</v>
      </c>
      <c r="B388" s="11" t="n">
        <v>46267</v>
      </c>
      <c r="C388" s="11" t="n">
        <v>46267</v>
      </c>
      <c r="D388" s="10">
        <f>MONTH(B388)&amp;"月"</f>
        <v/>
      </c>
      <c r="E388" s="12" t="n">
        <v>1</v>
      </c>
      <c r="F388" s="10" t="n"/>
      <c r="G388" s="10" t="inlineStr">
        <is>
          <t>コードを書かない人のClaude Code入門</t>
        </is>
      </c>
      <c r="H388" s="10" t="inlineStr">
        <is>
          <t>現場で使うAI開発ツール研究会</t>
        </is>
      </c>
      <c r="I388" s="10" t="n"/>
      <c r="J388" s="10" t="inlineStr">
        <is>
          <t>connpass</t>
        </is>
      </c>
      <c r="K388" s="10" t="inlineStr">
        <is>
          <t>オンライン</t>
        </is>
      </c>
      <c r="L388" s="10" t="inlineStr">
        <is>
          <t>オンライン</t>
        </is>
      </c>
      <c r="M388" s="10" t="inlineStr">
        <is>
          <t>開発生産性</t>
        </is>
      </c>
      <c r="N388" s="10" t="inlineStr">
        <is>
          <t>AIエージェント</t>
        </is>
      </c>
      <c r="O388" s="12" t="inlineStr">
        <is>
          <t>○</t>
        </is>
      </c>
      <c r="P388" s="13" t="n"/>
      <c r="Q388" s="12" t="inlineStr">
        <is>
          <t>不明</t>
        </is>
      </c>
      <c r="R388" s="14" t="n"/>
      <c r="S388" s="10" t="n"/>
      <c r="T388" s="10" t="n"/>
      <c r="U388" s="15" t="inlineStr">
        <is>
          <t>https://ai-devtools.connpass.com/event/403169/</t>
        </is>
      </c>
      <c r="V388" s="10" t="n"/>
      <c r="W388" s="10" t="inlineStr">
        <is>
          <t>タイトル一致</t>
        </is>
      </c>
      <c r="X388" s="10" t="n"/>
    </row>
    <row r="389">
      <c r="A389" s="10" t="n">
        <v>388</v>
      </c>
      <c r="B389" s="11" t="n">
        <v>46267</v>
      </c>
      <c r="C389" s="11" t="n">
        <v>46267</v>
      </c>
      <c r="D389" s="10">
        <f>MONTH(B389)&amp;"月"</f>
        <v/>
      </c>
      <c r="E389" s="12" t="n">
        <v>1</v>
      </c>
      <c r="F389" s="10" t="n"/>
      <c r="G389" s="10" t="inlineStr">
        <is>
          <t>自動車OEMのWeb接客：AIエージェントが実現する「デジタル0号店」販売戦略</t>
        </is>
      </c>
      <c r="H389" s="10" t="inlineStr">
        <is>
          <t>株式会社セールスフォース・ジャパン</t>
        </is>
      </c>
      <c r="I389" s="10" t="n"/>
      <c r="J389" s="10" t="inlineStr">
        <is>
          <t>Salesforce 公式</t>
        </is>
      </c>
      <c r="K389" s="10" t="inlineStr">
        <is>
          <t>online</t>
        </is>
      </c>
      <c r="L389" s="10" t="inlineStr">
        <is>
          <t>オンライン</t>
        </is>
      </c>
      <c r="M389" s="10" t="inlineStr">
        <is>
          <t>営業・マーケ・CS</t>
        </is>
      </c>
      <c r="N389" s="10" t="inlineStr">
        <is>
          <t>AIエージェント</t>
        </is>
      </c>
      <c r="O389" s="12" t="inlineStr">
        <is>
          <t>◎</t>
        </is>
      </c>
      <c r="P389" s="13" t="n"/>
      <c r="Q389" s="12" t="inlineStr">
        <is>
          <t>不明</t>
        </is>
      </c>
      <c r="R389" s="14" t="n"/>
      <c r="S389" s="10" t="n"/>
      <c r="T389" s="10" t="inlineStr">
        <is>
          <t>Webサイトを車種提案から試乗予約、店舗への商談引き継ぎまでAIエージェントで担う「デジタル0号店」の販売戦略を解説するSalesforceウェビナー（ブログ掲載時点でオンデマンド配信）。</t>
        </is>
      </c>
      <c r="U389" s="15" t="inlineStr">
        <is>
          <t>https://www.salesforce.com/jp/blog/jp-salesforce-free-webinar-2026/</t>
        </is>
      </c>
      <c r="V389" s="10" t="n"/>
      <c r="W389" s="10" t="inlineStr">
        <is>
          <t>タイトル一致</t>
        </is>
      </c>
      <c r="X389" s="10" t="n"/>
    </row>
    <row r="390">
      <c r="A390" s="10" t="n">
        <v>389</v>
      </c>
      <c r="B390" s="11" t="n">
        <v>46267</v>
      </c>
      <c r="C390" s="11" t="n">
        <v>46267</v>
      </c>
      <c r="D390" s="10">
        <f>MONTH(B390)&amp;"月"</f>
        <v/>
      </c>
      <c r="E390" s="12" t="n">
        <v>1</v>
      </c>
      <c r="F390" s="10" t="n"/>
      <c r="G390" s="10" t="inlineStr">
        <is>
          <t>起動不能になった端末、遠隔で復旧できますか？ ～ランサム侵害・システム障害後の業務停止を短縮する方法～</t>
        </is>
      </c>
      <c r="H390" s="10" t="inlineStr">
        <is>
          <t>Absolute Software株式会社</t>
        </is>
      </c>
      <c r="I390" s="10" t="inlineStr">
        <is>
          <t>マジセミ株式会社</t>
        </is>
      </c>
      <c r="J390" s="10" t="inlineStr">
        <is>
          <t>Doorkeeper</t>
        </is>
      </c>
      <c r="K390" s="10" t="inlineStr">
        <is>
          <t>不明</t>
        </is>
      </c>
      <c r="L390" s="10" t="n"/>
      <c r="M390" s="10" t="inlineStr">
        <is>
          <t>生産性向上・業務効率化</t>
        </is>
      </c>
      <c r="N390" s="10" t="inlineStr">
        <is>
          <t>AIエージェント</t>
        </is>
      </c>
      <c r="O390" s="12" t="inlineStr">
        <is>
          <t>○</t>
        </is>
      </c>
      <c r="P390" s="13" t="n">
        <v>1</v>
      </c>
      <c r="Q390" s="12" t="inlineStr">
        <is>
          <t>参加者数</t>
        </is>
      </c>
      <c r="R390" s="14" t="n"/>
      <c r="S390" s="10" t="n"/>
      <c r="T390"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EDR導入後も残る、端末復旧の空白 ランサムウェア対策としてEDRを導入する企業は増えていますが、実際の現場では「EDRが正常に動き続けているか」「侵害後に端末を安全な状態へ戻せるか」まで十分に確認でき</t>
        </is>
      </c>
      <c r="U390" s="15" t="inlineStr">
        <is>
          <t>https://majisemi-idaas.doorkeeper.jp/events/198662</t>
        </is>
      </c>
      <c r="V390" s="10" t="n"/>
      <c r="W390" s="10" t="inlineStr">
        <is>
          <t>本文一致</t>
        </is>
      </c>
      <c r="X390" s="10" t="n"/>
    </row>
    <row r="391">
      <c r="A391" s="10" t="n">
        <v>390</v>
      </c>
      <c r="B391" s="11" t="n">
        <v>46268</v>
      </c>
      <c r="C391" s="11" t="n">
        <v>46268</v>
      </c>
      <c r="D391" s="10">
        <f>MONTH(B391)&amp;"月"</f>
        <v/>
      </c>
      <c r="E391" s="12" t="n">
        <v>1</v>
      </c>
      <c r="F391" s="10" t="n"/>
      <c r="G391" s="10" t="inlineStr">
        <is>
          <t>9/3(木)自分専用AIをつくる｜マイAIエージェントの作り方【参加無料】</t>
        </is>
      </c>
      <c r="H391" s="10" t="inlineStr">
        <is>
          <t>（記載なし）</t>
        </is>
      </c>
      <c r="I391" s="10" t="n"/>
      <c r="J391" s="10" t="inlineStr">
        <is>
          <t>Peatix</t>
        </is>
      </c>
      <c r="K391" s="10" t="inlineStr">
        <is>
          <t>不明</t>
        </is>
      </c>
      <c r="L391" s="10" t="n"/>
      <c r="M391" s="10" t="inlineStr">
        <is>
          <t>技術・AI全般</t>
        </is>
      </c>
      <c r="N391" s="10" t="inlineStr">
        <is>
          <t>AIエージェント</t>
        </is>
      </c>
      <c r="O391" s="12" t="inlineStr">
        <is>
          <t>○</t>
        </is>
      </c>
      <c r="P391" s="13" t="n"/>
      <c r="Q391" s="12" t="inlineStr">
        <is>
          <t>不明</t>
        </is>
      </c>
      <c r="R391" s="14" t="n"/>
      <c r="S391" s="10" t="n"/>
      <c r="T391" s="10" t="inlineStr">
        <is>
          <t>タイトルに9/3(木)（2026年9月3日は木曜）参加無料</t>
        </is>
      </c>
      <c r="U391" s="15" t="inlineStr">
        <is>
          <t>https://peatix.com/event/5140674</t>
        </is>
      </c>
      <c r="V391" s="10" t="n"/>
      <c r="W391" s="10" t="inlineStr">
        <is>
          <t>タイトル一致</t>
        </is>
      </c>
      <c r="X391" s="10" t="n"/>
    </row>
    <row r="392">
      <c r="A392" s="10" t="n">
        <v>391</v>
      </c>
      <c r="B392" s="11" t="n">
        <v>46268</v>
      </c>
      <c r="C392" s="11" t="n">
        <v>46269</v>
      </c>
      <c r="D392" s="10">
        <f>MONTH(B392)&amp;"月"</f>
        <v/>
      </c>
      <c r="E392" s="12" t="n">
        <v>1</v>
      </c>
      <c r="F392" s="10" t="n"/>
      <c r="G392" s="10" t="inlineStr">
        <is>
          <t>AI Commerce Expo / SNS運用戦略Expo 2026</t>
        </is>
      </c>
      <c r="H392" s="10" t="inlineStr">
        <is>
          <t>株式会社ナノオプト・メディア</t>
        </is>
      </c>
      <c r="I392" s="10" t="n"/>
      <c r="J392" s="10" t="inlineStr">
        <is>
          <t>こくちーずプロ</t>
        </is>
      </c>
      <c r="K392" s="10" t="inlineStr">
        <is>
          <t>オフライン（会場）</t>
        </is>
      </c>
      <c r="L392" s="10" t="inlineStr">
        <is>
          <t>東京都立産業貿易センター浜松町館 5F 東京都港区海岸1-7-1 東京ポートシティ竹芝 東京都立産業貿易センター浜松町館 5F</t>
        </is>
      </c>
      <c r="M392" s="10" t="inlineStr">
        <is>
          <t>営業・マーケ・CS</t>
        </is>
      </c>
      <c r="N392" s="10" t="inlineStr">
        <is>
          <t>AIエージェント</t>
        </is>
      </c>
      <c r="O392" s="12" t="inlineStr">
        <is>
          <t>○</t>
        </is>
      </c>
      <c r="P392" s="13" t="n">
        <v>4</v>
      </c>
      <c r="Q392" s="12" t="inlineStr">
        <is>
          <t>イベント参加 4/1000</t>
        </is>
      </c>
      <c r="R392" s="14" t="n">
        <v>1000</v>
      </c>
      <c r="S392" s="10" t="n"/>
      <c r="T392" s="10" t="inlineStr">
        <is>
          <t>【AI Commerce Expo / SNS運用戦略Expo 2026】 ■日時：2026年9月3日（木）-4日（金）10:00～18:00 ■会場：東京都立産業貿易センター浜松町館 5F ■入場料：無料（事前登録制） ■事前登録：下記URLより登録制＜参加無料＞ https://f2ff.jp/event/commerce-sns 生成AIの急速な進化により、EC・小売・マーケティング・SNS運用の現場は大きな転換期を迎えています。</t>
        </is>
      </c>
      <c r="U392" s="15" t="inlineStr">
        <is>
          <t>https://www.kokuchpro.com/event/d0a050edaee3feb8cc3e52088a28bc87/</t>
        </is>
      </c>
      <c r="V392" s="10" t="n"/>
      <c r="W392" s="10" t="inlineStr">
        <is>
          <t>本文一致</t>
        </is>
      </c>
      <c r="X392" s="10" t="n"/>
    </row>
    <row r="393">
      <c r="A393" s="10" t="n">
        <v>392</v>
      </c>
      <c r="B393" s="11" t="n">
        <v>46268</v>
      </c>
      <c r="C393" s="11" t="n">
        <v>46268</v>
      </c>
      <c r="D393" s="10">
        <f>MONTH(B393)&amp;"月"</f>
        <v/>
      </c>
      <c r="E393" s="12" t="n">
        <v>1</v>
      </c>
      <c r="F393" s="10" t="n"/>
      <c r="G393" s="10" t="inlineStr">
        <is>
          <t>AI エージェントハンズオン～ObjectScript SDK でエージェント作ってみよう！～</t>
        </is>
      </c>
      <c r="H393" s="10" t="inlineStr">
        <is>
          <t>インターシステムズ開発者コミュニティのグループ</t>
        </is>
      </c>
      <c r="I393" s="10" t="n"/>
      <c r="J393" s="10" t="inlineStr">
        <is>
          <t>connpass</t>
        </is>
      </c>
      <c r="K393" s="10" t="inlineStr">
        <is>
          <t>会場</t>
        </is>
      </c>
      <c r="L393" s="10" t="inlineStr">
        <is>
          <t>東京都新宿区西新宿6-10-1（日土地西新宿ビル15F）</t>
        </is>
      </c>
      <c r="M393" s="10" t="inlineStr">
        <is>
          <t>営業・マーケ・CS</t>
        </is>
      </c>
      <c r="N393" s="10" t="inlineStr">
        <is>
          <t>AIエージェント</t>
        </is>
      </c>
      <c r="O393" s="12" t="inlineStr">
        <is>
          <t>◎</t>
        </is>
      </c>
      <c r="P393" s="13" t="n">
        <v>8</v>
      </c>
      <c r="Q393" s="12" t="inlineStr">
        <is>
          <t>参加者数</t>
        </is>
      </c>
      <c r="R393" s="14" t="n">
        <v>12</v>
      </c>
      <c r="S393" s="10" t="n"/>
      <c r="T393" s="10" t="n"/>
      <c r="U393" s="15" t="inlineStr">
        <is>
          <t>https://intersystems-dc.connpass.com/event/401244/</t>
        </is>
      </c>
      <c r="V393" s="10" t="n"/>
      <c r="W393" s="10" t="inlineStr">
        <is>
          <t>タイトル一致</t>
        </is>
      </c>
      <c r="X393" s="10" t="n"/>
    </row>
    <row r="394">
      <c r="A394" s="10" t="n">
        <v>393</v>
      </c>
      <c r="B394" s="11" t="n">
        <v>46268</v>
      </c>
      <c r="C394" s="11" t="n">
        <v>46269</v>
      </c>
      <c r="D394" s="10">
        <f>MONTH(B394)&amp;"月"</f>
        <v/>
      </c>
      <c r="E394" s="12" t="n">
        <v>1</v>
      </c>
      <c r="F394" s="10" t="n"/>
      <c r="G394" s="10" t="inlineStr">
        <is>
          <t>DXシステム開発 Expo／ものづくりDX Expo／AI Innovation Tokyo 2026</t>
        </is>
      </c>
      <c r="H394" s="10" t="inlineStr">
        <is>
          <t>ナノオプト・メディア</t>
        </is>
      </c>
      <c r="I394" s="10" t="n"/>
      <c r="J394" s="10" t="inlineStr">
        <is>
          <t>個別調査（公式サイト・PR TIMES等）</t>
        </is>
      </c>
      <c r="K394" s="10" t="inlineStr">
        <is>
          <t>会場</t>
        </is>
      </c>
      <c r="L394" s="10" t="inlineStr">
        <is>
          <t>東京都立産業貿易センター浜松町館</t>
        </is>
      </c>
      <c r="M394" s="10" t="inlineStr">
        <is>
          <t>生産管理・製造・SCM</t>
        </is>
      </c>
      <c r="N394" s="10" t="inlineStr">
        <is>
          <t>AIエージェント</t>
        </is>
      </c>
      <c r="O394" s="12" t="inlineStr">
        <is>
          <t>◎</t>
        </is>
      </c>
      <c r="P394" s="13" t="n">
        <v>3118</v>
      </c>
      <c r="Q394" s="12" t="inlineStr">
        <is>
          <t>来場者数</t>
        </is>
      </c>
      <c r="R394" s="14" t="n"/>
      <c r="S394" s="10" t="inlineStr">
        <is>
          <t>前回は2,664名</t>
        </is>
      </c>
      <c r="T394" s="10" t="inlineStr">
        <is>
          <t>3展の同時開催。Google Cloudが「GeminiでのAIエージェント開発・運用」を講演し、製造業でのAI導入に関する講演もあった。</t>
        </is>
      </c>
      <c r="U394" s="15" t="inlineStr">
        <is>
          <t>https://f2ff.jp/event/dx-ai</t>
        </is>
      </c>
      <c r="V394" s="10" t="n"/>
      <c r="W394" s="10" t="inlineStr">
        <is>
          <t>個別確認</t>
        </is>
      </c>
      <c r="X394" s="10" t="n"/>
    </row>
    <row r="395">
      <c r="A395" s="10" t="n">
        <v>394</v>
      </c>
      <c r="B395" s="11" t="n">
        <v>46268</v>
      </c>
      <c r="C395" s="11" t="n">
        <v>46268</v>
      </c>
      <c r="D395" s="10">
        <f>MONTH(B395)&amp;"月"</f>
        <v/>
      </c>
      <c r="E395" s="12" t="n">
        <v>1</v>
      </c>
      <c r="F395" s="10" t="n"/>
      <c r="G395" s="10" t="inlineStr">
        <is>
          <t>Hello Joule!ウェビナー〜AIで部門を横断し、判断と実行を同期するサプライチェーン〜</t>
        </is>
      </c>
      <c r="H395" s="10" t="inlineStr">
        <is>
          <t>SAPジャパン</t>
        </is>
      </c>
      <c r="I395" s="10" t="n"/>
      <c r="J395" s="10" t="inlineStr">
        <is>
          <t>個別調査（公式サイト・PR TIMES等）</t>
        </is>
      </c>
      <c r="K395" s="10" t="inlineStr">
        <is>
          <t>オンライン</t>
        </is>
      </c>
      <c r="L395" s="10" t="n"/>
      <c r="M395" s="10" t="inlineStr">
        <is>
          <t>生産管理・製造・SCM</t>
        </is>
      </c>
      <c r="N395" s="10" t="inlineStr">
        <is>
          <t>AIエージェント</t>
        </is>
      </c>
      <c r="O395" s="12" t="inlineStr">
        <is>
          <t>◎</t>
        </is>
      </c>
      <c r="P395" s="13" t="n"/>
      <c r="Q395" s="12" t="inlineStr">
        <is>
          <t>不明</t>
        </is>
      </c>
      <c r="R395" s="14" t="n"/>
      <c r="S395" s="10" t="n"/>
      <c r="T395" s="10" t="inlineStr">
        <is>
          <t>SAPのAIエージェントが、需要・供給・在庫・製造・物流のデータを横断して分析し、自律型サプライチェーンを支える様子を紹介する。</t>
        </is>
      </c>
      <c r="U395" s="15" t="inlineStr">
        <is>
          <t>https://www.jsug.org/post/schedule-joule-webiner-20260903</t>
        </is>
      </c>
      <c r="V395" s="10" t="n"/>
      <c r="W395" s="10" t="inlineStr">
        <is>
          <t>個別確認</t>
        </is>
      </c>
      <c r="X395" s="10" t="n"/>
    </row>
    <row r="396">
      <c r="A396" s="10" t="n">
        <v>395</v>
      </c>
      <c r="B396" s="11" t="n">
        <v>46268</v>
      </c>
      <c r="C396" s="11" t="n">
        <v>46269</v>
      </c>
      <c r="D396" s="10">
        <f>MONTH(B396)&amp;"月"</f>
        <v/>
      </c>
      <c r="E396" s="12" t="n">
        <v>1</v>
      </c>
      <c r="F396" s="10" t="n"/>
      <c r="G396" s="10" t="inlineStr">
        <is>
          <t>【 DXシステム開発 Expo / ものづくりDX Expo / AI Innovation Tokyo 2026 】</t>
        </is>
      </c>
      <c r="H396" s="10" t="inlineStr">
        <is>
          <t>株式会社ナノオプト・メディア</t>
        </is>
      </c>
      <c r="I396" s="10" t="n"/>
      <c r="J396" s="10" t="inlineStr">
        <is>
          <t>こくちーずプロ</t>
        </is>
      </c>
      <c r="K396" s="10" t="inlineStr">
        <is>
          <t>オフライン（会場）</t>
        </is>
      </c>
      <c r="L396" s="10" t="inlineStr">
        <is>
          <t>東京都立産業貿易センター浜松町館 4F 東京都港区海岸1-7-1 東京ポートシティ竹芝 東京都立産業貿易センター浜松町館 4F</t>
        </is>
      </c>
      <c r="M396" s="10" t="inlineStr">
        <is>
          <t>生産管理・製造・SCM</t>
        </is>
      </c>
      <c r="N396" s="10" t="inlineStr">
        <is>
          <t>AIエージェント</t>
        </is>
      </c>
      <c r="O396" s="12" t="inlineStr">
        <is>
          <t>○</t>
        </is>
      </c>
      <c r="P396" s="13" t="n">
        <v>0</v>
      </c>
      <c r="Q396" s="12" t="inlineStr">
        <is>
          <t>イベント参加 0/1000</t>
        </is>
      </c>
      <c r="R396" s="14" t="n">
        <v>1000</v>
      </c>
      <c r="S396" s="10" t="n"/>
      <c r="T396" s="10" t="inlineStr">
        <is>
          <t>【 DXシステム開発 Expo / ものづくりDX Expo / AI Innovation Tokyo 2026 】 ■日時：2026年9月3日（木）-4日（金）10:00～18:00 ■会場：東京都立産業貿易センター浜松町館 4F ■入場料：無料（事前登録制） ■事前登録：下記URLより登録制＜参加無料＞ https://f2ff.jp/event/dx-ai 生成AIやAIエージェントの進化により、企業のDX推進やシステム開発、製</t>
        </is>
      </c>
      <c r="U396" s="15" t="inlineStr">
        <is>
          <t>https://www.kokuchpro.com/event/dc34365b1870492c4a5d4054f6496e55/</t>
        </is>
      </c>
      <c r="V396" s="10" t="n"/>
      <c r="W396" s="10" t="inlineStr">
        <is>
          <t>本文一致</t>
        </is>
      </c>
      <c r="X396" s="10" t="n"/>
    </row>
    <row r="397">
      <c r="A397" s="10" t="n">
        <v>396</v>
      </c>
      <c r="B397" s="11" t="n">
        <v>46268</v>
      </c>
      <c r="C397" s="11" t="n">
        <v>46268</v>
      </c>
      <c r="D397" s="10">
        <f>MONTH(B397)&amp;"月"</f>
        <v/>
      </c>
      <c r="E397" s="12" t="n">
        <v>1</v>
      </c>
      <c r="F397" s="10" t="n"/>
      <c r="G397" s="10" t="inlineStr">
        <is>
          <t>【WACA会員部主催】AI時代のWebマーケティング　〜「AIの限界」と「数字から気づきを導く考え方」</t>
        </is>
      </c>
      <c r="H397" s="10" t="inlineStr">
        <is>
          <t>web-mining</t>
        </is>
      </c>
      <c r="I397" s="10" t="n"/>
      <c r="J397" s="10" t="inlineStr">
        <is>
          <t>Doorkeeper</t>
        </is>
      </c>
      <c r="K397" s="10" t="inlineStr">
        <is>
          <t>不明</t>
        </is>
      </c>
      <c r="L397" s="10" t="n"/>
      <c r="M397" s="10" t="inlineStr">
        <is>
          <t>営業・マーケ・CS</t>
        </is>
      </c>
      <c r="N397" s="10" t="inlineStr">
        <is>
          <t>AIエージェント</t>
        </is>
      </c>
      <c r="O397" s="12" t="inlineStr">
        <is>
          <t>○</t>
        </is>
      </c>
      <c r="P397" s="13" t="n">
        <v>51</v>
      </c>
      <c r="Q397" s="12" t="inlineStr">
        <is>
          <t>参加者数</t>
        </is>
      </c>
      <c r="R397" s="14" t="n">
        <v>70</v>
      </c>
      <c r="S397" s="10" t="n"/>
      <c r="T397" s="10" t="inlineStr">
        <is>
          <t xml:space="preserve"> セミナー概要 AIの進化により「業務の効率化」や「コンテンツの大量生産」が注目される一方で、現場では「AIの苦手なこと」を知らないことによるトラブルや、数字（データ）を改善にうまく繋げられないといった課題が浮き彫りになっています。 本セミナーでは、AIエージェントの「限界とリスク」を正しく把握するメインセッションを軸に、現場のディレクターが実践する「Web解析の判断力」や「AIを活用したメディア運用のリアル」という2本のライトニングト</t>
        </is>
      </c>
      <c r="U397" s="15" t="inlineStr">
        <is>
          <t>https://web-mining.doorkeeper.jp/events/198675</t>
        </is>
      </c>
      <c r="V397" s="10" t="n"/>
      <c r="W397" s="10" t="inlineStr">
        <is>
          <t>本文一致</t>
        </is>
      </c>
      <c r="X397" s="10" t="n"/>
    </row>
    <row r="398">
      <c r="A398" s="10" t="n">
        <v>397</v>
      </c>
      <c r="B398" s="11" t="n">
        <v>46268</v>
      </c>
      <c r="C398" s="11" t="n">
        <v>46268</v>
      </c>
      <c r="D398" s="10">
        <f>MONTH(B398)&amp;"月"</f>
        <v/>
      </c>
      <c r="E398" s="12" t="n">
        <v>1</v>
      </c>
      <c r="F398" s="10" t="n"/>
      <c r="G398" s="10" t="inlineStr">
        <is>
          <t>【オンライン】仕事を減らして成果を増やす「AI社員」の作り方 入門|異業種交流ギルド クロストーク</t>
        </is>
      </c>
      <c r="H398" s="10" t="inlineStr">
        <is>
          <t>クロストーク</t>
        </is>
      </c>
      <c r="I398" s="10" t="n"/>
      <c r="J398" s="10" t="inlineStr">
        <is>
          <t>こくちーずプロ</t>
        </is>
      </c>
      <c r="K398" s="10" t="inlineStr">
        <is>
          <t>オンライン</t>
        </is>
      </c>
      <c r="L398" s="10" t="inlineStr">
        <is>
          <t>オンライン 日本</t>
        </is>
      </c>
      <c r="M398" s="10" t="inlineStr">
        <is>
          <t>生産性向上・業務効率化</t>
        </is>
      </c>
      <c r="N398" s="10" t="inlineStr">
        <is>
          <t>AIエージェント</t>
        </is>
      </c>
      <c r="O398" s="12" t="inlineStr">
        <is>
          <t>○</t>
        </is>
      </c>
      <c r="P398" s="13" t="n">
        <v>4</v>
      </c>
      <c r="Q398" s="12" t="inlineStr">
        <is>
          <t>イベント参加 4/30</t>
        </is>
      </c>
      <c r="R398" s="14" t="n">
        <v>30</v>
      </c>
      <c r="S398" s="10" t="n"/>
      <c r="T398" s="10" t="inlineStr">
        <is>
          <t>✨ 仕事を減らして成果を増やす「AI社員」の作り方 入門 ✨ 〜 "相談相手としてのAI" から "業務を任せるAI社員" へ 〜 ━━━━━━━━━━━━━━━━ こんな状態で止まっていませんか？ ・質問して終わりになっている ・アドバイスはもらえるけど、動くのは結局まだ自分 ・AIエージェントって聞くけど、何が違うのかわからない このセミナーは、そこから一歩進んで 「業務そのものを任せる」という発想を学ぶ90分です。 7月に姫路のM</t>
        </is>
      </c>
      <c r="U398" s="15" t="inlineStr">
        <is>
          <t>https://www.kokuchpro.com/event/45c7d1d1698cefbad8a7bc7e28403d6e/</t>
        </is>
      </c>
      <c r="V398" s="10" t="n"/>
      <c r="W398" s="10" t="inlineStr">
        <is>
          <t>本文一致</t>
        </is>
      </c>
      <c r="X398" s="10" t="n"/>
    </row>
    <row r="399">
      <c r="A399" s="10" t="n">
        <v>398</v>
      </c>
      <c r="B399" s="11" t="n">
        <v>46268</v>
      </c>
      <c r="C399" s="11" t="n">
        <v>46268</v>
      </c>
      <c r="D399" s="10">
        <f>MONTH(B399)&amp;"月"</f>
        <v/>
      </c>
      <c r="E399" s="12" t="n">
        <v>1</v>
      </c>
      <c r="F399" s="10" t="n"/>
      <c r="G399" s="10" t="inlineStr">
        <is>
          <t>【無料】SiTest AI新機能紹介セミナー</t>
        </is>
      </c>
      <c r="H399" s="10" t="inlineStr">
        <is>
          <t>株式会社グラッドキューブ</t>
        </is>
      </c>
      <c r="I399" s="10" t="n"/>
      <c r="J399" s="10" t="inlineStr">
        <is>
          <t>こくちーずプロ</t>
        </is>
      </c>
      <c r="K399" s="10" t="inlineStr">
        <is>
          <t>オンライン</t>
        </is>
      </c>
      <c r="L399" s="10" t="inlineStr">
        <is>
          <t>オンライン 日本</t>
        </is>
      </c>
      <c r="M399" s="10" t="inlineStr">
        <is>
          <t>生産性向上・業務効率化</t>
        </is>
      </c>
      <c r="N399" s="10" t="inlineStr">
        <is>
          <t>AIエージェント</t>
        </is>
      </c>
      <c r="O399" s="12" t="inlineStr">
        <is>
          <t>○</t>
        </is>
      </c>
      <c r="P399" s="13" t="n">
        <v>0</v>
      </c>
      <c r="Q399" s="12" t="inlineStr">
        <is>
          <t>イベント参加 0/20</t>
        </is>
      </c>
      <c r="R399" s="14" t="n">
        <v>20</v>
      </c>
      <c r="S399" s="10" t="n"/>
      <c r="T399" s="10" t="inlineStr">
        <is>
          <t>セミナー概要 「分析に時間がかかる」「改善案が出ても実行に移せない」とお悩みの方へ。 本ウェビナーでは、SiTestの新機能（AIエージェント・LP AIレポート）とClaude Codeを活用し、Web改善を効率化する手法を解説します。 AIとの対話によるユーザー行動の分析やレポート作成により、これまで約3時間かかっていた作業をわずか5分に短縮。 さらに、得られた改善案を具体的な施策へと落とし込み、スムーズに実行へ繋げる一連のプロセス</t>
        </is>
      </c>
      <c r="U399" s="15" t="inlineStr">
        <is>
          <t>https://www.kokuchpro.com/event/99a9d54cc1a761600a04e2305b62d415/</t>
        </is>
      </c>
      <c r="V399" s="10" t="n"/>
      <c r="W399" s="10" t="inlineStr">
        <is>
          <t>本文一致</t>
        </is>
      </c>
      <c r="X399" s="10" t="n"/>
    </row>
    <row r="400">
      <c r="A400" s="10" t="n">
        <v>399</v>
      </c>
      <c r="B400" s="11" t="n">
        <v>46268</v>
      </c>
      <c r="C400" s="11" t="n">
        <v>46268</v>
      </c>
      <c r="D400" s="10">
        <f>MONTH(B400)&amp;"月"</f>
        <v/>
      </c>
      <c r="E400" s="12" t="n">
        <v>1</v>
      </c>
      <c r="F400" s="10" t="n"/>
      <c r="G400" s="10" t="inlineStr">
        <is>
          <t>情シスがまず学ぶべき「AIエージェント活用」と「QA（品質保証）の常識」</t>
        </is>
      </c>
      <c r="H400" s="10" t="inlineStr">
        <is>
          <t>MagicPod</t>
        </is>
      </c>
      <c r="I400" s="10" t="n"/>
      <c r="J400" s="10" t="inlineStr">
        <is>
          <t>connpass</t>
        </is>
      </c>
      <c r="K400" s="10" t="inlineStr">
        <is>
          <t>オンライン</t>
        </is>
      </c>
      <c r="L400" s="10" t="inlineStr">
        <is>
          <t>オンライン</t>
        </is>
      </c>
      <c r="M400" s="10" t="inlineStr">
        <is>
          <t>技術・AI全般</t>
        </is>
      </c>
      <c r="N400" s="10" t="inlineStr">
        <is>
          <t>AIエージェント</t>
        </is>
      </c>
      <c r="O400" s="12" t="inlineStr">
        <is>
          <t>○</t>
        </is>
      </c>
      <c r="P400" s="13" t="n">
        <v>27</v>
      </c>
      <c r="Q400" s="12" t="inlineStr">
        <is>
          <t>参加者数</t>
        </is>
      </c>
      <c r="R400" s="14" t="n"/>
      <c r="S400" s="10" t="n"/>
      <c r="T400" s="10" t="n"/>
      <c r="U400" s="15" t="inlineStr">
        <is>
          <t>https://trident-qa.connpass.com/event/401372/</t>
        </is>
      </c>
      <c r="V400" s="10" t="n"/>
      <c r="W400" s="10" t="inlineStr">
        <is>
          <t>タイトル一致</t>
        </is>
      </c>
      <c r="X400" s="10" t="n"/>
    </row>
    <row r="401">
      <c r="A401" s="10" t="n">
        <v>400</v>
      </c>
      <c r="B401" s="11" t="n">
        <v>46268</v>
      </c>
      <c r="C401" s="11" t="n">
        <v>46268</v>
      </c>
      <c r="D401" s="10">
        <f>MONTH(B401)&amp;"月"</f>
        <v/>
      </c>
      <c r="E401" s="12" t="n">
        <v>1</v>
      </c>
      <c r="F401" s="10" t="n"/>
      <c r="G401" s="10" t="inlineStr">
        <is>
          <t>月末の請求書30枚が、5分で終わる——Claude Codeが変える中小企業のバックオフィス</t>
        </is>
      </c>
      <c r="H401" s="10" t="inlineStr">
        <is>
          <t>株式会社ノヴァリス</t>
        </is>
      </c>
      <c r="I401" s="10" t="n"/>
      <c r="J401" s="10" t="inlineStr">
        <is>
          <t>connpass</t>
        </is>
      </c>
      <c r="K401" s="10" t="inlineStr">
        <is>
          <t>オンライン</t>
        </is>
      </c>
      <c r="L401" s="10" t="inlineStr">
        <is>
          <t>オンライン</t>
        </is>
      </c>
      <c r="M401" s="10" t="inlineStr">
        <is>
          <t>生産性向上・業務効率化</t>
        </is>
      </c>
      <c r="N401" s="10" t="inlineStr">
        <is>
          <t>AIエージェント</t>
        </is>
      </c>
      <c r="O401" s="12" t="inlineStr">
        <is>
          <t>◎</t>
        </is>
      </c>
      <c r="P401" s="13" t="n">
        <v>0</v>
      </c>
      <c r="Q401" s="12" t="inlineStr">
        <is>
          <t>参加者数</t>
        </is>
      </c>
      <c r="R401" s="14" t="n">
        <v>10</v>
      </c>
      <c r="S401" s="10" t="n"/>
      <c r="T401" s="10" t="n"/>
      <c r="U401" s="15" t="inlineStr">
        <is>
          <t>https://connpass.com/event/403748/</t>
        </is>
      </c>
      <c r="V401" s="10" t="n"/>
      <c r="W401" s="10" t="inlineStr">
        <is>
          <t>タイトル一致</t>
        </is>
      </c>
      <c r="X401" s="10" t="n"/>
    </row>
    <row r="402">
      <c r="A402" s="10" t="n">
        <v>401</v>
      </c>
      <c r="B402" s="11" t="n">
        <v>46269</v>
      </c>
      <c r="C402" s="11" t="n">
        <v>46428</v>
      </c>
      <c r="D402" s="10">
        <f>MONTH(B402)&amp;"月"</f>
        <v/>
      </c>
      <c r="E402" s="12" t="n">
        <v>1</v>
      </c>
      <c r="F402" s="10" t="n"/>
      <c r="G402" s="10" t="inlineStr">
        <is>
          <t>AIエージェント経営入門〜実装を成功させるロードマップの勘所〜【無料/動画視聴版ウェビナー】</t>
        </is>
      </c>
      <c r="H402" s="10" t="inlineStr">
        <is>
          <t>株式会社タナベコンサルティング ウェビナー事務局</t>
        </is>
      </c>
      <c r="I402" s="10" t="n"/>
      <c r="J402" s="10" t="inlineStr">
        <is>
          <t>こくちーずプロ</t>
        </is>
      </c>
      <c r="K402" s="10" t="inlineStr">
        <is>
          <t>オンライン</t>
        </is>
      </c>
      <c r="L402" s="10" t="inlineStr">
        <is>
          <t>オンライン 日本</t>
        </is>
      </c>
      <c r="M402" s="10" t="inlineStr">
        <is>
          <t>生産性向上・業務効率化</t>
        </is>
      </c>
      <c r="N402" s="10" t="inlineStr">
        <is>
          <t>AIエージェント</t>
        </is>
      </c>
      <c r="O402" s="12" t="inlineStr">
        <is>
          <t>◎</t>
        </is>
      </c>
      <c r="P402" s="13" t="n"/>
      <c r="Q402" s="12" t="inlineStr">
        <is>
          <t>不明</t>
        </is>
      </c>
      <c r="R402" s="14" t="n"/>
      <c r="S402" s="10" t="n"/>
      <c r="T402" s="10" t="inlineStr">
        <is>
          <t>★人気コンテンツ再公開★ 人気のWEBセミナーを動画視聴版説明会として公開いたします！ この期間内、いつでもご視聴いただけます！ ※2026年6月に開催したウェビナーの録画配信です。 ～～～～～～～～～～～～～～～～～～～～～ オンライン（動画視聴版）説明会（動画URL視聴版） 【お申込み後、視聴用URL送付いたします】 ※1．ページ設定の都合上、開催日程・時間を掲載しておりますが、 お申込み後、ご視聴いただけるURLは、適宜お送りさせ</t>
        </is>
      </c>
      <c r="U402" s="15" t="inlineStr">
        <is>
          <t>https://www.kokuchpro.com/event/1cfe4d95879a6a2d899a7b1e6b580416/</t>
        </is>
      </c>
      <c r="V402" s="10" t="n"/>
      <c r="W402" s="10" t="inlineStr">
        <is>
          <t>タイトル一致</t>
        </is>
      </c>
      <c r="X402" s="10" t="n"/>
    </row>
    <row r="403">
      <c r="A403" s="10" t="n">
        <v>402</v>
      </c>
      <c r="B403" s="11" t="n">
        <v>46269</v>
      </c>
      <c r="C403" s="11" t="n">
        <v>46269</v>
      </c>
      <c r="D403" s="10">
        <f>MONTH(B403)&amp;"月"</f>
        <v/>
      </c>
      <c r="E403" s="12" t="n">
        <v>1</v>
      </c>
      <c r="F403" s="10" t="n"/>
      <c r="G403" s="10" t="inlineStr">
        <is>
          <t>DX&amp;AI Forum 2026 秋 大阪</t>
        </is>
      </c>
      <c r="H403" s="10" t="inlineStr">
        <is>
          <t>SBクリエイティブ株式会社（ビジネス＋IT）</t>
        </is>
      </c>
      <c r="I403" s="10" t="n"/>
      <c r="J403" s="10" t="inlineStr">
        <is>
          <t>ビジネス+IT</t>
        </is>
      </c>
      <c r="K403" s="10" t="inlineStr">
        <is>
          <t>offline</t>
        </is>
      </c>
      <c r="L403" s="10" t="inlineStr">
        <is>
          <t>大阪府</t>
        </is>
      </c>
      <c r="M403" s="10" t="inlineStr">
        <is>
          <t>生産性向上・業務効率化</t>
        </is>
      </c>
      <c r="N403" s="10" t="inlineStr">
        <is>
          <t>AIエージェント</t>
        </is>
      </c>
      <c r="O403" s="12" t="inlineStr">
        <is>
          <t>○</t>
        </is>
      </c>
      <c r="P403" s="13" t="n"/>
      <c r="Q403" s="12" t="inlineStr">
        <is>
          <t>不明</t>
        </is>
      </c>
      <c r="R403" s="14" t="n"/>
      <c r="S403" s="10" t="n"/>
      <c r="T403" s="10" t="inlineStr">
        <is>
          <t>世界的な地政学リスクと経済安全保障問題、AI主権をめぐるAI開発競争など、厳しさを増す経済環境の中、日本企業は生き残りをかけた変革を迫られています。一方でAIは、自ら考え行動するエージェンティックAIや現実世界で動くフィジカルAIへと進化し、人とAIが協調し稼働する「自律型社会」が、AGI（汎用人工知能）の実現を視野にいよいよ現実となろうとしています。日本企業がAIやデジタルを融合した「AX戦略」で「再成長」へ向かうには、今、何が必要で</t>
        </is>
      </c>
      <c r="U403" s="15" t="inlineStr">
        <is>
          <t>https://www.sbbit.jp/eventinfo/88486</t>
        </is>
      </c>
      <c r="V403" s="10" t="n"/>
      <c r="W403" s="10" t="inlineStr">
        <is>
          <t>本文一致</t>
        </is>
      </c>
      <c r="X403" s="10" t="n"/>
    </row>
    <row r="404">
      <c r="A404" s="10" t="n">
        <v>403</v>
      </c>
      <c r="B404" s="11" t="n">
        <v>46269</v>
      </c>
      <c r="C404" s="11" t="n">
        <v>46280</v>
      </c>
      <c r="D404" s="10">
        <f>MONTH(B404)&amp;"月"</f>
        <v/>
      </c>
      <c r="E404" s="12" t="n">
        <v>1</v>
      </c>
      <c r="F404" s="10" t="n"/>
      <c r="G404" s="10" t="inlineStr">
        <is>
          <t>Optimize Next MCP ライブ実演ウェビナー（9/4・9/9・9/15）</t>
        </is>
      </c>
      <c r="H404" s="10" t="inlineStr">
        <is>
          <t>PROJECT GROUP株式会社</t>
        </is>
      </c>
      <c r="I404" s="10" t="inlineStr">
        <is>
          <t>株式会社A1Growth（9/9のみ共催）</t>
        </is>
      </c>
      <c r="J404" s="10" t="inlineStr">
        <is>
          <t>個別調査（公式サイト・PR TIMES等）</t>
        </is>
      </c>
      <c r="K404" s="10" t="inlineStr">
        <is>
          <t>オンライン</t>
        </is>
      </c>
      <c r="L404" s="10" t="inlineStr">
        <is>
          <t>Zoom</t>
        </is>
      </c>
      <c r="M404" s="10" t="inlineStr">
        <is>
          <t>営業・マーケ・CS</t>
        </is>
      </c>
      <c r="N404" s="10" t="inlineStr">
        <is>
          <t>両方（MCPが中心）</t>
        </is>
      </c>
      <c r="O404" s="12" t="inlineStr">
        <is>
          <t>◎</t>
        </is>
      </c>
      <c r="P404" s="13" t="n"/>
      <c r="Q404" s="12" t="inlineStr">
        <is>
          <t>不明</t>
        </is>
      </c>
      <c r="R404" s="14" t="n"/>
      <c r="S404" s="10" t="n"/>
      <c r="T404" s="10" t="inlineStr">
        <is>
          <t>AIにチャットで指示するだけでABテストを実装・公開する様子を実演し、MCPを使う手順を解説する。</t>
        </is>
      </c>
      <c r="U404" s="15" t="inlineStr">
        <is>
          <t>https://prtimes.jp/main/html/rd/p/000000032.000042640.html</t>
        </is>
      </c>
      <c r="V404" s="10" t="n"/>
      <c r="W404" s="10" t="inlineStr">
        <is>
          <t>個別確認</t>
        </is>
      </c>
      <c r="X404" s="10" t="inlineStr">
        <is>
          <t>マーケ業務の自動化</t>
        </is>
      </c>
    </row>
    <row r="405">
      <c r="A405" s="10" t="n">
        <v>404</v>
      </c>
      <c r="B405" s="11" t="n">
        <v>46269</v>
      </c>
      <c r="C405" s="11" t="n">
        <v>46269</v>
      </c>
      <c r="D405" s="10">
        <f>MONTH(B405)&amp;"月"</f>
        <v/>
      </c>
      <c r="E405" s="12" t="n">
        <v>1</v>
      </c>
      <c r="F405" s="10" t="n"/>
      <c r="G405" s="10" t="inlineStr">
        <is>
          <t>第一線で活躍するデータエンジニア・データ組織 AI Agent活用の裏側  Devin編</t>
        </is>
      </c>
      <c r="H405" s="10" t="inlineStr">
        <is>
          <t>ファインディ／Findy</t>
        </is>
      </c>
      <c r="I405" s="10" t="n"/>
      <c r="J405" s="10" t="inlineStr">
        <is>
          <t>connpass</t>
        </is>
      </c>
      <c r="K405" s="10" t="inlineStr">
        <is>
          <t>オンライン</t>
        </is>
      </c>
      <c r="L405" s="10" t="inlineStr">
        <is>
          <t>オンライン</t>
        </is>
      </c>
      <c r="M405" s="10" t="inlineStr">
        <is>
          <t>開発生産性</t>
        </is>
      </c>
      <c r="N405" s="10" t="inlineStr">
        <is>
          <t>AIエージェント</t>
        </is>
      </c>
      <c r="O405" s="12" t="inlineStr">
        <is>
          <t>○</t>
        </is>
      </c>
      <c r="P405" s="13" t="n">
        <v>223</v>
      </c>
      <c r="Q405" s="12" t="inlineStr">
        <is>
          <t>参加者数</t>
        </is>
      </c>
      <c r="R405" s="14" t="n"/>
      <c r="S405" s="10" t="n"/>
      <c r="T405" s="10" t="n"/>
      <c r="U405" s="15" t="inlineStr">
        <is>
          <t>https://findy.connpass.com/event/403790/</t>
        </is>
      </c>
      <c r="V405" s="10" t="n"/>
      <c r="W405" s="10" t="inlineStr">
        <is>
          <t>タイトル一致</t>
        </is>
      </c>
      <c r="X405" s="10" t="n"/>
    </row>
    <row r="406">
      <c r="A406" s="10" t="n">
        <v>405</v>
      </c>
      <c r="B406" s="11" t="n">
        <v>46270</v>
      </c>
      <c r="C406" s="11" t="n">
        <v>46270</v>
      </c>
      <c r="D406" s="10">
        <f>MONTH(B406)&amp;"月"</f>
        <v/>
      </c>
      <c r="E406" s="12" t="n">
        <v>1</v>
      </c>
      <c r="F406" s="10" t="n"/>
      <c r="G406" s="10" t="inlineStr">
        <is>
          <t>【渋谷】Zenn Agentic AI ミニハッカソン with Google Cloud</t>
        </is>
      </c>
      <c r="H406" s="10" t="inlineStr">
        <is>
          <t>クラスメソッド株式会社</t>
        </is>
      </c>
      <c r="I406" s="10" t="n"/>
      <c r="J406" s="10" t="inlineStr">
        <is>
          <t>connpass</t>
        </is>
      </c>
      <c r="K406" s="10" t="inlineStr">
        <is>
          <t>会場</t>
        </is>
      </c>
      <c r="L406" s="10" t="inlineStr">
        <is>
          <t>東京都渋谷区3-21-3 渋谷ストリーム5F</t>
        </is>
      </c>
      <c r="M406" s="10" t="inlineStr">
        <is>
          <t>技術・AI全般</t>
        </is>
      </c>
      <c r="N406" s="10" t="inlineStr">
        <is>
          <t>AIエージェント</t>
        </is>
      </c>
      <c r="O406" s="12" t="inlineStr">
        <is>
          <t>○</t>
        </is>
      </c>
      <c r="P406" s="13" t="n">
        <v>199</v>
      </c>
      <c r="Q406" s="12" t="inlineStr">
        <is>
          <t>参加者数</t>
        </is>
      </c>
      <c r="R406" s="14" t="n">
        <v>270</v>
      </c>
      <c r="S406" s="10" t="n"/>
      <c r="T406" s="10" t="n"/>
      <c r="U406" s="15" t="inlineStr">
        <is>
          <t>https://classmethod.connpass.com/event/398578/</t>
        </is>
      </c>
      <c r="V406" s="10" t="n"/>
      <c r="W406" s="10" t="inlineStr">
        <is>
          <t>タイトル一致</t>
        </is>
      </c>
      <c r="X406" s="10" t="n"/>
    </row>
    <row r="407">
      <c r="A407" s="10" t="n">
        <v>406</v>
      </c>
      <c r="B407" s="11" t="n">
        <v>46270</v>
      </c>
      <c r="C407" s="11" t="n">
        <v>46291</v>
      </c>
      <c r="D407" s="10">
        <f>MONTH(B407)&amp;"月"</f>
        <v/>
      </c>
      <c r="E407" s="12" t="n">
        <v>1</v>
      </c>
      <c r="F407" s="10" t="n"/>
      <c r="G407" s="10" t="inlineStr">
        <is>
          <t>自分の専門知識を、AIで業務アプリにする|AIを提案力に変える実践講座(全3回)</t>
        </is>
      </c>
      <c r="H407" s="10" t="inlineStr">
        <is>
          <t>プロゼミONLINE運営事務局</t>
        </is>
      </c>
      <c r="I407" s="10" t="n"/>
      <c r="J407" s="10" t="inlineStr">
        <is>
          <t>こくちーずプロ</t>
        </is>
      </c>
      <c r="K407" s="10" t="inlineStr">
        <is>
          <t>オンライン</t>
        </is>
      </c>
      <c r="L407" s="10" t="inlineStr">
        <is>
          <t>オンライン 日本</t>
        </is>
      </c>
      <c r="M407" s="10" t="inlineStr">
        <is>
          <t>生産性向上・業務効率化</t>
        </is>
      </c>
      <c r="N407" s="10" t="inlineStr">
        <is>
          <t>AIエージェント</t>
        </is>
      </c>
      <c r="O407" s="12" t="inlineStr">
        <is>
          <t>○</t>
        </is>
      </c>
      <c r="P407" s="13" t="n">
        <v>1</v>
      </c>
      <c r="Q407" s="12" t="inlineStr">
        <is>
          <t>イベント参加 1/50</t>
        </is>
      </c>
      <c r="R407" s="14" t="n">
        <v>50</v>
      </c>
      <c r="S407" s="10" t="n"/>
      <c r="T407" s="10" t="inlineStr">
        <is>
          <t>「ChatGPTの使い方」は、もう十分に聞いた。 その次が知りたい方へ。 AIの全体像を解説するセミナーは、無料のものが毎週開かれています。本講座がお伝えするのは、その先です。 あなたが長年かけて積み上げてきた専門知識を、AIに載せて業務アプリにする。 それを、実際に手を動かしてつくるところまでご一緒します。 ――――――――――――――― ■ 本講座の中心は、第2回・第3回です 第2回｜9月19日（土）9:30-12:00 専門知識を</t>
        </is>
      </c>
      <c r="U407" s="15" t="inlineStr">
        <is>
          <t>https://www.kokuchpro.com/event/af423536702ee0ee7ec852182609793b/</t>
        </is>
      </c>
      <c r="V407" s="10" t="n"/>
      <c r="W407" s="10" t="inlineStr">
        <is>
          <t>本文一致</t>
        </is>
      </c>
      <c r="X407" s="10" t="n"/>
    </row>
    <row r="408">
      <c r="A408" s="10" t="n">
        <v>407</v>
      </c>
      <c r="B408" s="11" t="n">
        <v>46271</v>
      </c>
      <c r="C408" s="11" t="n">
        <v>46271</v>
      </c>
      <c r="D408" s="10">
        <f>MONTH(B408)&amp;"月"</f>
        <v/>
      </c>
      <c r="E408" s="12" t="n">
        <v>1</v>
      </c>
      <c r="F408" s="10" t="n"/>
      <c r="G408" s="10" t="inlineStr">
        <is>
          <t>Claude Codeで挑戦!〜アプリを1日で作る会〜</t>
        </is>
      </c>
      <c r="H408" s="10" t="inlineStr">
        <is>
          <t>エンジニア繋げ隊</t>
        </is>
      </c>
      <c r="I408" s="10" t="n"/>
      <c r="J408" s="10" t="inlineStr">
        <is>
          <t>こくちーずプロ</t>
        </is>
      </c>
      <c r="K408" s="10" t="inlineStr">
        <is>
          <t>オフライン（会場）</t>
        </is>
      </c>
      <c r="L408" s="10" t="inlineStr">
        <is>
          <t>松原コミュニティセンター 愛知県愛知県名古屋市中区松原2丁目22-24 松原コミュニティセンター</t>
        </is>
      </c>
      <c r="M408" s="10" t="inlineStr">
        <is>
          <t>開発生産性</t>
        </is>
      </c>
      <c r="N408" s="10" t="inlineStr">
        <is>
          <t>AIエージェント</t>
        </is>
      </c>
      <c r="O408" s="12" t="inlineStr">
        <is>
          <t>○</t>
        </is>
      </c>
      <c r="P408" s="13" t="n">
        <v>1</v>
      </c>
      <c r="Q408" s="12" t="inlineStr">
        <is>
          <t>イベント参加 1/30</t>
        </is>
      </c>
      <c r="R408" s="14" t="n">
        <v>30</v>
      </c>
      <c r="S408" s="10" t="n"/>
      <c r="T408" s="10" t="inlineStr">
        <is>
          <t>イベント主旨 Claude Codeを使って、参加者全員で協力しながら、1日でアプリを作ってみませんか？ 今回のイベントでは、Claude Codeを活用しながら既存のアプリを8時間という限られた時間の中でどこまで効率よく再現できるかに挑戦します！ 個人で別々のアプリを作るのではなく、参加者全員でお手本となるアプリを分析し、必要な機能を洗い出したうえで、役割分担しながら開発を進めていきます。 それぞれの成果を統合し、最終的にはひとつのア</t>
        </is>
      </c>
      <c r="U408" s="15" t="inlineStr">
        <is>
          <t>https://www.kokuchpro.com/event/fff8b314805ac544c7de5cddcf2c6d99/3873398/</t>
        </is>
      </c>
      <c r="V408" s="10" t="n"/>
      <c r="W408" s="10" t="inlineStr">
        <is>
          <t>タイトル一致</t>
        </is>
      </c>
      <c r="X408" s="10" t="n"/>
    </row>
    <row r="409">
      <c r="A409" s="10" t="n">
        <v>408</v>
      </c>
      <c r="B409" s="11" t="n">
        <v>46271</v>
      </c>
      <c r="C409" s="11" t="n">
        <v>46271</v>
      </c>
      <c r="D409" s="10">
        <f>MONTH(B409)&amp;"月"</f>
        <v/>
      </c>
      <c r="E409" s="12" t="n">
        <v>1</v>
      </c>
      <c r="F409" s="10" t="n"/>
      <c r="G409" s="10" t="inlineStr">
        <is>
          <t>Claude Codeで挑戦！〜アプリを１日で作る会〜</t>
        </is>
      </c>
      <c r="H409" s="10" t="inlineStr">
        <is>
          <t>エンジニア繋げ隊</t>
        </is>
      </c>
      <c r="I409" s="10" t="n"/>
      <c r="J409" s="10" t="inlineStr">
        <is>
          <t>connpass</t>
        </is>
      </c>
      <c r="K409" s="10" t="inlineStr">
        <is>
          <t>会場</t>
        </is>
      </c>
      <c r="L409" s="10" t="inlineStr">
        <is>
          <t>愛知県名古屋市中区松原2丁目22-24</t>
        </is>
      </c>
      <c r="M409" s="10" t="inlineStr">
        <is>
          <t>開発生産性</t>
        </is>
      </c>
      <c r="N409" s="10" t="inlineStr">
        <is>
          <t>AIエージェント</t>
        </is>
      </c>
      <c r="O409" s="12" t="inlineStr">
        <is>
          <t>○</t>
        </is>
      </c>
      <c r="P409" s="13" t="n">
        <v>20</v>
      </c>
      <c r="Q409" s="12" t="inlineStr">
        <is>
          <t>参加者数</t>
        </is>
      </c>
      <c r="R409" s="14" t="n">
        <v>29</v>
      </c>
      <c r="S409" s="10" t="n"/>
      <c r="T409" s="10" t="n"/>
      <c r="U409" s="15" t="inlineStr">
        <is>
          <t>https://tunagu-engineer.connpass.com/event/404012/</t>
        </is>
      </c>
      <c r="V409" s="10" t="n"/>
      <c r="W409" s="10" t="inlineStr">
        <is>
          <t>タイトル一致</t>
        </is>
      </c>
      <c r="X409" s="10" t="n"/>
    </row>
    <row r="410">
      <c r="A410" s="10" t="n">
        <v>409</v>
      </c>
      <c r="B410" s="11" t="n">
        <v>46271</v>
      </c>
      <c r="C410" s="11" t="n">
        <v>46271</v>
      </c>
      <c r="D410" s="10">
        <f>MONTH(B410)&amp;"月"</f>
        <v/>
      </c>
      <c r="E410" s="12" t="n">
        <v>1</v>
      </c>
      <c r="F410" s="10" t="n"/>
      <c r="G410" s="10" t="inlineStr">
        <is>
          <t>The Agentic AI Day</t>
        </is>
      </c>
      <c r="H410" s="10" t="inlineStr">
        <is>
          <t>Singularity Society</t>
        </is>
      </c>
      <c r="I410" s="10" t="n"/>
      <c r="J410" s="10" t="inlineStr">
        <is>
          <t>connpass</t>
        </is>
      </c>
      <c r="K410" s="10" t="inlineStr">
        <is>
          <t>会場</t>
        </is>
      </c>
      <c r="L410" s="10" t="inlineStr">
        <is>
          <t>東京都品川区大崎１丁目２−２ アートヴィレッジ大崎セントラルタワー</t>
        </is>
      </c>
      <c r="M410" s="10" t="inlineStr">
        <is>
          <t>技術・AI全般</t>
        </is>
      </c>
      <c r="N410" s="10" t="inlineStr">
        <is>
          <t>AIエージェント</t>
        </is>
      </c>
      <c r="O410" s="12" t="inlineStr">
        <is>
          <t>○</t>
        </is>
      </c>
      <c r="P410" s="13" t="n">
        <v>39</v>
      </c>
      <c r="Q410" s="12" t="inlineStr">
        <is>
          <t>参加者数</t>
        </is>
      </c>
      <c r="R410" s="14" t="n">
        <v>50</v>
      </c>
      <c r="S410" s="10" t="n"/>
      <c r="T410" s="10" t="n"/>
      <c r="U410" s="15" t="inlineStr">
        <is>
          <t>https://singularitysociety.connpass.com/event/403809/</t>
        </is>
      </c>
      <c r="V410" s="10" t="n"/>
      <c r="W410" s="10" t="inlineStr">
        <is>
          <t>タイトル一致</t>
        </is>
      </c>
      <c r="X410" s="10" t="n"/>
    </row>
    <row r="411">
      <c r="A411" s="10" t="n">
        <v>410</v>
      </c>
      <c r="B411" s="11" t="n">
        <v>46271</v>
      </c>
      <c r="C411" s="11" t="n">
        <v>46271</v>
      </c>
      <c r="D411" s="10">
        <f>MONTH(B411)&amp;"月"</f>
        <v/>
      </c>
      <c r="E411" s="12" t="n">
        <v>1</v>
      </c>
      <c r="F411" s="10" t="n"/>
      <c r="G411" s="10" t="inlineStr">
        <is>
          <t>満足度96.3%！Claude Code勉強会 @TOIC名古屋</t>
        </is>
      </c>
      <c r="H411" s="10" t="inlineStr">
        <is>
          <t>株式会社FrISti</t>
        </is>
      </c>
      <c r="I411" s="10" t="n"/>
      <c r="J411" s="10" t="inlineStr">
        <is>
          <t>connpass</t>
        </is>
      </c>
      <c r="K411" s="10" t="inlineStr">
        <is>
          <t>会場</t>
        </is>
      </c>
      <c r="L411" s="10" t="inlineStr">
        <is>
          <t>〒464-0813 愛知県名古屋市千種区不老町</t>
        </is>
      </c>
      <c r="M411" s="10" t="inlineStr">
        <is>
          <t>開発生産性</t>
        </is>
      </c>
      <c r="N411" s="10" t="inlineStr">
        <is>
          <t>AIエージェント</t>
        </is>
      </c>
      <c r="O411" s="12" t="inlineStr">
        <is>
          <t>○</t>
        </is>
      </c>
      <c r="P411" s="13" t="n">
        <v>3</v>
      </c>
      <c r="Q411" s="12" t="inlineStr">
        <is>
          <t>参加者数</t>
        </is>
      </c>
      <c r="R411" s="14" t="n">
        <v>60</v>
      </c>
      <c r="S411" s="10" t="n"/>
      <c r="T411" s="10" t="n"/>
      <c r="U411" s="15" t="inlineStr">
        <is>
          <t>https://fristi.connpass.com/event/400829/</t>
        </is>
      </c>
      <c r="V411" s="10" t="n"/>
      <c r="W411" s="10" t="inlineStr">
        <is>
          <t>タイトル一致</t>
        </is>
      </c>
      <c r="X411" s="10" t="n"/>
    </row>
    <row r="412">
      <c r="A412" s="10" t="n">
        <v>411</v>
      </c>
      <c r="B412" s="11" t="n">
        <v>46272</v>
      </c>
      <c r="C412" s="11" t="n">
        <v>46272</v>
      </c>
      <c r="D412" s="10">
        <f>MONTH(B412)&amp;"月"</f>
        <v/>
      </c>
      <c r="E412" s="12" t="n">
        <v>1</v>
      </c>
      <c r="F412" s="10" t="n"/>
      <c r="G412" s="10" t="inlineStr">
        <is>
          <t>【初心者向け】AI駆動開発体験会 - Claude Codeを使ってウェブサイトを公開してみよう</t>
        </is>
      </c>
      <c r="H412" s="10" t="inlineStr">
        <is>
          <t>シンギュラリティ・ラボ</t>
        </is>
      </c>
      <c r="I412" s="10" t="n"/>
      <c r="J412" s="10" t="inlineStr">
        <is>
          <t>connpass</t>
        </is>
      </c>
      <c r="K412" s="10" t="inlineStr">
        <is>
          <t>オンライン</t>
        </is>
      </c>
      <c r="L412" s="10" t="inlineStr">
        <is>
          <t>オンライン</t>
        </is>
      </c>
      <c r="M412" s="10" t="inlineStr">
        <is>
          <t>開発生産性</t>
        </is>
      </c>
      <c r="N412" s="10" t="inlineStr">
        <is>
          <t>AIエージェント</t>
        </is>
      </c>
      <c r="O412" s="12" t="inlineStr">
        <is>
          <t>○</t>
        </is>
      </c>
      <c r="P412" s="13" t="n"/>
      <c r="Q412" s="12" t="inlineStr">
        <is>
          <t>不明</t>
        </is>
      </c>
      <c r="R412" s="14" t="n"/>
      <c r="S412" s="10" t="n"/>
      <c r="T412" s="10" t="n"/>
      <c r="U412" s="15" t="inlineStr">
        <is>
          <t>https://future-tech-association.connpass.com/event/402557/</t>
        </is>
      </c>
      <c r="V412" s="10" t="n"/>
      <c r="W412" s="10" t="inlineStr">
        <is>
          <t>タイトル一致</t>
        </is>
      </c>
      <c r="X412" s="10" t="n"/>
    </row>
    <row r="413">
      <c r="A413" s="10" t="n">
        <v>412</v>
      </c>
      <c r="B413" s="11" t="n">
        <v>46272</v>
      </c>
      <c r="C413" s="11" t="n">
        <v>46272</v>
      </c>
      <c r="D413" s="10">
        <f>MONTH(B413)&amp;"月"</f>
        <v/>
      </c>
      <c r="E413" s="12" t="n">
        <v>1</v>
      </c>
      <c r="F413" s="10" t="n"/>
      <c r="G413" s="10" t="inlineStr">
        <is>
          <t>【産学連携オンラインセミナー】広域TLO主催　AIエージェント時代の産業DX～大学研究とスタートアップが拓く、AI活用と社会実装の最前線～を9月7日(月)に開催</t>
        </is>
      </c>
      <c r="H413" s="10" t="inlineStr">
        <is>
          <t>株式会社キャンパスクリエイト（電気通信大学TLO）</t>
        </is>
      </c>
      <c r="I413" s="10" t="n"/>
      <c r="J413" s="10" t="inlineStr">
        <is>
          <t>PR TIMES</t>
        </is>
      </c>
      <c r="K413" s="10" t="inlineStr">
        <is>
          <t>online</t>
        </is>
      </c>
      <c r="L413" s="10" t="inlineStr">
        <is>
          <t>オンライン</t>
        </is>
      </c>
      <c r="M413" s="10" t="inlineStr">
        <is>
          <t>生産性向上・業務効率化</t>
        </is>
      </c>
      <c r="N413" s="10" t="inlineStr">
        <is>
          <t>AIエージェント</t>
        </is>
      </c>
      <c r="O413" s="12" t="inlineStr">
        <is>
          <t>◎</t>
        </is>
      </c>
      <c r="P413" s="13" t="n"/>
      <c r="Q413" s="12" t="inlineStr">
        <is>
          <t>不明</t>
        </is>
      </c>
      <c r="R413" s="14" t="n"/>
      <c r="S413" s="10" t="n"/>
      <c r="T413" s="10" t="inlineStr">
        <is>
          <t>株式会社キャンパスクリエイトは、『AIエージェント時代の産業DX～大学研究とスタートアップが拓く、AI活用と社会実装の最前線～』をテーマにしたオンラインセミナーを、2026年9月7日(月)に開催致します。 【開催概要】 生成AIからAIエージェントへと進化する中、産業現場でのAI活用に注目が集まっています。本セミナーでは、電気通信大学 AIXセンター長 南教授によるAI研究の動向・今後の展望や、電気通信大学、九州工業大学の研究者のAI活</t>
        </is>
      </c>
      <c r="U413" s="15" t="inlineStr">
        <is>
          <t>https://prtimes.jp/main/html/rd/p/000000420.000031052.html</t>
        </is>
      </c>
      <c r="V413" s="10" t="n"/>
      <c r="W413" s="10" t="inlineStr">
        <is>
          <t>タイトル一致</t>
        </is>
      </c>
      <c r="X413" s="10" t="n"/>
    </row>
    <row r="414">
      <c r="A414" s="10" t="n">
        <v>413</v>
      </c>
      <c r="B414" s="11" t="n">
        <v>46272</v>
      </c>
      <c r="C414" s="11" t="n">
        <v>46272</v>
      </c>
      <c r="D414" s="10">
        <f>MONTH(B414)&amp;"月"</f>
        <v/>
      </c>
      <c r="E414" s="12" t="n">
        <v>1</v>
      </c>
      <c r="F414" s="10" t="n"/>
      <c r="G414" s="10" t="inlineStr">
        <is>
          <t>住宅業界1,000社をAI支援したSHO-SAN、経営者向け無料ウェビナー「『AI社員』が住宅会社を変える——経営者のためのClaude Code徹底解説」を9月7日（月）開催</t>
        </is>
      </c>
      <c r="H414" s="10" t="inlineStr">
        <is>
          <t>株式会社SHO-SAN</t>
        </is>
      </c>
      <c r="I414" s="10" t="n"/>
      <c r="J414" s="10" t="inlineStr">
        <is>
          <t>PR TIMES</t>
        </is>
      </c>
      <c r="K414" s="10" t="inlineStr">
        <is>
          <t>online</t>
        </is>
      </c>
      <c r="L414" s="10" t="inlineStr">
        <is>
          <t>オンライン開催（Zoom）</t>
        </is>
      </c>
      <c r="M414" s="10" t="inlineStr">
        <is>
          <t>生産性向上・業務効率化</t>
        </is>
      </c>
      <c r="N414" s="10" t="inlineStr">
        <is>
          <t>AIエージェント</t>
        </is>
      </c>
      <c r="O414" s="12" t="inlineStr">
        <is>
          <t>◎</t>
        </is>
      </c>
      <c r="P414" s="13" t="n"/>
      <c r="Q414" s="12" t="inlineStr">
        <is>
          <t>不明</t>
        </is>
      </c>
      <c r="R414" s="14" t="n"/>
      <c r="S414" s="10" t="n"/>
      <c r="T414" s="10" t="inlineStr">
        <is>
          <t>株式会社SHO-SAN（代表取締役：髙谷 一起）は、住宅会社の経営者を対象とした無料オンラインセミナー「『AI社員』が住宅会社を変える——経営者のためのClaude Code徹底解説」を2026年9月7日（月）14:30より開催します。住宅業界1,000社のAI支援実績（※2026年8月時点・延べ）の知見をもとに、"聞けば答えるAI"と"任せたら最後までやるAI"の違いを、実演デモを交えて解説します。 詳細を確認する ■開催の背景——A</t>
        </is>
      </c>
      <c r="U414" s="15" t="inlineStr">
        <is>
          <t>https://prtimes.jp/main/html/rd/p/000000033.000057281.html</t>
        </is>
      </c>
      <c r="V414" s="10" t="n"/>
      <c r="W414" s="10" t="inlineStr">
        <is>
          <t>タイトル一致</t>
        </is>
      </c>
      <c r="X414" s="10" t="n"/>
    </row>
    <row r="415">
      <c r="A415" s="10" t="n">
        <v>414</v>
      </c>
      <c r="B415" s="11" t="n">
        <v>46273</v>
      </c>
      <c r="C415" s="11" t="n">
        <v>46273</v>
      </c>
      <c r="D415" s="10">
        <f>MONTH(B415)&amp;"月"</f>
        <v/>
      </c>
      <c r="E415" s="12" t="n">
        <v>1</v>
      </c>
      <c r="F415" s="10" t="n"/>
      <c r="G415" s="10" t="inlineStr">
        <is>
          <t>AI Agent Dev Forum｜AI Market Focus</t>
        </is>
      </c>
      <c r="H415" s="10" t="inlineStr">
        <is>
          <t>AI Market セミナー/ウェビナー</t>
        </is>
      </c>
      <c r="I415" s="10" t="n"/>
      <c r="J415" s="10" t="inlineStr">
        <is>
          <t>connpass</t>
        </is>
      </c>
      <c r="K415" s="10" t="inlineStr">
        <is>
          <t>オンライン</t>
        </is>
      </c>
      <c r="L415" s="10" t="inlineStr">
        <is>
          <t>オンライン</t>
        </is>
      </c>
      <c r="M415" s="10" t="inlineStr">
        <is>
          <t>技術・AI全般</t>
        </is>
      </c>
      <c r="N415" s="10" t="inlineStr">
        <is>
          <t>AIエージェント</t>
        </is>
      </c>
      <c r="O415" s="12" t="inlineStr">
        <is>
          <t>○</t>
        </is>
      </c>
      <c r="P415" s="13" t="n">
        <v>9</v>
      </c>
      <c r="Q415" s="12" t="inlineStr">
        <is>
          <t>参加者数</t>
        </is>
      </c>
      <c r="R415" s="14" t="n"/>
      <c r="S415" s="10" t="n"/>
      <c r="T415" s="10" t="n"/>
      <c r="U415" s="15" t="inlineStr">
        <is>
          <t>https://ai-market-seminar.connpass.com/event/404316/</t>
        </is>
      </c>
      <c r="V415" s="10" t="n"/>
      <c r="W415" s="10" t="inlineStr">
        <is>
          <t>タイトル一致</t>
        </is>
      </c>
      <c r="X415" s="10" t="n"/>
    </row>
    <row r="416">
      <c r="A416" s="10" t="n">
        <v>415</v>
      </c>
      <c r="B416" s="11" t="n">
        <v>46273</v>
      </c>
      <c r="C416" s="11" t="n">
        <v>46273</v>
      </c>
      <c r="D416" s="10">
        <f>MONTH(B416)&amp;"月"</f>
        <v/>
      </c>
      <c r="E416" s="12" t="n">
        <v>1</v>
      </c>
      <c r="F416" s="10" t="n"/>
      <c r="G416" s="10" t="inlineStr">
        <is>
          <t>AI Shift、サイバーエージェントグループ数千名規模でのClaude活用知見を公開する無料オンラインセミナーを開催</t>
        </is>
      </c>
      <c r="H416" s="10" t="inlineStr">
        <is>
          <t>株式会社AI Shift</t>
        </is>
      </c>
      <c r="I416" s="10" t="n"/>
      <c r="J416" s="10" t="inlineStr">
        <is>
          <t>PR TIMES</t>
        </is>
      </c>
      <c r="K416" s="10" t="inlineStr">
        <is>
          <t>online</t>
        </is>
      </c>
      <c r="L416" s="10" t="inlineStr">
        <is>
          <t>オンライン</t>
        </is>
      </c>
      <c r="M416" s="10" t="inlineStr">
        <is>
          <t>営業・マーケ・CS</t>
        </is>
      </c>
      <c r="N416" s="10" t="inlineStr">
        <is>
          <t>AIエージェント</t>
        </is>
      </c>
      <c r="O416" s="12" t="inlineStr">
        <is>
          <t>◎</t>
        </is>
      </c>
      <c r="P416" s="13" t="n"/>
      <c r="Q416" s="12" t="inlineStr">
        <is>
          <t>不明</t>
        </is>
      </c>
      <c r="R416" s="14" t="n"/>
      <c r="S416" s="10" t="n"/>
      <c r="T416" s="10" t="inlineStr">
        <is>
          <t>株式会社AI Shift（本社：東京都渋谷区、代表取締役社長：米山結人、以下AI Shift）は、AIモデルClaudeの企業導入・活用定着に関する無料オンラインセミナーを開催いたします。 本セミナーでは、「Claudeが他のAIモデルと何が違うのか分からない」という導入検討段階の疑問から、「導入したものの活用が進まない」という導入後の課題まで、サイバーエージェントグループにおけるClaudeの大規模導入と実運用から得られた知見をもとに</t>
        </is>
      </c>
      <c r="U416" s="15" t="inlineStr">
        <is>
          <t>https://prtimes.jp/main/html/rd/p/000000219.000055962.html</t>
        </is>
      </c>
      <c r="V416" s="10" t="n"/>
      <c r="W416" s="10" t="inlineStr">
        <is>
          <t>タイトル一致</t>
        </is>
      </c>
      <c r="X416" s="10" t="n"/>
    </row>
    <row r="417">
      <c r="A417" s="10" t="n">
        <v>416</v>
      </c>
      <c r="B417" s="11" t="n">
        <v>46273</v>
      </c>
      <c r="C417" s="11" t="n">
        <v>46273</v>
      </c>
      <c r="D417" s="10">
        <f>MONTH(B417)&amp;"月"</f>
        <v/>
      </c>
      <c r="E417" s="12" t="n">
        <v>1</v>
      </c>
      <c r="F417" s="10" t="n"/>
      <c r="G417" s="10" t="inlineStr">
        <is>
          <t>AIおよびAIエージェントによるセキュリティ診断の基礎</t>
        </is>
      </c>
      <c r="H417" s="10" t="inlineStr">
        <is>
          <t>WEST-SEC</t>
        </is>
      </c>
      <c r="I417" s="10" t="n"/>
      <c r="J417" s="10" t="inlineStr">
        <is>
          <t>connpass</t>
        </is>
      </c>
      <c r="K417" s="10" t="inlineStr">
        <is>
          <t>オンライン</t>
        </is>
      </c>
      <c r="L417" s="10" t="inlineStr">
        <is>
          <t>オンライン</t>
        </is>
      </c>
      <c r="M417" s="10" t="inlineStr">
        <is>
          <t>営業・マーケ・CS</t>
        </is>
      </c>
      <c r="N417" s="10" t="inlineStr">
        <is>
          <t>AIエージェント</t>
        </is>
      </c>
      <c r="O417" s="12" t="inlineStr">
        <is>
          <t>◎</t>
        </is>
      </c>
      <c r="P417" s="13" t="n"/>
      <c r="Q417" s="12" t="inlineStr">
        <is>
          <t>不明</t>
        </is>
      </c>
      <c r="R417" s="14" t="n"/>
      <c r="S417" s="10" t="n"/>
      <c r="T417" s="10" t="n"/>
      <c r="U417" s="15" t="inlineStr">
        <is>
          <t>https://west-sec.connpass.com/event/401307/</t>
        </is>
      </c>
      <c r="V417" s="10" t="n"/>
      <c r="W417" s="10" t="inlineStr">
        <is>
          <t>タイトル一致</t>
        </is>
      </c>
      <c r="X417" s="10" t="n"/>
    </row>
    <row r="418">
      <c r="A418" s="10" t="n">
        <v>417</v>
      </c>
      <c r="B418" s="11" t="n">
        <v>46273</v>
      </c>
      <c r="C418" s="11" t="n">
        <v>46273</v>
      </c>
      <c r="D418" s="10">
        <f>MONTH(B418)&amp;"月"</f>
        <v/>
      </c>
      <c r="E418" s="12" t="n">
        <v>1</v>
      </c>
      <c r="F418" s="10" t="n"/>
      <c r="G418" s="10" t="inlineStr">
        <is>
          <t>Claude Code 業務自動化セミナー/中小企業の経営者・決裁者向け</t>
        </is>
      </c>
      <c r="H418" s="10" t="inlineStr">
        <is>
          <t>株式会社ノヴァリス</t>
        </is>
      </c>
      <c r="I418" s="10" t="n"/>
      <c r="J418" s="10" t="inlineStr">
        <is>
          <t>connpass</t>
        </is>
      </c>
      <c r="K418" s="10" t="inlineStr">
        <is>
          <t>オンライン</t>
        </is>
      </c>
      <c r="L418" s="10" t="inlineStr">
        <is>
          <t>オンライン</t>
        </is>
      </c>
      <c r="M418" s="10" t="inlineStr">
        <is>
          <t>生産性向上・業務効率化</t>
        </is>
      </c>
      <c r="N418" s="10" t="inlineStr">
        <is>
          <t>AIエージェント</t>
        </is>
      </c>
      <c r="O418" s="12" t="inlineStr">
        <is>
          <t>◎</t>
        </is>
      </c>
      <c r="P418" s="13" t="n">
        <v>5</v>
      </c>
      <c r="Q418" s="12" t="inlineStr">
        <is>
          <t>参加者数</t>
        </is>
      </c>
      <c r="R418" s="14" t="n">
        <v>10</v>
      </c>
      <c r="S418" s="10" t="n"/>
      <c r="T418" s="10" t="n"/>
      <c r="U418" s="15" t="inlineStr">
        <is>
          <t>https://connpass.com/event/404503/</t>
        </is>
      </c>
      <c r="V418" s="10" t="n"/>
      <c r="W418" s="10" t="inlineStr">
        <is>
          <t>タイトル一致</t>
        </is>
      </c>
      <c r="X418" s="10" t="n"/>
    </row>
    <row r="419">
      <c r="A419" s="10" t="n">
        <v>418</v>
      </c>
      <c r="B419" s="11" t="n">
        <v>46273</v>
      </c>
      <c r="C419" s="11" t="n">
        <v>46273</v>
      </c>
      <c r="D419" s="10">
        <f>MONTH(B419)&amp;"月"</f>
        <v/>
      </c>
      <c r="E419" s="12" t="n">
        <v>1</v>
      </c>
      <c r="F419" s="10" t="n"/>
      <c r="G419" s="10" t="inlineStr">
        <is>
          <t>Claude Codeと歩んだ1年 ― AI駆動経営のリアル、成功も失敗も公開</t>
        </is>
      </c>
      <c r="H419" s="10" t="inlineStr">
        <is>
          <t>ITコミュニティ</t>
        </is>
      </c>
      <c r="I419" s="10" t="n"/>
      <c r="J419" s="10" t="inlineStr">
        <is>
          <t>connpass</t>
        </is>
      </c>
      <c r="K419" s="10" t="inlineStr">
        <is>
          <t>オンライン</t>
        </is>
      </c>
      <c r="L419" s="10" t="inlineStr">
        <is>
          <t>オンライン</t>
        </is>
      </c>
      <c r="M419" s="10" t="inlineStr">
        <is>
          <t>生産性向上・業務効率化</t>
        </is>
      </c>
      <c r="N419" s="10" t="inlineStr">
        <is>
          <t>AIエージェント</t>
        </is>
      </c>
      <c r="O419" s="12" t="inlineStr">
        <is>
          <t>◎</t>
        </is>
      </c>
      <c r="P419" s="13" t="n">
        <v>2</v>
      </c>
      <c r="Q419" s="12" t="inlineStr">
        <is>
          <t>参加者数</t>
        </is>
      </c>
      <c r="R419" s="14" t="n">
        <v>30</v>
      </c>
      <c r="S419" s="10" t="n"/>
      <c r="T419" s="10" t="n"/>
      <c r="U419" s="15" t="inlineStr">
        <is>
          <t>https://acrovision.connpass.com/event/404860/</t>
        </is>
      </c>
      <c r="V419" s="10" t="n"/>
      <c r="W419" s="10" t="inlineStr">
        <is>
          <t>タイトル一致</t>
        </is>
      </c>
      <c r="X419" s="10" t="n"/>
    </row>
    <row r="420">
      <c r="A420" s="10" t="n">
        <v>419</v>
      </c>
      <c r="B420" s="11" t="n">
        <v>46273</v>
      </c>
      <c r="C420" s="11" t="n">
        <v>46274</v>
      </c>
      <c r="D420" s="10">
        <f>MONTH(B420)&amp;"月"</f>
        <v/>
      </c>
      <c r="E420" s="12" t="n">
        <v>1</v>
      </c>
      <c r="F420" s="10" t="n"/>
      <c r="G420" s="10" t="inlineStr">
        <is>
          <t>MarkeZine Day 2026 Autumn「RE-VISION」</t>
        </is>
      </c>
      <c r="H420" s="10" t="inlineStr">
        <is>
          <t>翔泳社 MarkeZine編集部</t>
        </is>
      </c>
      <c r="I420" s="10" t="n"/>
      <c r="J420" s="10" t="inlineStr">
        <is>
          <t>個別調査（公式サイト・PR TIMES等）</t>
        </is>
      </c>
      <c r="K420" s="10" t="inlineStr">
        <is>
          <t>会場</t>
        </is>
      </c>
      <c r="L420" s="10" t="inlineStr">
        <is>
          <t>JPタワー ホール&amp;カンファレンス（KITTE 4F）</t>
        </is>
      </c>
      <c r="M420" s="10" t="inlineStr">
        <is>
          <t>営業・マーケ・CS</t>
        </is>
      </c>
      <c r="N420" s="10" t="inlineStr">
        <is>
          <t>AIエージェント</t>
        </is>
      </c>
      <c r="O420" s="12" t="inlineStr">
        <is>
          <t>◎</t>
        </is>
      </c>
      <c r="P420" s="13" t="n"/>
      <c r="Q420" s="12" t="inlineStr">
        <is>
          <t>不明</t>
        </is>
      </c>
      <c r="R420" s="14" t="n"/>
      <c r="S420" s="10" t="inlineStr">
        <is>
          <t>当日登録枠を追加したとの告知あり</t>
        </is>
      </c>
      <c r="T420" s="10" t="inlineStr">
        <is>
          <t>60以上のセッション。オープニングは「AIエージェント時代のマーケティング変革」で、エージェンティックコマースも扱った。</t>
        </is>
      </c>
      <c r="U420" s="15" t="inlineStr">
        <is>
          <t>https://event.shoeisha.jp/mzday</t>
        </is>
      </c>
      <c r="V420" s="15" t="inlineStr">
        <is>
          <t>https://corp.intimatemerger.com/news/20260813_markezinday/</t>
        </is>
      </c>
      <c r="W420" s="10" t="inlineStr">
        <is>
          <t>個別確認</t>
        </is>
      </c>
      <c r="X420" s="10" t="inlineStr">
        <is>
          <t>セッション名は検索要約から取得した</t>
        </is>
      </c>
    </row>
    <row r="421">
      <c r="A421" s="10" t="n">
        <v>420</v>
      </c>
      <c r="B421" s="11" t="n">
        <v>46273</v>
      </c>
      <c r="C421" s="11" t="n">
        <v>46273</v>
      </c>
      <c r="D421" s="10">
        <f>MONTH(B421)&amp;"月"</f>
        <v/>
      </c>
      <c r="E421" s="12" t="n">
        <v>1</v>
      </c>
      <c r="F421" s="10" t="n"/>
      <c r="G421" s="10" t="inlineStr">
        <is>
          <t>【2026年9月｜ゆるDomo】使い慣れた生成AIでDomoのデータを活用！〜MCPで拡がる世界〜</t>
        </is>
      </c>
      <c r="H421" s="10" t="inlineStr">
        <is>
          <t>ドーモ株式会社</t>
        </is>
      </c>
      <c r="I421" s="10" t="n"/>
      <c r="J421" s="10" t="inlineStr">
        <is>
          <t>Doorkeeper</t>
        </is>
      </c>
      <c r="K421" s="10" t="inlineStr">
        <is>
          <t>不明</t>
        </is>
      </c>
      <c r="L421" s="10" t="n"/>
      <c r="M421" s="10" t="inlineStr">
        <is>
          <t>営業・マーケ・CS</t>
        </is>
      </c>
      <c r="N421" s="10" t="inlineStr">
        <is>
          <t>両方</t>
        </is>
      </c>
      <c r="O421" s="12" t="inlineStr">
        <is>
          <t>◎</t>
        </is>
      </c>
      <c r="P421" s="13" t="n">
        <v>82</v>
      </c>
      <c r="Q421" s="12" t="inlineStr">
        <is>
          <t>参加者数</t>
        </is>
      </c>
      <c r="R421" s="14" t="n"/>
      <c r="S421" s="10" t="n"/>
      <c r="T421" s="10" t="inlineStr">
        <is>
          <t xml:space="preserve"> 9月のゆるDomoは「Domo Essentials MCP」です。 Domo Essentials MCPは、GeminiやClaude、ChatGPTなどのAIエージェントが、Domoのデータを参照し、分析、コンテンツ作成、ワークフロー実行を自然言語で行えるようになる、連携機能です。 Domoの認証・権限管理を維持したまま利用できるので、Domoに設定されたガバナンスに沿った運用を可能にします。 「MCPって何？」という方もあるか</t>
        </is>
      </c>
      <c r="U421" s="15" t="inlineStr">
        <is>
          <t>https://domobuddies.doorkeeper.jp/events/198621</t>
        </is>
      </c>
      <c r="V421" s="10" t="n"/>
      <c r="W421" s="10" t="inlineStr">
        <is>
          <t>タイトル一致</t>
        </is>
      </c>
      <c r="X421" s="10" t="n"/>
    </row>
    <row r="422">
      <c r="A422" s="10" t="n">
        <v>421</v>
      </c>
      <c r="B422" s="11" t="n">
        <v>46273</v>
      </c>
      <c r="C422" s="11" t="n">
        <v>46294</v>
      </c>
      <c r="D422" s="10">
        <f>MONTH(B422)&amp;"月"</f>
        <v/>
      </c>
      <c r="E422" s="12" t="n">
        <v>1</v>
      </c>
      <c r="F422" s="10" t="n"/>
      <c r="G422" s="10" t="inlineStr">
        <is>
          <t>【AI活用は経営層がコミットできるかがすべて】ランサーズAIネイティブ本部と進めるClaude経営自動化60分個別相談会</t>
        </is>
      </c>
      <c r="H422" s="10" t="inlineStr">
        <is>
          <t>ランサーズ AIネイティブ本部</t>
        </is>
      </c>
      <c r="I422" s="10" t="n"/>
      <c r="J422" s="10" t="inlineStr">
        <is>
          <t>Peatix</t>
        </is>
      </c>
      <c r="K422" s="10" t="inlineStr">
        <is>
          <t>オンライン(個別相談)</t>
        </is>
      </c>
      <c r="L422" s="10" t="n"/>
      <c r="M422" s="10" t="inlineStr">
        <is>
          <t>生産性向上・業務効率化</t>
        </is>
      </c>
      <c r="N422" s="10" t="inlineStr">
        <is>
          <t>MCP</t>
        </is>
      </c>
      <c r="O422" s="12" t="inlineStr">
        <is>
          <t>○</t>
        </is>
      </c>
      <c r="P422" s="13" t="n"/>
      <c r="Q422" s="12" t="inlineStr">
        <is>
          <t>不明</t>
        </is>
      </c>
      <c r="R422" s="14" t="n"/>
      <c r="S422" s="10" t="n"/>
      <c r="T422" s="10" t="inlineStr">
        <is>
          <t>複数日程: 9月8日(火)18:00-19:00、9月29日(火)14:00-15:00（日程相談可）。Claude Code/Claude Desktop/MCP連携で営業準備・経営FB・議事録からのタスク作成等を自動化</t>
        </is>
      </c>
      <c r="U422" s="15" t="inlineStr">
        <is>
          <t>https://peatix.com/event/5155733</t>
        </is>
      </c>
      <c r="V422" s="10" t="n"/>
      <c r="W422" s="10" t="inlineStr">
        <is>
          <t>本文一致</t>
        </is>
      </c>
      <c r="X422" s="10" t="n"/>
    </row>
    <row r="423">
      <c r="A423" s="10" t="n">
        <v>422</v>
      </c>
      <c r="B423" s="11" t="n">
        <v>46273</v>
      </c>
      <c r="C423" s="11" t="n">
        <v>46273</v>
      </c>
      <c r="D423" s="10">
        <f>MONTH(B423)&amp;"月"</f>
        <v/>
      </c>
      <c r="E423" s="12" t="n">
        <v>1</v>
      </c>
      <c r="F423" s="10" t="n"/>
      <c r="G423" s="10" t="inlineStr">
        <is>
          <t>【第79回】ローカルLLMで作る、自分だけのAIキャラクター ～「見る・考える・喋る」デスクトップ常駐アプリを、エージェントコーディングで開発する～</t>
        </is>
      </c>
      <c r="H423" s="10" t="inlineStr">
        <is>
          <t>aitconsortium</t>
        </is>
      </c>
      <c r="I423" s="10" t="n"/>
      <c r="J423" s="10" t="inlineStr">
        <is>
          <t>Doorkeeper</t>
        </is>
      </c>
      <c r="K423" s="10" t="inlineStr">
        <is>
          <t>不明</t>
        </is>
      </c>
      <c r="L423" s="10" t="n"/>
      <c r="M423" s="10" t="inlineStr">
        <is>
          <t>開発生産性</t>
        </is>
      </c>
      <c r="N423" s="10" t="inlineStr">
        <is>
          <t>AIエージェント</t>
        </is>
      </c>
      <c r="O423" s="12" t="inlineStr">
        <is>
          <t>○</t>
        </is>
      </c>
      <c r="P423" s="13" t="n">
        <v>115</v>
      </c>
      <c r="Q423" s="12" t="inlineStr">
        <is>
          <t>参加者数</t>
        </is>
      </c>
      <c r="R423" s="14" t="n"/>
      <c r="S423" s="10" t="n"/>
      <c r="T423" s="10" t="inlineStr">
        <is>
          <t xml:space="preserve"> こんな方におすすめ ローカルLLMを使ったキャラクターAI・デスクトップアプリの開発に興味がある方 Codexなどのエージェントコーディングを使った個人開発の進め方を知りたい方 単なるチャットボットを超えたインタラクティブなAIキャラクターの実装事例を知りたい方 生成AI時代の個人開発・DIYの面白さに関心があるエンジニア・一般の方 本文 こんにちは！GASG（Generative AI Study Group）主催の杉山です。 ht</t>
        </is>
      </c>
      <c r="U423" s="15" t="inlineStr">
        <is>
          <t>https://aitconsortium.doorkeeper.jp/events/199052</t>
        </is>
      </c>
      <c r="V423" s="10" t="n"/>
      <c r="W423" s="10" t="inlineStr">
        <is>
          <t>タイトル一致</t>
        </is>
      </c>
      <c r="X423" s="10" t="n"/>
    </row>
    <row r="424">
      <c r="A424" s="10" t="n">
        <v>423</v>
      </c>
      <c r="B424" s="11" t="n">
        <v>46273</v>
      </c>
      <c r="C424" s="11" t="n">
        <v>46273</v>
      </c>
      <c r="D424" s="10">
        <f>MONTH(B424)&amp;"月"</f>
        <v/>
      </c>
      <c r="E424" s="12" t="n">
        <v>1</v>
      </c>
      <c r="F424" s="10" t="n"/>
      <c r="G424" s="10" t="inlineStr">
        <is>
          <t>スリーシェイク、「生成AIカンファレンス 2026 AIエージェント時代の実装戦略 ─ 先駆者に学ぶ、産業・開発・知能の新たなかたち—」に協賛、事前イベントに当社代表が登壇</t>
        </is>
      </c>
      <c r="H424" s="10" t="inlineStr">
        <is>
          <t>株式会社スリーシェイク</t>
        </is>
      </c>
      <c r="I424" s="10" t="n"/>
      <c r="J424" s="10" t="inlineStr">
        <is>
          <t>PR TIMES</t>
        </is>
      </c>
      <c r="K424" s="10" t="inlineStr">
        <is>
          <t>offline</t>
        </is>
      </c>
      <c r="L424" s="10" t="inlineStr">
        <is>
          <t>東京大学 伊藤謝恩ホール</t>
        </is>
      </c>
      <c r="M424" s="10" t="inlineStr">
        <is>
          <t>開発生産性</t>
        </is>
      </c>
      <c r="N424" s="10" t="inlineStr">
        <is>
          <t>AIエージェント</t>
        </is>
      </c>
      <c r="O424" s="12" t="inlineStr">
        <is>
          <t>○</t>
        </is>
      </c>
      <c r="P424" s="13" t="n"/>
      <c r="Q424" s="12" t="inlineStr">
        <is>
          <t>不明</t>
        </is>
      </c>
      <c r="R424" s="14" t="n"/>
      <c r="S424" s="10" t="n"/>
      <c r="T424" s="10" t="inlineStr">
        <is>
          <t>株式会社スリーシェイク（本社：東京都中央区、代表取締役社長：吉田 拓真、以下スリーシェイク）は、2026年9月8日（火）に東京大学 伊藤謝恩ホール ／ オンライン配信で開催される「生成AIカンファレンス 2026 AIエージェント時代の実装戦略 ─ 先駆者に学ぶ、産業・開発・知能の新たなかたち—」に協賛し、スリーシェイクが提供するSRE総合支援サービス「Sreake（スリーク）」のブースを出展することをお知らせします。 また、上記イベン</t>
        </is>
      </c>
      <c r="U424" s="15" t="inlineStr">
        <is>
          <t>https://prtimes.jp/main/html/rd/p/000000458.000024873.html</t>
        </is>
      </c>
      <c r="V424" s="10" t="n"/>
      <c r="W424" s="10" t="inlineStr">
        <is>
          <t>タイトル一致</t>
        </is>
      </c>
      <c r="X424" s="10" t="n"/>
    </row>
    <row r="425">
      <c r="A425" s="10" t="n">
        <v>424</v>
      </c>
      <c r="B425" s="11" t="n">
        <v>46273</v>
      </c>
      <c r="C425" s="11" t="n">
        <v>46273</v>
      </c>
      <c r="D425" s="10">
        <f>MONTH(B425)&amp;"月"</f>
        <v/>
      </c>
      <c r="E425" s="12" t="n">
        <v>1</v>
      </c>
      <c r="F425" s="10" t="n"/>
      <c r="G425" s="10" t="inlineStr">
        <is>
          <t>勉強会opsmethod#4「その運用、AIエージェントに任せよう」クラスメソッド日比谷オフィス</t>
        </is>
      </c>
      <c r="H425" s="10" t="inlineStr">
        <is>
          <t>クラスメソッド株式会社</t>
        </is>
      </c>
      <c r="I425" s="10" t="n"/>
      <c r="J425" s="10" t="inlineStr">
        <is>
          <t>connpass</t>
        </is>
      </c>
      <c r="K425" s="10" t="inlineStr">
        <is>
          <t>会場</t>
        </is>
      </c>
      <c r="L425" s="10" t="inlineStr">
        <is>
          <t>東京都港区西新橋1-5-11</t>
        </is>
      </c>
      <c r="M425" s="10" t="inlineStr">
        <is>
          <t>技術・AI全般</t>
        </is>
      </c>
      <c r="N425" s="10" t="inlineStr">
        <is>
          <t>AIエージェント</t>
        </is>
      </c>
      <c r="O425" s="12" t="inlineStr">
        <is>
          <t>○</t>
        </is>
      </c>
      <c r="P425" s="13" t="n">
        <v>29</v>
      </c>
      <c r="Q425" s="12" t="inlineStr">
        <is>
          <t>参加者数</t>
        </is>
      </c>
      <c r="R425" s="14" t="n">
        <v>35</v>
      </c>
      <c r="S425" s="10" t="n"/>
      <c r="T425" s="10" t="n"/>
      <c r="U425" s="15" t="inlineStr">
        <is>
          <t>https://classmethod.connpass.com/event/397518/</t>
        </is>
      </c>
      <c r="V425" s="10" t="n"/>
      <c r="W425" s="10" t="inlineStr">
        <is>
          <t>タイトル一致</t>
        </is>
      </c>
      <c r="X425" s="10" t="n"/>
    </row>
    <row r="426">
      <c r="A426" s="10" t="n">
        <v>425</v>
      </c>
      <c r="B426" s="11" t="n">
        <v>46273</v>
      </c>
      <c r="C426" s="11" t="n">
        <v>46273</v>
      </c>
      <c r="D426" s="10">
        <f>MONTH(B426)&amp;"月"</f>
        <v/>
      </c>
      <c r="E426" s="12" t="n">
        <v>1</v>
      </c>
      <c r="F426" s="10" t="n"/>
      <c r="G426" s="10" t="inlineStr">
        <is>
          <t>生成AIカンファレンス2026 〜AIエージェント時代の実装戦略 — 先駆者に学ぶ、産業・開発・知能の新たなかたち〜</t>
        </is>
      </c>
      <c r="H426" s="10" t="inlineStr">
        <is>
          <t>（記載なし）</t>
        </is>
      </c>
      <c r="I426" s="10" t="n"/>
      <c r="J426" s="10" t="inlineStr">
        <is>
          <t>Peatix</t>
        </is>
      </c>
      <c r="K426" s="10" t="inlineStr">
        <is>
          <t>会場</t>
        </is>
      </c>
      <c r="L426" s="10" t="inlineStr">
        <is>
          <t>東京大学 伊藤謝恩ホール</t>
        </is>
      </c>
      <c r="M426" s="10" t="inlineStr">
        <is>
          <t>開発生産性</t>
        </is>
      </c>
      <c r="N426" s="10" t="inlineStr">
        <is>
          <t>AIエージェント</t>
        </is>
      </c>
      <c r="O426" s="12" t="inlineStr">
        <is>
          <t>○</t>
        </is>
      </c>
      <c r="P426" s="13" t="n"/>
      <c r="Q426" s="12" t="inlineStr">
        <is>
          <t>不明</t>
        </is>
      </c>
      <c r="R426" s="14" t="n"/>
      <c r="S426" s="10" t="n"/>
      <c r="T426" s="10" t="inlineStr">
        <is>
          <t>2026年9月8日(火)10:00-18:30 東京大学伊藤謝恩ホール。産業・開発・知能の3テーマ</t>
        </is>
      </c>
      <c r="U426" s="15" t="inlineStr">
        <is>
          <t>https://peatix.com/event/5084348</t>
        </is>
      </c>
      <c r="V426" s="10" t="n"/>
      <c r="W426" s="10" t="inlineStr">
        <is>
          <t>タイトル一致</t>
        </is>
      </c>
      <c r="X426" s="10" t="n"/>
    </row>
    <row r="427">
      <c r="A427" s="10" t="n">
        <v>426</v>
      </c>
      <c r="B427" s="11" t="n">
        <v>46273</v>
      </c>
      <c r="C427" s="11" t="n">
        <v>46276</v>
      </c>
      <c r="D427" s="10">
        <f>MONTH(B427)&amp;"月"</f>
        <v/>
      </c>
      <c r="E427" s="12" t="n">
        <v>1</v>
      </c>
      <c r="F427" s="10" t="n"/>
      <c r="G427" s="10" t="inlineStr">
        <is>
          <t>第17回 国際物流総合展 2026（Logis-Tech Tokyo）</t>
        </is>
      </c>
      <c r="H427" s="10" t="inlineStr">
        <is>
          <t>日本ロジスティクスシステム協会・日本能率協会</t>
        </is>
      </c>
      <c r="I427" s="10" t="n"/>
      <c r="J427" s="10" t="inlineStr">
        <is>
          <t>個別調査（公式サイト・PR TIMES等）</t>
        </is>
      </c>
      <c r="K427" s="10" t="inlineStr">
        <is>
          <t>会場</t>
        </is>
      </c>
      <c r="L427" s="10" t="inlineStr">
        <is>
          <t>東京ビッグサイト東・西</t>
        </is>
      </c>
      <c r="M427" s="10" t="inlineStr">
        <is>
          <t>生産管理・製造・SCM</t>
        </is>
      </c>
      <c r="N427" s="10" t="inlineStr">
        <is>
          <t>AIエージェント</t>
        </is>
      </c>
      <c r="O427" s="12" t="inlineStr">
        <is>
          <t>◎</t>
        </is>
      </c>
      <c r="P427" s="13" t="n">
        <v>77940</v>
      </c>
      <c r="Q427" s="12" t="inlineStr">
        <is>
          <t>来場登録者数</t>
        </is>
      </c>
      <c r="R427" s="14" t="n"/>
      <c r="S427" s="10" t="inlineStr">
        <is>
          <t>前回は84,193名。出展は565社・団体</t>
        </is>
      </c>
      <c r="T427" s="10" t="inlineStr">
        <is>
          <t>物流の自動化とAI活用を扱う展示とセミナー。AI時代の次世代WMSやAI自動発注など、AI関連の講演が多い。</t>
        </is>
      </c>
      <c r="U427" s="15" t="inlineStr">
        <is>
          <t>https://www.logis-tech-tokyo.gr.jp/ltt/report/quick.html</t>
        </is>
      </c>
      <c r="V427" s="15" t="inlineStr">
        <is>
          <t>https://www.logis-tech-tokyo.gr.jp/ltt/seminar/</t>
        </is>
      </c>
      <c r="W427" s="10" t="inlineStr">
        <is>
          <t>個別確認</t>
        </is>
      </c>
      <c r="X427" s="10" t="n"/>
    </row>
    <row r="428">
      <c r="A428" s="10" t="n">
        <v>427</v>
      </c>
      <c r="B428" s="11" t="n">
        <v>46273</v>
      </c>
      <c r="C428" s="11" t="n">
        <v>46273</v>
      </c>
      <c r="D428" s="10">
        <f>MONTH(B428)&amp;"月"</f>
        <v/>
      </c>
      <c r="E428" s="12" t="n">
        <v>1</v>
      </c>
      <c r="F428" s="10" t="n"/>
      <c r="G428" s="10" t="inlineStr">
        <is>
          <t>経理の遅れが経営判断の遅れに直結する時代——「クラウド会計×AI×MCP」で次世代財務を実現する無料セミナーを9月8日（火）にオンライン開催</t>
        </is>
      </c>
      <c r="H428" s="10" t="inlineStr">
        <is>
          <t>社会保険労務士法人とうかい</t>
        </is>
      </c>
      <c r="I428" s="10" t="n"/>
      <c r="J428" s="10" t="inlineStr">
        <is>
          <t>PR TIMES</t>
        </is>
      </c>
      <c r="K428" s="10" t="inlineStr">
        <is>
          <t>online</t>
        </is>
      </c>
      <c r="L428" s="10" t="inlineStr">
        <is>
          <t>オンライン</t>
        </is>
      </c>
      <c r="M428" s="10" t="inlineStr">
        <is>
          <t>生産性向上・業務効率化</t>
        </is>
      </c>
      <c r="N428" s="10" t="inlineStr">
        <is>
          <t>MCP</t>
        </is>
      </c>
      <c r="O428" s="12" t="inlineStr">
        <is>
          <t>◎</t>
        </is>
      </c>
      <c r="P428" s="13" t="n"/>
      <c r="Q428" s="12" t="inlineStr">
        <is>
          <t>不明</t>
        </is>
      </c>
      <c r="R428" s="14" t="n"/>
      <c r="S428" s="10" t="n"/>
      <c r="T428" s="10" t="inlineStr">
        <is>
          <t>社会保険労務士法人とうかい（所在地：愛知県名古屋市、代表：久野勝也）は、2026年9月8日（火）14:00より、経営者向け無料オンラインセミナー「クラウド会計×AI×MCP 経営を加速させる最新活用術」を開催します。税理士法人しんこう会計の代表・新美敬太氏と弊社代表の久野が登壇します。 「試算表が届くのが遅くリアルタイムな経営判断ができない」「AIをどう業務に組み込めばいいか分からない」という経営者の課題を、クラウド会計・AI・MCPの</t>
        </is>
      </c>
      <c r="U428" s="15" t="inlineStr">
        <is>
          <t>https://prtimes.jp/main/html/rd/p/000000045.000055757.html</t>
        </is>
      </c>
      <c r="V428" s="10" t="n"/>
      <c r="W428" s="10" t="inlineStr">
        <is>
          <t>タイトル一致</t>
        </is>
      </c>
      <c r="X428" s="10" t="n"/>
    </row>
    <row r="429">
      <c r="A429" s="10" t="n">
        <v>428</v>
      </c>
      <c r="B429" s="11" t="n">
        <v>46274</v>
      </c>
      <c r="C429" s="11" t="n">
        <v>46274</v>
      </c>
      <c r="D429" s="10">
        <f>MONTH(B429)&amp;"月"</f>
        <v/>
      </c>
      <c r="E429" s="12" t="n">
        <v>1</v>
      </c>
      <c r="F429" s="10" t="n"/>
      <c r="G429" s="10" t="inlineStr">
        <is>
          <t>9/9(水) 16:00-【見逃し配信】オンラインカンファレンス_最新Copilot製品ショーケース～Copilot Cowork &amp; Scoutが示す、AIと人が協働する次世代ワークスタイル～</t>
        </is>
      </c>
      <c r="H429" s="10" t="inlineStr">
        <is>
          <t>skillupai</t>
        </is>
      </c>
      <c r="I429" s="10" t="n"/>
      <c r="J429" s="10" t="inlineStr">
        <is>
          <t>Doorkeeper</t>
        </is>
      </c>
      <c r="K429" s="10" t="inlineStr">
        <is>
          <t>オンライン</t>
        </is>
      </c>
      <c r="L429" s="10" t="n"/>
      <c r="M429" s="10" t="inlineStr">
        <is>
          <t>生産性向上・業務効率化</t>
        </is>
      </c>
      <c r="N429" s="10" t="inlineStr">
        <is>
          <t>AIエージェント</t>
        </is>
      </c>
      <c r="O429" s="12" t="inlineStr">
        <is>
          <t>◎</t>
        </is>
      </c>
      <c r="P429" s="13" t="n">
        <v>2</v>
      </c>
      <c r="Q429" s="12" t="inlineStr">
        <is>
          <t>参加者数</t>
        </is>
      </c>
      <c r="R429" s="14" t="n">
        <v>30</v>
      </c>
      <c r="S429" s="10" t="n"/>
      <c r="T429" s="10" t="inlineStr">
        <is>
          <t xml:space="preserve"> ■ プログラム概要 2026年8月開催のオンラインカンファレンス「『Microsoft Copilot』活用の現在地と、次なるアプローチ」のセッション録画に、新たに解説パートを加えてお届けします。 2026年6月に一般提供が開始された「Copilot Cowork」、そして現在はまだ一部でのプレビュー提供となる「Microsoft Scout」。複数のアプリケーションをまたいでAIが自律的にタスク管理表や提案書を仕上げていく「同僚とし</t>
        </is>
      </c>
      <c r="U429" s="15" t="inlineStr">
        <is>
          <t>https://skillupai.doorkeeper.jp/events/199109</t>
        </is>
      </c>
      <c r="V429" s="10" t="n"/>
      <c r="W429" s="10" t="inlineStr">
        <is>
          <t>タイトル一致</t>
        </is>
      </c>
      <c r="X429" s="10" t="n"/>
    </row>
    <row r="430">
      <c r="A430" s="10" t="n">
        <v>429</v>
      </c>
      <c r="B430" s="11" t="n">
        <v>46274</v>
      </c>
      <c r="C430" s="11" t="n">
        <v>46274</v>
      </c>
      <c r="D430" s="10">
        <f>MONTH(B430)&amp;"月"</f>
        <v/>
      </c>
      <c r="E430" s="12" t="n">
        <v>1</v>
      </c>
      <c r="F430" s="10" t="n"/>
      <c r="G430" s="10" t="inlineStr">
        <is>
          <t>AIエージェントの活用・開発のための「評価」入門―基本的な考え方から、小さく始める実践のヒントまで</t>
        </is>
      </c>
      <c r="H430" s="10" t="inlineStr">
        <is>
          <t>StudyCo</t>
        </is>
      </c>
      <c r="I430" s="10" t="n"/>
      <c r="J430" s="10" t="inlineStr">
        <is>
          <t>connpass</t>
        </is>
      </c>
      <c r="K430" s="10" t="inlineStr">
        <is>
          <t>オンライン</t>
        </is>
      </c>
      <c r="L430" s="10" t="inlineStr">
        <is>
          <t>オンライン</t>
        </is>
      </c>
      <c r="M430" s="10" t="inlineStr">
        <is>
          <t>開発生産性</t>
        </is>
      </c>
      <c r="N430" s="10" t="inlineStr">
        <is>
          <t>AIエージェント</t>
        </is>
      </c>
      <c r="O430" s="12" t="inlineStr">
        <is>
          <t>○</t>
        </is>
      </c>
      <c r="P430" s="13" t="n">
        <v>223</v>
      </c>
      <c r="Q430" s="12" t="inlineStr">
        <is>
          <t>参加者数</t>
        </is>
      </c>
      <c r="R430" s="14" t="n">
        <v>300</v>
      </c>
      <c r="S430" s="10" t="n"/>
      <c r="T430" s="10" t="n"/>
      <c r="U430" s="15" t="inlineStr">
        <is>
          <t>https://studyco.connpass.com/event/404991/</t>
        </is>
      </c>
      <c r="V430" s="10" t="n"/>
      <c r="W430" s="10" t="inlineStr">
        <is>
          <t>タイトル一致</t>
        </is>
      </c>
      <c r="X430" s="10" t="n"/>
    </row>
    <row r="431">
      <c r="A431" s="10" t="n">
        <v>430</v>
      </c>
      <c r="B431" s="11" t="n">
        <v>46274</v>
      </c>
      <c r="C431" s="11" t="n">
        <v>46274</v>
      </c>
      <c r="D431" s="10">
        <f>MONTH(B431)&amp;"月"</f>
        <v/>
      </c>
      <c r="E431" s="12" t="n">
        <v>1</v>
      </c>
      <c r="F431" s="10" t="n"/>
      <c r="G431" s="10" t="inlineStr">
        <is>
          <t>AIミーティング 2026/09/09 #AIエージェント #MCP</t>
        </is>
      </c>
      <c r="H431" s="10" t="inlineStr">
        <is>
          <t>大阪駆動開発</t>
        </is>
      </c>
      <c r="I431" s="10" t="n"/>
      <c r="J431" s="10" t="inlineStr">
        <is>
          <t>個別調査（公式サイト・PR TIMES等）</t>
        </is>
      </c>
      <c r="K431" s="10" t="inlineStr">
        <is>
          <t>オンライン</t>
        </is>
      </c>
      <c r="L431" s="10" t="inlineStr">
        <is>
          <t>YouTube＋Zoom</t>
        </is>
      </c>
      <c r="M431" s="10" t="inlineStr">
        <is>
          <t>開発生産性</t>
        </is>
      </c>
      <c r="N431" s="10" t="inlineStr">
        <is>
          <t>両方</t>
        </is>
      </c>
      <c r="O431" s="12" t="inlineStr">
        <is>
          <t>○</t>
        </is>
      </c>
      <c r="P431" s="13" t="n">
        <v>56</v>
      </c>
      <c r="Q431" s="12" t="inlineStr">
        <is>
          <t>参加者数</t>
        </is>
      </c>
      <c r="R431" s="14" t="n"/>
      <c r="S431" s="10" t="inlineStr">
        <is>
          <t>connpassの表示</t>
        </is>
      </c>
      <c r="T431" s="10" t="inlineStr">
        <is>
          <t>LLMやAIエージェントについて「調べてみた・作ってみた」を共有するLTイベント。</t>
        </is>
      </c>
      <c r="U431" s="15" t="inlineStr">
        <is>
          <t>https://osaka-driven-dev.connpass.com/event/403631/</t>
        </is>
      </c>
      <c r="V431" s="10" t="n"/>
      <c r="W431" s="10" t="inlineStr">
        <is>
          <t>個別確認</t>
        </is>
      </c>
      <c r="X431" s="10" t="n"/>
    </row>
    <row r="432">
      <c r="A432" s="10" t="n">
        <v>431</v>
      </c>
      <c r="B432" s="11" t="n">
        <v>46274</v>
      </c>
      <c r="C432" s="11" t="n">
        <v>46274</v>
      </c>
      <c r="D432" s="10">
        <f>MONTH(B432)&amp;"月"</f>
        <v/>
      </c>
      <c r="E432" s="12" t="n">
        <v>1</v>
      </c>
      <c r="F432" s="10" t="n"/>
      <c r="G432" s="10" t="inlineStr">
        <is>
          <t>Agentic Tokyo #2</t>
        </is>
      </c>
      <c r="H432" s="10" t="inlineStr">
        <is>
          <t>AI Agent Builders Meetup</t>
        </is>
      </c>
      <c r="I432" s="10" t="n"/>
      <c r="J432" s="10" t="inlineStr">
        <is>
          <t>connpass</t>
        </is>
      </c>
      <c r="K432" s="10" t="inlineStr">
        <is>
          <t>会場</t>
        </is>
      </c>
      <c r="L432" s="10" t="inlineStr">
        <is>
          <t>〒150-6190 Tokyo, Shibuya, 2 Chome−24−12 スクランブルスクエア 24F・25F</t>
        </is>
      </c>
      <c r="M432" s="10" t="inlineStr">
        <is>
          <t>技術・AI全般</t>
        </is>
      </c>
      <c r="N432" s="10" t="inlineStr">
        <is>
          <t>AIエージェント</t>
        </is>
      </c>
      <c r="O432" s="12" t="inlineStr">
        <is>
          <t>○</t>
        </is>
      </c>
      <c r="P432" s="13" t="n">
        <v>107</v>
      </c>
      <c r="Q432" s="12" t="inlineStr">
        <is>
          <t>参加者数</t>
        </is>
      </c>
      <c r="R432" s="14" t="n">
        <v>132</v>
      </c>
      <c r="S432" s="10" t="n"/>
      <c r="T432" s="10" t="n"/>
      <c r="U432" s="15" t="inlineStr">
        <is>
          <t>https://aibuilders.connpass.com/event/401510/</t>
        </is>
      </c>
      <c r="V432" s="10" t="n"/>
      <c r="W432" s="10" t="inlineStr">
        <is>
          <t>タイトル一致</t>
        </is>
      </c>
      <c r="X432" s="10" t="n"/>
    </row>
    <row r="433">
      <c r="A433" s="10" t="n">
        <v>432</v>
      </c>
      <c r="B433" s="11" t="n">
        <v>46274</v>
      </c>
      <c r="C433" s="11" t="n">
        <v>46274</v>
      </c>
      <c r="D433" s="10">
        <f>MONTH(B433)&amp;"月"</f>
        <v/>
      </c>
      <c r="E433" s="12" t="n">
        <v>1</v>
      </c>
      <c r="F433" s="10" t="n"/>
      <c r="G433" s="10" t="inlineStr">
        <is>
          <t>ChatGPT・Geminiで、業務効率化“できていますか?”|Sionic AIが示す「ワークフロー型AIエージェント」という次の一手</t>
        </is>
      </c>
      <c r="H433" s="10" t="inlineStr">
        <is>
          <t>サイオニックエーアイ株式会社</t>
        </is>
      </c>
      <c r="I433" s="10" t="n"/>
      <c r="J433" s="10" t="inlineStr">
        <is>
          <t>こくちーずプロ</t>
        </is>
      </c>
      <c r="K433" s="10" t="inlineStr">
        <is>
          <t>オンライン</t>
        </is>
      </c>
      <c r="L433" s="10" t="inlineStr">
        <is>
          <t>オンライン 日本</t>
        </is>
      </c>
      <c r="M433" s="10" t="inlineStr">
        <is>
          <t>生産性向上・業務効率化</t>
        </is>
      </c>
      <c r="N433" s="10" t="inlineStr">
        <is>
          <t>AIエージェント</t>
        </is>
      </c>
      <c r="O433" s="12" t="inlineStr">
        <is>
          <t>◎</t>
        </is>
      </c>
      <c r="P433" s="13" t="n">
        <v>0</v>
      </c>
      <c r="Q433" s="12" t="inlineStr">
        <is>
          <t>イベント参加 0/1000</t>
        </is>
      </c>
      <c r="R433" s="14" t="n">
        <v>1000</v>
      </c>
      <c r="S433" s="10" t="n"/>
      <c r="T433" s="10" t="inlineStr">
        <is>
          <t>ChatGPT・Gemini、便利に使っていますか？ では、「業務そのもの」は変わりましたか？ アイデア出し、文章の下書き、ちょっとした相談。生成AIを業務で使う企業は着実に増えています。 矢野経済研究所の調査によると、生成AIを全社的または一部部署で活用している企業は43.4%まで増加しました。一方で、AIエージェントを「利用中」と回答した企業は3.3%にとどまっています。 つまり、多くの企業で生成AIの利用は進んでいるものの、問い合</t>
        </is>
      </c>
      <c r="U433" s="15" t="inlineStr">
        <is>
          <t>https://www.kokuchpro.com/event/4b8542ebf70691406de14af20cf22067/</t>
        </is>
      </c>
      <c r="V433" s="10" t="n"/>
      <c r="W433" s="10" t="inlineStr">
        <is>
          <t>タイトル一致</t>
        </is>
      </c>
      <c r="X433" s="10" t="n"/>
    </row>
    <row r="434">
      <c r="A434" s="10" t="n">
        <v>433</v>
      </c>
      <c r="B434" s="11" t="n">
        <v>46274</v>
      </c>
      <c r="C434" s="11" t="n">
        <v>46274</v>
      </c>
      <c r="D434" s="10">
        <f>MONTH(B434)&amp;"月"</f>
        <v/>
      </c>
      <c r="E434" s="12" t="n">
        <v>1</v>
      </c>
      <c r="F434" s="10" t="n"/>
      <c r="G434" s="10" t="inlineStr">
        <is>
          <t>kintone・SalesforceのMCPって業務でどう活用できるの？ SaaS × AI の今</t>
        </is>
      </c>
      <c r="H434" s="10" t="inlineStr">
        <is>
          <t>Japan MCP Business Community（JMBC）</t>
        </is>
      </c>
      <c r="I434" s="10" t="n"/>
      <c r="J434" s="10" t="inlineStr">
        <is>
          <t>connpass</t>
        </is>
      </c>
      <c r="K434" s="10" t="inlineStr">
        <is>
          <t>会場</t>
        </is>
      </c>
      <c r="L434" s="10" t="inlineStr">
        <is>
          <t>東京都中央区日本橋2-7-1 (東京日本橋タワー)</t>
        </is>
      </c>
      <c r="M434" s="10" t="inlineStr">
        <is>
          <t>営業・マーケ・CS</t>
        </is>
      </c>
      <c r="N434" s="10" t="inlineStr">
        <is>
          <t>MCP</t>
        </is>
      </c>
      <c r="O434" s="12" t="inlineStr">
        <is>
          <t>◎</t>
        </is>
      </c>
      <c r="P434" s="13" t="n">
        <v>136</v>
      </c>
      <c r="Q434" s="12" t="inlineStr">
        <is>
          <t>参加者数</t>
        </is>
      </c>
      <c r="R434" s="14" t="n">
        <v>550</v>
      </c>
      <c r="S434" s="10" t="n"/>
      <c r="T434" s="10" t="n"/>
      <c r="U434" s="15" t="inlineStr">
        <is>
          <t>https://jmbc.connpass.com/event/402603/</t>
        </is>
      </c>
      <c r="V434" s="10" t="n"/>
      <c r="W434" s="10" t="inlineStr">
        <is>
          <t>タイトル一致</t>
        </is>
      </c>
      <c r="X434" s="10" t="n"/>
    </row>
    <row r="435">
      <c r="A435" s="10" t="n">
        <v>434</v>
      </c>
      <c r="B435" s="11" t="n">
        <v>46274</v>
      </c>
      <c r="C435" s="11" t="n">
        <v>46274</v>
      </c>
      <c r="D435" s="10">
        <f>MONTH(B435)&amp;"月"</f>
        <v/>
      </c>
      <c r="E435" s="12" t="n">
        <v>1</v>
      </c>
      <c r="F435" s="10" t="n"/>
      <c r="G435" s="10" t="inlineStr">
        <is>
          <t>【VC2026】サイバーエージェント Special Lunch MeetUp</t>
        </is>
      </c>
      <c r="H435" s="10" t="inlineStr">
        <is>
          <t>サイバーエージェント / CyberAgent</t>
        </is>
      </c>
      <c r="I435" s="10" t="n"/>
      <c r="J435" s="10" t="inlineStr">
        <is>
          <t>connpass</t>
        </is>
      </c>
      <c r="K435" s="10" t="inlineStr">
        <is>
          <t>会場</t>
        </is>
      </c>
      <c r="L435" s="10" t="inlineStr">
        <is>
          <t>北海道大学周辺</t>
        </is>
      </c>
      <c r="M435" s="10" t="inlineStr">
        <is>
          <t>営業・マーケ・CS</t>
        </is>
      </c>
      <c r="N435" s="10" t="inlineStr">
        <is>
          <t>AIエージェント</t>
        </is>
      </c>
      <c r="O435" s="12" t="inlineStr">
        <is>
          <t>◎</t>
        </is>
      </c>
      <c r="P435" s="13" t="n">
        <v>20</v>
      </c>
      <c r="Q435" s="12" t="inlineStr">
        <is>
          <t>参加者数</t>
        </is>
      </c>
      <c r="R435" s="14" t="n">
        <v>30</v>
      </c>
      <c r="S435" s="10" t="n"/>
      <c r="T435" s="10" t="n"/>
      <c r="U435" s="15" t="inlineStr">
        <is>
          <t>https://cyberagent.connpass.com/event/400123/</t>
        </is>
      </c>
      <c r="V435" s="10" t="n"/>
      <c r="W435" s="10" t="inlineStr">
        <is>
          <t>タイトル一致</t>
        </is>
      </c>
      <c r="X435" s="10" t="n"/>
    </row>
    <row r="436">
      <c r="A436" s="10" t="n">
        <v>435</v>
      </c>
      <c r="B436" s="11" t="n">
        <v>46274</v>
      </c>
      <c r="C436" s="11" t="n">
        <v>46274</v>
      </c>
      <c r="D436" s="10">
        <f>MONTH(B436)&amp;"月"</f>
        <v/>
      </c>
      <c r="E436" s="12" t="n">
        <v>1</v>
      </c>
      <c r="F436" s="10" t="n"/>
      <c r="G436" s="10" t="inlineStr">
        <is>
          <t>【水曜のDX道場】GitHub MCPを使ってみましょう（Vol.33）</t>
        </is>
      </c>
      <c r="H436" s="10" t="inlineStr">
        <is>
          <t>水曜のDX道場</t>
        </is>
      </c>
      <c r="I436" s="10" t="n"/>
      <c r="J436" s="10" t="inlineStr">
        <is>
          <t>個別調査（公式サイト・PR TIMES等）</t>
        </is>
      </c>
      <c r="K436" s="10" t="inlineStr">
        <is>
          <t>ハイブリッド</t>
        </is>
      </c>
      <c r="L436" s="10" t="inlineStr">
        <is>
          <t>コミュニティスペース5.6（大阪市北区）＋オンライン</t>
        </is>
      </c>
      <c r="M436" s="10" t="inlineStr">
        <is>
          <t>開発生産性</t>
        </is>
      </c>
      <c r="N436" s="10" t="inlineStr">
        <is>
          <t>MCP</t>
        </is>
      </c>
      <c r="O436" s="12" t="inlineStr">
        <is>
          <t>○</t>
        </is>
      </c>
      <c r="P436" s="13" t="n">
        <v>7</v>
      </c>
      <c r="Q436" s="12" t="inlineStr">
        <is>
          <t>参加者数</t>
        </is>
      </c>
      <c r="R436" s="14" t="n"/>
      <c r="S436" s="10" t="inlineStr">
        <is>
          <t>オンライン5名と会場2名の合計。connpassの表示</t>
        </is>
      </c>
      <c r="T436" s="10" t="inlineStr">
        <is>
          <t>GitHub MCPをハンズオンで試し、GitHub Actionsによる自動デプロイまでを体験する勉強会。</t>
        </is>
      </c>
      <c r="U436" s="15" t="inlineStr">
        <is>
          <t>https://dxdojo.connpass.com/event/406058/</t>
        </is>
      </c>
      <c r="V436" s="10" t="n"/>
      <c r="W436" s="10" t="inlineStr">
        <is>
          <t>個別確認</t>
        </is>
      </c>
      <c r="X436" s="10" t="inlineStr">
        <is>
          <t>小規模</t>
        </is>
      </c>
    </row>
    <row r="437">
      <c r="A437" s="10" t="n">
        <v>436</v>
      </c>
      <c r="B437" s="11" t="n">
        <v>46274</v>
      </c>
      <c r="C437" s="11" t="n">
        <v>46274</v>
      </c>
      <c r="D437" s="10">
        <f>MONTH(B437)&amp;"月"</f>
        <v/>
      </c>
      <c r="E437" s="12" t="n">
        <v>1</v>
      </c>
      <c r="F437" s="10" t="n"/>
      <c r="G437" s="10" t="inlineStr">
        <is>
          <t>みんなで学ぶAIエージェント時代のMicrosoftセキュリティ@Avanade Japan</t>
        </is>
      </c>
      <c r="H437" s="10" t="inlineStr">
        <is>
          <t>Avanade Japan Tech</t>
        </is>
      </c>
      <c r="I437" s="10" t="n"/>
      <c r="J437" s="10" t="inlineStr">
        <is>
          <t>connpass</t>
        </is>
      </c>
      <c r="K437" s="10" t="inlineStr">
        <is>
          <t>会場</t>
        </is>
      </c>
      <c r="L437" s="10" t="inlineStr">
        <is>
          <t>東京都港区六本木１丁目６−１ 泉ガーデンタワー 9F</t>
        </is>
      </c>
      <c r="M437" s="10" t="inlineStr">
        <is>
          <t>営業・マーケ・CS</t>
        </is>
      </c>
      <c r="N437" s="10" t="inlineStr">
        <is>
          <t>AIエージェント</t>
        </is>
      </c>
      <c r="O437" s="12" t="inlineStr">
        <is>
          <t>◎</t>
        </is>
      </c>
      <c r="P437" s="13" t="n">
        <v>84</v>
      </c>
      <c r="Q437" s="12" t="inlineStr">
        <is>
          <t>参加者数</t>
        </is>
      </c>
      <c r="R437" s="14" t="n"/>
      <c r="S437" s="10" t="n"/>
      <c r="T437" s="10" t="n"/>
      <c r="U437" s="15" t="inlineStr">
        <is>
          <t>https://avanadejapantech.connpass.com/event/403423/</t>
        </is>
      </c>
      <c r="V437" s="10" t="n"/>
      <c r="W437" s="10" t="inlineStr">
        <is>
          <t>タイトル一致</t>
        </is>
      </c>
      <c r="X437" s="10" t="n"/>
    </row>
    <row r="438">
      <c r="A438" s="10" t="n">
        <v>437</v>
      </c>
      <c r="B438" s="11" t="n">
        <v>46274</v>
      </c>
      <c r="C438" s="11" t="n">
        <v>46276</v>
      </c>
      <c r="D438" s="10">
        <f>MONTH(B438)&amp;"月"</f>
        <v/>
      </c>
      <c r="E438" s="12" t="n">
        <v>1</v>
      </c>
      <c r="F438" s="10" t="n"/>
      <c r="G438" s="10" t="inlineStr">
        <is>
          <t>ファクトリーイノベーションWeek［秋］2026（スマート工場EXPO・生成AI World ほか）</t>
        </is>
      </c>
      <c r="H438" s="10" t="inlineStr">
        <is>
          <t>RX Japan</t>
        </is>
      </c>
      <c r="I438" s="10" t="n"/>
      <c r="J438" s="10" t="inlineStr">
        <is>
          <t>個別調査（公式サイト・PR TIMES等）</t>
        </is>
      </c>
      <c r="K438" s="10" t="inlineStr">
        <is>
          <t>会場</t>
        </is>
      </c>
      <c r="L438" s="10" t="inlineStr">
        <is>
          <t>幕張メッセ</t>
        </is>
      </c>
      <c r="M438" s="10" t="inlineStr">
        <is>
          <t>生産管理・製造・SCM</t>
        </is>
      </c>
      <c r="N438" s="10" t="inlineStr">
        <is>
          <t>AIエージェント</t>
        </is>
      </c>
      <c r="O438" s="12" t="inlineStr">
        <is>
          <t>◎</t>
        </is>
      </c>
      <c r="P438" s="13" t="n">
        <v>33925</v>
      </c>
      <c r="Q438" s="12" t="inlineStr">
        <is>
          <t>来場者数</t>
        </is>
      </c>
      <c r="R438" s="14" t="n"/>
      <c r="S438" s="10" t="inlineStr">
        <is>
          <t>速報値（同時開催展を含む）。9/9は9,771名、9/10は11,281名、9/11は12,873名</t>
        </is>
      </c>
      <c r="T438" s="10" t="inlineStr">
        <is>
          <t>IoTによる見える化、生成AI、AI外観検査、生産管理システムなど、工場DXの製品が集まる展示会。</t>
        </is>
      </c>
      <c r="U438" s="15" t="inlineStr">
        <is>
          <t>https://www.fiweek.jp/autumn/ja-jp/about/previous/visitorcount.html</t>
        </is>
      </c>
      <c r="V438" s="10" t="n"/>
      <c r="W438" s="10" t="inlineStr">
        <is>
          <t>個別確認</t>
        </is>
      </c>
      <c r="X438" s="10" t="inlineStr">
        <is>
          <t>生産管理システムの展示あり</t>
        </is>
      </c>
    </row>
    <row r="439">
      <c r="A439" s="10" t="n">
        <v>438</v>
      </c>
      <c r="B439" s="11" t="n">
        <v>46274</v>
      </c>
      <c r="C439" s="11" t="n">
        <v>46274</v>
      </c>
      <c r="D439" s="10">
        <f>MONTH(B439)&amp;"月"</f>
        <v/>
      </c>
      <c r="E439" s="12" t="n">
        <v>1</v>
      </c>
      <c r="F439" s="10" t="n"/>
      <c r="G439" s="10" t="inlineStr">
        <is>
          <t>商談準備をAIに任せると、営業はどう変わる? Claude Code活用ウェビナー</t>
        </is>
      </c>
      <c r="H439" s="10" t="inlineStr">
        <is>
          <t>株式会社フルバリュー</t>
        </is>
      </c>
      <c r="I439" s="10" t="n"/>
      <c r="J439" s="10" t="inlineStr">
        <is>
          <t>こくちーずプロ</t>
        </is>
      </c>
      <c r="K439" s="10" t="inlineStr">
        <is>
          <t>オンライン</t>
        </is>
      </c>
      <c r="L439" s="10" t="inlineStr">
        <is>
          <t>オンライン 日本</t>
        </is>
      </c>
      <c r="M439" s="10" t="inlineStr">
        <is>
          <t>営業・マーケ・CS</t>
        </is>
      </c>
      <c r="N439" s="10" t="inlineStr">
        <is>
          <t>AIエージェント</t>
        </is>
      </c>
      <c r="O439" s="12" t="inlineStr">
        <is>
          <t>◎</t>
        </is>
      </c>
      <c r="P439" s="13" t="n">
        <v>0</v>
      </c>
      <c r="Q439" s="12" t="inlineStr">
        <is>
          <t>イベント参加 0/50</t>
        </is>
      </c>
      <c r="R439" s="14" t="n">
        <v>50</v>
      </c>
      <c r="S439" s="10" t="n"/>
      <c r="T439" s="10" t="inlineStr">
        <is>
          <t>少人数の営業組織では、営業担当者が商談だけをしているわけではありません。 商談先を調べ、過去のやり取りを確認し、提案を考え、商談後にはメールを書いて記録を残す。 こうした作業を、AIに任せられる範囲が広がっています。 本ウェビナーでは、Claude Codeを使って営業業務をどこまで効率化できるのかを、実際の画面と成果物をもとに紹介します。 当日は「商談準備」をその場で実演。さらに、提案構成、フォローメール、商談記録、営業の振り返りまで</t>
        </is>
      </c>
      <c r="U439" s="15" t="inlineStr">
        <is>
          <t>https://www.kokuchpro.com/event/e4fd345dc22f9b34eda629104fc46e0f/</t>
        </is>
      </c>
      <c r="V439" s="10" t="n"/>
      <c r="W439" s="10" t="inlineStr">
        <is>
          <t>タイトル一致</t>
        </is>
      </c>
      <c r="X439" s="10" t="n"/>
    </row>
    <row r="440">
      <c r="A440" s="10" t="n">
        <v>439</v>
      </c>
      <c r="B440" s="11" t="n">
        <v>46274</v>
      </c>
      <c r="C440" s="11" t="n">
        <v>46274</v>
      </c>
      <c r="D440" s="10">
        <f>MONTH(B440)&amp;"月"</f>
        <v/>
      </c>
      <c r="E440" s="12" t="n">
        <v>1</v>
      </c>
      <c r="F440" s="10" t="n"/>
      <c r="G440" s="10" t="inlineStr">
        <is>
          <t>東京都:【無料セミナー】「見る・探す・入力」作業をゼロへ! ～ComPDF AI × Agentifyで実現するAIドキュメントワークフローの構築～</t>
        </is>
      </c>
      <c r="H440" s="10" t="inlineStr">
        <is>
          <t>KDAN Japan(ケダン ジャパン)セミナー事務局</t>
        </is>
      </c>
      <c r="I440" s="10" t="n"/>
      <c r="J440" s="10" t="inlineStr">
        <is>
          <t>こくちーずプロ</t>
        </is>
      </c>
      <c r="K440" s="10" t="inlineStr">
        <is>
          <t>オフライン（会場）</t>
        </is>
      </c>
      <c r="L440" s="10" t="inlineStr">
        <is>
          <t>ビジョンセンター東京駅前 707 東京都東京都中央区八重洲1-8-17 新槇町ビル6F,7F</t>
        </is>
      </c>
      <c r="M440" s="10" t="inlineStr">
        <is>
          <t>生産性向上・業務効率化</t>
        </is>
      </c>
      <c r="N440" s="10" t="inlineStr">
        <is>
          <t>AIエージェント</t>
        </is>
      </c>
      <c r="O440" s="12" t="inlineStr">
        <is>
          <t>◎</t>
        </is>
      </c>
      <c r="P440" s="13" t="n"/>
      <c r="Q440" s="12" t="inlineStr">
        <is>
          <t>不明</t>
        </is>
      </c>
      <c r="R440" s="14" t="n"/>
      <c r="S440" s="10" t="n"/>
      <c r="T440" s="10" t="inlineStr">
        <is>
          <t>書類の確認、必要な情報の検索、システムへの入力など、日々のドキュメント業務に多くの時間を費やしていませんか？ AI-OCRや生成AIを導入しても、読み取り精度が安定せず、結局は人の目による確認や手直しが必要になるケースも少なくありません。 その背景には、ドキュメントから情報を読み取る工程と、その後の業務処理が分断されているという課題があります。 本セミナーでは、高精度なデータ抽出・構造化を実現する「ComPDF AI」と、AIエージェン</t>
        </is>
      </c>
      <c r="U440" s="15" t="inlineStr">
        <is>
          <t>https://www.kokuchpro.com/event/e25134762a709789a33e8254f2dc9043/</t>
        </is>
      </c>
      <c r="V440" s="10" t="n"/>
      <c r="W440" s="10" t="inlineStr">
        <is>
          <t>タイトル一致</t>
        </is>
      </c>
      <c r="X440" s="10" t="n"/>
    </row>
    <row r="441">
      <c r="A441" s="10" t="n">
        <v>440</v>
      </c>
      <c r="B441" s="11" t="n">
        <v>46274</v>
      </c>
      <c r="C441" s="11" t="n">
        <v>46274</v>
      </c>
      <c r="D441" s="10">
        <f>MONTH(B441)&amp;"月"</f>
        <v/>
      </c>
      <c r="E441" s="12" t="n">
        <v>2</v>
      </c>
      <c r="F441" s="10" t="inlineStr">
        <is>
          <t>09/09、09/09</t>
        </is>
      </c>
      <c r="G441" s="10" t="inlineStr">
        <is>
          <t>第18回経営者交流会～とちぎる～</t>
        </is>
      </c>
      <c r="H441" s="10" t="inlineStr">
        <is>
          <t>株式会社WINエージェント</t>
        </is>
      </c>
      <c r="I441" s="10" t="n"/>
      <c r="J441" s="10" t="inlineStr">
        <is>
          <t>Doorkeeper</t>
        </is>
      </c>
      <c r="K441" s="10" t="inlineStr">
        <is>
          <t>会場</t>
        </is>
      </c>
      <c r="L441" s="10" t="inlineStr">
        <is>
          <t>ライトキューブ宇都宮１０１・１０２ 〒321-0969 栃木県宇都宮市宮みらい１−１</t>
        </is>
      </c>
      <c r="M441" s="10" t="inlineStr">
        <is>
          <t>生産性向上・業務効率化</t>
        </is>
      </c>
      <c r="N441" s="10" t="inlineStr">
        <is>
          <t>AIエージェント</t>
        </is>
      </c>
      <c r="O441" s="12" t="inlineStr">
        <is>
          <t>○</t>
        </is>
      </c>
      <c r="P441" s="13" t="n">
        <v>36</v>
      </c>
      <c r="Q441" s="12" t="inlineStr">
        <is>
          <t>参加者数</t>
        </is>
      </c>
      <c r="R441" s="14" t="n">
        <v>80</v>
      </c>
      <c r="S441" s="10" t="inlineStr">
        <is>
          <t>全2回の合計</t>
        </is>
      </c>
      <c r="T441" s="10" t="inlineStr">
        <is>
          <t xml:space="preserve"> とちぎるとは 【栃木】をより魅力ある地域にすることを目的とする経営者層コミュニティ。 栃木県内（主に宇都宮を予定）で交流イベントを開催し、新たなマッチングを創出していきます。 参加者同士しっかりコミュニケーションの取れる場を用意しておりますので、ご自由に名刺交換やアポイント設定を行っていただけます。 ご自身のビジネスに有効な人脈形成や情報交換を通して、 栃木の魅力を最大限に引き出し、全国に名を轟かせたい！ 栃木に住みたい、栃木で働きた</t>
        </is>
      </c>
      <c r="U441" s="15" t="inlineStr">
        <is>
          <t>https://tochigi-guild.doorkeeper.jp/events/197663</t>
        </is>
      </c>
      <c r="V441" s="10" t="n"/>
      <c r="W441" s="10" t="inlineStr">
        <is>
          <t>本文一致</t>
        </is>
      </c>
      <c r="X441" s="10" t="n"/>
    </row>
    <row r="442">
      <c r="A442" s="10" t="n">
        <v>441</v>
      </c>
      <c r="B442" s="11" t="n">
        <v>46275</v>
      </c>
      <c r="C442" s="11" t="n">
        <v>46276</v>
      </c>
      <c r="D442" s="10">
        <f>MONTH(B442)&amp;"月"</f>
        <v/>
      </c>
      <c r="E442" s="12" t="n">
        <v>1</v>
      </c>
      <c r="F442" s="10" t="n"/>
      <c r="G442" s="10" t="inlineStr">
        <is>
          <t>AGNTCon + MCPCon Japan 2026</t>
        </is>
      </c>
      <c r="H442" s="10" t="inlineStr">
        <is>
          <t>Agentic AI Foundation（AAIF）／Linux Foundation</t>
        </is>
      </c>
      <c r="I442" s="10" t="n"/>
      <c r="J442" s="10" t="inlineStr">
        <is>
          <t>個別調査（公式サイト・PR TIMES等）</t>
        </is>
      </c>
      <c r="K442" s="10" t="inlineStr">
        <is>
          <t>会場</t>
        </is>
      </c>
      <c r="L442" s="10" t="inlineStr">
        <is>
          <t>ベルサール渋谷ガーデン</t>
        </is>
      </c>
      <c r="M442" s="10" t="inlineStr">
        <is>
          <t>大型カンファレンス・展示会</t>
        </is>
      </c>
      <c r="N442" s="10" t="inlineStr">
        <is>
          <t>両方</t>
        </is>
      </c>
      <c r="O442" s="12" t="inlineStr">
        <is>
          <t>◎</t>
        </is>
      </c>
      <c r="P442" s="13" t="n"/>
      <c r="Q442" s="12" t="inlineStr">
        <is>
          <t>不明</t>
        </is>
      </c>
      <c r="R442" s="14" t="n"/>
      <c r="S442" s="10" t="inlineStr">
        <is>
          <t>通常の入場券は6万円</t>
        </is>
      </c>
      <c r="T442" s="10" t="inlineStr">
        <is>
          <t>日本で初めてのAgentic AI・MCPのカンファレンス。MCPの共同作者David Soria Parra氏が基調講演し、企業システムとの接続課題を議論した。</t>
        </is>
      </c>
      <c r="U442" s="15" t="inlineStr">
        <is>
          <t>https://www.publickey1.jp/blog/26/anthropicmcpmcpagntconmcpcon_japan_2026.html</t>
        </is>
      </c>
      <c r="V442" s="15" t="inlineStr">
        <is>
          <t>https://gihyo.jp/article/2026/09/aaif-mcp-a2a-briefing</t>
        </is>
      </c>
      <c r="W442" s="10" t="inlineStr">
        <is>
          <t>個別確認</t>
        </is>
      </c>
      <c r="X442" s="10" t="inlineStr">
        <is>
          <t>MCPを主題とする最大のイベント</t>
        </is>
      </c>
    </row>
    <row r="443">
      <c r="A443" s="10" t="n">
        <v>442</v>
      </c>
      <c r="B443" s="11" t="n">
        <v>46275</v>
      </c>
      <c r="C443" s="11" t="n">
        <v>46275</v>
      </c>
      <c r="D443" s="10">
        <f>MONTH(B443)&amp;"月"</f>
        <v/>
      </c>
      <c r="E443" s="12" t="n">
        <v>1</v>
      </c>
      <c r="F443" s="10" t="n"/>
      <c r="G443" s="10" t="inlineStr">
        <is>
          <t>AI Marketing Day 2026</t>
        </is>
      </c>
      <c r="H443" s="10" t="inlineStr">
        <is>
          <t>Media Innovation（株式会社イード）</t>
        </is>
      </c>
      <c r="I443" s="10" t="n"/>
      <c r="J443" s="10" t="inlineStr">
        <is>
          <t>個別調査（公式サイト・PR TIMES等）</t>
        </is>
      </c>
      <c r="K443" s="10" t="inlineStr">
        <is>
          <t>ハイブリッド</t>
        </is>
      </c>
      <c r="L443" s="10" t="inlineStr">
        <is>
          <t>大手町プレイス ホール&amp;カンファレンス</t>
        </is>
      </c>
      <c r="M443" s="10" t="inlineStr">
        <is>
          <t>営業・マーケ・CS</t>
        </is>
      </c>
      <c r="N443" s="10" t="inlineStr">
        <is>
          <t>AIエージェント</t>
        </is>
      </c>
      <c r="O443" s="12" t="inlineStr">
        <is>
          <t>◎</t>
        </is>
      </c>
      <c r="P443" s="13" t="n"/>
      <c r="Q443" s="12" t="inlineStr">
        <is>
          <t>不明</t>
        </is>
      </c>
      <c r="R443" s="14" t="n"/>
      <c r="S443" s="10" t="n"/>
      <c r="T443" s="10" t="inlineStr">
        <is>
          <t>エージェンティックAIがマーケティングをどう変えるかを議論し、AIエージェントの開発事例をデモで紹介する。</t>
        </is>
      </c>
      <c r="U443" s="15" t="inlineStr">
        <is>
          <t>https://media-innovation.jp/article/2026/07/06/143478.html</t>
        </is>
      </c>
      <c r="V443" s="10" t="n"/>
      <c r="W443" s="10" t="inlineStr">
        <is>
          <t>個別確認</t>
        </is>
      </c>
      <c r="X443" s="10" t="n"/>
    </row>
    <row r="444">
      <c r="A444" s="10" t="n">
        <v>443</v>
      </c>
      <c r="B444" s="11" t="n">
        <v>46275</v>
      </c>
      <c r="C444" s="11" t="n">
        <v>46275</v>
      </c>
      <c r="D444" s="10">
        <f>MONTH(B444)&amp;"月"</f>
        <v/>
      </c>
      <c r="E444" s="12" t="n">
        <v>1</v>
      </c>
      <c r="F444" s="10" t="n"/>
      <c r="G444" s="10" t="inlineStr">
        <is>
          <t>AI Sales Conference 2026〜AIで、一人あたりの生産性を最大化し、売上を伸ばす〜</t>
        </is>
      </c>
      <c r="H444" s="10" t="inlineStr">
        <is>
          <t>株式会社SalesNow</t>
        </is>
      </c>
      <c r="I444" s="10" t="inlineStr">
        <is>
          <t>Salesforce Japan・Zoom・SALESCORE・Magic Moment ほか</t>
        </is>
      </c>
      <c r="J444" s="10" t="inlineStr">
        <is>
          <t>個別調査（公式サイト・PR TIMES等）</t>
        </is>
      </c>
      <c r="K444" s="10" t="inlineStr">
        <is>
          <t>オンライン</t>
        </is>
      </c>
      <c r="L444" s="10" t="n"/>
      <c r="M444" s="10" t="inlineStr">
        <is>
          <t>営業・マーケ・CS</t>
        </is>
      </c>
      <c r="N444" s="10" t="inlineStr">
        <is>
          <t>AIエージェント</t>
        </is>
      </c>
      <c r="O444" s="12" t="inlineStr">
        <is>
          <t>◎</t>
        </is>
      </c>
      <c r="P444" s="13" t="n"/>
      <c r="Q444" s="12" t="inlineStr">
        <is>
          <t>不明</t>
        </is>
      </c>
      <c r="R444" s="14" t="n"/>
      <c r="S444" s="10" t="n"/>
      <c r="T444" s="10" t="inlineStr">
        <is>
          <t>AIと人の分業設計、定型業務の自動化、商談品質の向上を扱う。対象はAI導入後も成果が出ない営業組織。</t>
        </is>
      </c>
      <c r="U444" s="15" t="inlineStr">
        <is>
          <t>https://salesnow.jp/seminars/58/</t>
        </is>
      </c>
      <c r="V444" s="15" t="inlineStr">
        <is>
          <t>https://techplay.jp/event/999720</t>
        </is>
      </c>
      <c r="W444" s="10" t="inlineStr">
        <is>
          <t>個別確認</t>
        </is>
      </c>
      <c r="X444" s="10" t="n"/>
    </row>
    <row r="445">
      <c r="A445" s="10" t="n">
        <v>444</v>
      </c>
      <c r="B445" s="11" t="n">
        <v>46275</v>
      </c>
      <c r="C445" s="11" t="n">
        <v>46275</v>
      </c>
      <c r="D445" s="10">
        <f>MONTH(B445)&amp;"月"</f>
        <v/>
      </c>
      <c r="E445" s="12" t="n">
        <v>1</v>
      </c>
      <c r="F445" s="10" t="n"/>
      <c r="G445" s="10" t="inlineStr">
        <is>
          <t>Dify、AIエージェントの本番実装をテーマに「IF Con Tokyo 2026」開催</t>
        </is>
      </c>
      <c r="H445" s="10" t="inlineStr">
        <is>
          <t>株式会社LangGenius（Dify 開発元）</t>
        </is>
      </c>
      <c r="I445" s="10" t="n"/>
      <c r="J445" s="10" t="inlineStr">
        <is>
          <t>PR TIMES</t>
        </is>
      </c>
      <c r="K445" s="10" t="inlineStr">
        <is>
          <t>offline</t>
        </is>
      </c>
      <c r="L445" s="10" t="inlineStr">
        <is>
          <t>東京コンベンションホール</t>
        </is>
      </c>
      <c r="M445" s="10" t="inlineStr">
        <is>
          <t>開発生産性</t>
        </is>
      </c>
      <c r="N445" s="10" t="inlineStr">
        <is>
          <t>AIエージェント</t>
        </is>
      </c>
      <c r="O445" s="12" t="inlineStr">
        <is>
          <t>○</t>
        </is>
      </c>
      <c r="P445" s="13" t="n"/>
      <c r="Q445" s="12" t="inlineStr">
        <is>
          <t>不明</t>
        </is>
      </c>
      <c r="R445" s="14" t="n"/>
      <c r="S445" s="10" t="n"/>
      <c r="T445" s="10" t="inlineStr">
        <is>
          <t>株式会社LangGenius（本社：東京都中央区、代表取締役社長：キジ マルダン）は、生成AIカンファレンス「IF Con Tokyo 2026」を、2026年9月10日（木）に東京コンベンションホールにて開催いたします。参加費は無料、事前登録制です。 「IF Con Tokyo 2026」は、生成AIをPoCで終わらせず、組織・業務・プロダクトで本番活用したい方に向けたカンファレンスです。AIエージェントと共同する時代に、企業の想像を</t>
        </is>
      </c>
      <c r="U445" s="15" t="inlineStr">
        <is>
          <t>https://prtimes.jp/main/html/rd/p/000000028.000166429.html</t>
        </is>
      </c>
      <c r="V445" s="10" t="n"/>
      <c r="W445" s="10" t="inlineStr">
        <is>
          <t>タイトル一致</t>
        </is>
      </c>
      <c r="X445" s="10" t="n"/>
    </row>
    <row r="446">
      <c r="A446" s="10" t="n">
        <v>445</v>
      </c>
      <c r="B446" s="11" t="n">
        <v>46275</v>
      </c>
      <c r="C446" s="11" t="n">
        <v>46275</v>
      </c>
      <c r="D446" s="10">
        <f>MONTH(B446)&amp;"月"</f>
        <v/>
      </c>
      <c r="E446" s="12" t="n">
        <v>1</v>
      </c>
      <c r="F446" s="10" t="n"/>
      <c r="G446" s="10" t="inlineStr">
        <is>
          <t>【Claude超入門】チャットで終わらせない、AIエージェント活用の第一歩</t>
        </is>
      </c>
      <c r="H446" s="10" t="inlineStr">
        <is>
          <t>アジアクエスト株式会社</t>
        </is>
      </c>
      <c r="I446" s="10" t="n"/>
      <c r="J446" s="10" t="inlineStr">
        <is>
          <t>個別調査（公式サイト・PR TIMES等）</t>
        </is>
      </c>
      <c r="K446" s="10" t="inlineStr">
        <is>
          <t>オンライン</t>
        </is>
      </c>
      <c r="L446" s="10" t="n"/>
      <c r="M446" s="10" t="inlineStr">
        <is>
          <t>生産性向上・業務効率化</t>
        </is>
      </c>
      <c r="N446" s="10" t="inlineStr">
        <is>
          <t>AIエージェント</t>
        </is>
      </c>
      <c r="O446" s="12" t="inlineStr">
        <is>
          <t>◎</t>
        </is>
      </c>
      <c r="P446" s="13" t="n">
        <v>58</v>
      </c>
      <c r="Q446" s="12" t="inlineStr">
        <is>
          <t>参加者数</t>
        </is>
      </c>
      <c r="R446" s="14" t="n"/>
      <c r="S446" s="10" t="inlineStr">
        <is>
          <t>connpassの表示</t>
        </is>
      </c>
      <c r="T446" s="10" t="inlineStr">
        <is>
          <t>チャット型AIから、実際に作業を任せるAIエージェントへの移り方を、Claude CodeとClaude Coworkのデモで紹介する。</t>
        </is>
      </c>
      <c r="U446" s="15" t="inlineStr">
        <is>
          <t>https://asiaquest.connpass.com/event/404823/</t>
        </is>
      </c>
      <c r="V446" s="10" t="n"/>
      <c r="W446" s="10" t="inlineStr">
        <is>
          <t>個別確認</t>
        </is>
      </c>
      <c r="X446" s="10" t="n"/>
    </row>
    <row r="447">
      <c r="A447" s="10" t="n">
        <v>446</v>
      </c>
      <c r="B447" s="11" t="n">
        <v>46275</v>
      </c>
      <c r="C447" s="11" t="n">
        <v>46275</v>
      </c>
      <c r="D447" s="10">
        <f>MONTH(B447)&amp;"月"</f>
        <v/>
      </c>
      <c r="E447" s="12" t="n">
        <v>1</v>
      </c>
      <c r="F447" s="10" t="n"/>
      <c r="G447" s="10" t="inlineStr">
        <is>
          <t>【エージェント型AI、ClaudeCode活用事例特集】ビジネスマッチング部会</t>
        </is>
      </c>
      <c r="H447" s="10" t="inlineStr">
        <is>
          <t>retech</t>
        </is>
      </c>
      <c r="I447" s="10" t="n"/>
      <c r="J447" s="10" t="inlineStr">
        <is>
          <t>Doorkeeper</t>
        </is>
      </c>
      <c r="K447" s="10" t="inlineStr">
        <is>
          <t>会場</t>
        </is>
      </c>
      <c r="L447" s="10" t="inlineStr">
        <is>
          <t>MIRAI LAB PALETTE （ミライラボパレット） 東京都千代田区大手町1-6-1 大手町ビル2階（中央部）</t>
        </is>
      </c>
      <c r="M447" s="10" t="inlineStr">
        <is>
          <t>営業・マーケ・CS</t>
        </is>
      </c>
      <c r="N447" s="10" t="inlineStr">
        <is>
          <t>AIエージェント</t>
        </is>
      </c>
      <c r="O447" s="12" t="inlineStr">
        <is>
          <t>◎</t>
        </is>
      </c>
      <c r="P447" s="13" t="n">
        <v>58</v>
      </c>
      <c r="Q447" s="12" t="inlineStr">
        <is>
          <t>参加者数</t>
        </is>
      </c>
      <c r="R447" s="14" t="n"/>
      <c r="S447" s="10" t="n"/>
      <c r="T447" s="10" t="inlineStr">
        <is>
          <t xml:space="preserve"> 2022年の初開催以来、不動産テック協会主催のビジネスマッチング部会には、延べ1,400名以上の方にご来場いただいております。 今回は、前回開催した「Claude Code初心者勉強会」が大きな反響をいただいたことを受け、 さらに一歩踏み込んだ「Claude Codeの実践活用」をテーマにイベントを開催いたします。 Claude Codeを実際の業務やサービス開発で活用している不動産・不動産テック業界の実践者をお招きし、「Claude</t>
        </is>
      </c>
      <c r="U447" s="15" t="inlineStr">
        <is>
          <t>https://retech.doorkeeper.jp/events/198730</t>
        </is>
      </c>
      <c r="V447" s="10" t="n"/>
      <c r="W447" s="10" t="inlineStr">
        <is>
          <t>タイトル一致</t>
        </is>
      </c>
      <c r="X447" s="10" t="n"/>
    </row>
    <row r="448">
      <c r="A448" s="10" t="n">
        <v>447</v>
      </c>
      <c r="B448" s="11" t="n">
        <v>46275</v>
      </c>
      <c r="C448" s="11" t="n">
        <v>46275</v>
      </c>
      <c r="D448" s="10">
        <f>MONTH(B448)&amp;"月"</f>
        <v/>
      </c>
      <c r="E448" s="12" t="n">
        <v>1</v>
      </c>
      <c r="F448" s="10" t="n"/>
      <c r="G448" s="10" t="inlineStr">
        <is>
          <t>【情シス・DX担当者向け】ローカルLLM導入に、大規模サーバーは必要か？ ～GBase×HP ZGX Nanoで始めるRAG基盤の小規模導入～</t>
        </is>
      </c>
      <c r="H448" s="10" t="inlineStr">
        <is>
          <t>三谷商事株式会社 株式会社 日本HP</t>
        </is>
      </c>
      <c r="I448" s="10" t="inlineStr">
        <is>
          <t>三谷商事株式会社 株式会社 日本HP</t>
        </is>
      </c>
      <c r="J448" s="10" t="inlineStr">
        <is>
          <t>Doorkeeper</t>
        </is>
      </c>
      <c r="K448" s="10" t="inlineStr">
        <is>
          <t>不明</t>
        </is>
      </c>
      <c r="L448" s="10" t="n"/>
      <c r="M448" s="10" t="inlineStr">
        <is>
          <t>生産性向上・業務効率化</t>
        </is>
      </c>
      <c r="N448" s="10" t="inlineStr">
        <is>
          <t>AIエージェント</t>
        </is>
      </c>
      <c r="O448" s="12" t="inlineStr">
        <is>
          <t>○</t>
        </is>
      </c>
      <c r="P448" s="13" t="n">
        <v>1</v>
      </c>
      <c r="Q448" s="12" t="inlineStr">
        <is>
          <t>参加者数</t>
        </is>
      </c>
      <c r="R448" s="14" t="n">
        <v>1</v>
      </c>
      <c r="S448" s="10" t="n"/>
      <c r="T448"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機密情報を外部に出さない生成AI環境への需要 生成AIの業務活用が広がる一方で、クラウド型AIツールに機密情報や社内文書を入力することへの懸念は多く存在しています。 このため、この懸念に対応する選択肢と</t>
        </is>
      </c>
      <c r="U448" s="15" t="inlineStr">
        <is>
          <t>https://majisemi-technology.doorkeeper.jp/events/198905</t>
        </is>
      </c>
      <c r="V448" s="10" t="n"/>
      <c r="W448" s="10" t="inlineStr">
        <is>
          <t>本文一致</t>
        </is>
      </c>
      <c r="X448" s="10" t="n"/>
    </row>
    <row r="449">
      <c r="A449" s="10" t="n">
        <v>448</v>
      </c>
      <c r="B449" s="11" t="n">
        <v>46275</v>
      </c>
      <c r="C449" s="11" t="n">
        <v>46275</v>
      </c>
      <c r="D449" s="10">
        <f>MONTH(B449)&amp;"月"</f>
        <v/>
      </c>
      <c r="E449" s="12" t="n">
        <v>1</v>
      </c>
      <c r="F449" s="10" t="n"/>
      <c r="G449" s="10" t="inlineStr">
        <is>
          <t>【特典あり・参加申込400名突破】Obsidian × Claude Codeで才能を「強み」に育てる、AI時代のキャリア戦略｜講師：かおる氏〈ADP Vol.102〉</t>
        </is>
      </c>
      <c r="H449" s="10" t="inlineStr">
        <is>
          <t>AI Dreamers Production(ADP)</t>
        </is>
      </c>
      <c r="I449" s="10" t="n"/>
      <c r="J449" s="10" t="inlineStr">
        <is>
          <t>Peatix</t>
        </is>
      </c>
      <c r="K449" s="10" t="inlineStr">
        <is>
          <t>オンライン</t>
        </is>
      </c>
      <c r="L449" s="10" t="n"/>
      <c r="M449" s="10" t="inlineStr">
        <is>
          <t>開発生産性</t>
        </is>
      </c>
      <c r="N449" s="10" t="inlineStr">
        <is>
          <t>AIエージェント</t>
        </is>
      </c>
      <c r="O449" s="12" t="inlineStr">
        <is>
          <t>○</t>
        </is>
      </c>
      <c r="P449" s="13" t="n"/>
      <c r="Q449" s="12" t="inlineStr">
        <is>
          <t>定員</t>
        </is>
      </c>
      <c r="R449" s="14" t="n">
        <v>600</v>
      </c>
      <c r="S449" s="10" t="n"/>
      <c r="T449" s="10" t="inlineStr">
        <is>
          <t>2026年9月10日(木)20:00-21:30 定員600名 リアルタイム無料/特典付きアーカイブ1,980円</t>
        </is>
      </c>
      <c r="U449" s="15" t="inlineStr">
        <is>
          <t>https://adp-102.peatix.com/</t>
        </is>
      </c>
      <c r="V449" s="10" t="n"/>
      <c r="W449" s="10" t="inlineStr">
        <is>
          <t>タイトル一致</t>
        </is>
      </c>
      <c r="X449" s="10" t="n"/>
    </row>
    <row r="450">
      <c r="A450" s="10" t="n">
        <v>449</v>
      </c>
      <c r="B450" s="11" t="n">
        <v>46275</v>
      </c>
      <c r="C450" s="11" t="n">
        <v>46276</v>
      </c>
      <c r="D450" s="10">
        <f>MONTH(B450)&amp;"月"</f>
        <v/>
      </c>
      <c r="E450" s="12" t="n">
        <v>1</v>
      </c>
      <c r="F450" s="10" t="n"/>
      <c r="G450" s="10" t="inlineStr">
        <is>
          <t>第29回 カスタマーサポートシンポジウム</t>
        </is>
      </c>
      <c r="H450" s="10" t="inlineStr">
        <is>
          <t>公益社団法人企業情報化協会（IT協会）</t>
        </is>
      </c>
      <c r="I450" s="10" t="n"/>
      <c r="J450" s="10" t="inlineStr">
        <is>
          <t>個別調査（公式サイト・PR TIMES等）</t>
        </is>
      </c>
      <c r="K450" s="10" t="inlineStr">
        <is>
          <t>ハイブリッド</t>
        </is>
      </c>
      <c r="L450" s="10" t="inlineStr">
        <is>
          <t>東京プリンスホテル</t>
        </is>
      </c>
      <c r="M450" s="10" t="inlineStr">
        <is>
          <t>営業・マーケ・CS</t>
        </is>
      </c>
      <c r="N450" s="10" t="inlineStr">
        <is>
          <t>AIエージェント（一部セッション）</t>
        </is>
      </c>
      <c r="O450" s="12" t="inlineStr">
        <is>
          <t>◎</t>
        </is>
      </c>
      <c r="P450" s="13" t="n"/>
      <c r="Q450" s="12" t="inlineStr">
        <is>
          <t>不明</t>
        </is>
      </c>
      <c r="R450" s="14" t="n"/>
      <c r="S450" s="10" t="n"/>
      <c r="T450" s="10" t="inlineStr">
        <is>
          <t>生成AIによるCXと現場の改革を扱う。質問型AIエージェント「Navie」などが紹介された。</t>
        </is>
      </c>
      <c r="U450" s="15" t="inlineStr">
        <is>
          <t>https://ai2-jp.com/news/2026/07/17/20055/</t>
        </is>
      </c>
      <c r="V450" s="10" t="n"/>
      <c r="W450" s="10" t="inlineStr">
        <is>
          <t>個別確認</t>
        </is>
      </c>
      <c r="X450" s="10" t="n"/>
    </row>
    <row r="451">
      <c r="A451" s="10" t="n">
        <v>450</v>
      </c>
      <c r="B451" s="11" t="n">
        <v>46276</v>
      </c>
      <c r="C451" s="11" t="n">
        <v>46276</v>
      </c>
      <c r="D451" s="10">
        <f>MONTH(B451)&amp;"月"</f>
        <v/>
      </c>
      <c r="E451" s="12" t="n">
        <v>1</v>
      </c>
      <c r="F451" s="10" t="n"/>
      <c r="G451" s="10" t="inlineStr">
        <is>
          <t>AI&amp;DX Leaders' Conference 2026 AIエージェント時代に『描く』人・組織・事業の未来</t>
        </is>
      </c>
      <c r="H451" s="10" t="inlineStr">
        <is>
          <t>産経新聞社</t>
        </is>
      </c>
      <c r="I451" s="10" t="inlineStr">
        <is>
          <t>一般社団法人生成AI活用普及協会（GUGA）</t>
        </is>
      </c>
      <c r="J451" s="10" t="inlineStr">
        <is>
          <t>個別調査（公式サイト・PR TIMES等）</t>
        </is>
      </c>
      <c r="K451" s="10" t="inlineStr">
        <is>
          <t>会場</t>
        </is>
      </c>
      <c r="L451" s="10" t="inlineStr">
        <is>
          <t>大手町プレイス ホール&amp;カンファレンス</t>
        </is>
      </c>
      <c r="M451" s="10" t="inlineStr">
        <is>
          <t>生産性向上・業務効率化</t>
        </is>
      </c>
      <c r="N451" s="10" t="inlineStr">
        <is>
          <t>AIエージェント</t>
        </is>
      </c>
      <c r="O451" s="12" t="inlineStr">
        <is>
          <t>◎</t>
        </is>
      </c>
      <c r="P451" s="13" t="n">
        <v>1000</v>
      </c>
      <c r="Q451" s="12" t="inlineStr">
        <is>
          <t>定員</t>
        </is>
      </c>
      <c r="R451" s="14" t="n">
        <v>1000</v>
      </c>
      <c r="S451" s="10" t="n"/>
      <c r="T451" s="10" t="inlineStr">
        <is>
          <t>効率化のための生成AIから、自律型AIエージェントやフィジカルAIへの進化を踏まえ、経営戦略と組織のあり方を議論する。</t>
        </is>
      </c>
      <c r="U451" s="15" t="inlineStr">
        <is>
          <t>https://prtimes.jp/main/html/rd/p/000002092.000022608.html</t>
        </is>
      </c>
      <c r="V451" s="10" t="n"/>
      <c r="W451" s="10" t="inlineStr">
        <is>
          <t>個別確認</t>
        </is>
      </c>
      <c r="X451" s="10" t="n"/>
    </row>
    <row r="452">
      <c r="A452" s="10" t="n">
        <v>451</v>
      </c>
      <c r="B452" s="11" t="n">
        <v>46276</v>
      </c>
      <c r="C452" s="11" t="n">
        <v>46276</v>
      </c>
      <c r="D452" s="10">
        <f>MONTH(B452)&amp;"月"</f>
        <v/>
      </c>
      <c r="E452" s="12" t="n">
        <v>1</v>
      </c>
      <c r="F452" s="10" t="n"/>
      <c r="G452" s="10" t="inlineStr">
        <is>
          <t>AIエージェント時代の設計DX PDMからPLMへ ― BOM・設計変更情報をどうつなぐか</t>
        </is>
      </c>
      <c r="H452" s="10" t="inlineStr">
        <is>
          <t>株式会社グローバルブレインスクエア セミナー事務局</t>
        </is>
      </c>
      <c r="I452" s="10" t="n"/>
      <c r="J452" s="10" t="inlineStr">
        <is>
          <t>こくちーずプロ</t>
        </is>
      </c>
      <c r="K452" s="10" t="inlineStr">
        <is>
          <t>オンライン</t>
        </is>
      </c>
      <c r="L452" s="10" t="inlineStr">
        <is>
          <t>オンライン 日本</t>
        </is>
      </c>
      <c r="M452" s="10" t="inlineStr">
        <is>
          <t>生産管理・製造・SCM</t>
        </is>
      </c>
      <c r="N452" s="10" t="inlineStr">
        <is>
          <t>AIエージェント</t>
        </is>
      </c>
      <c r="O452" s="12" t="inlineStr">
        <is>
          <t>◎</t>
        </is>
      </c>
      <c r="P452" s="13" t="n">
        <v>0</v>
      </c>
      <c r="Q452" s="12" t="inlineStr">
        <is>
          <t>イベント参加 0/250</t>
        </is>
      </c>
      <c r="R452" s="14" t="n">
        <v>250</v>
      </c>
      <c r="S452" s="10" t="n"/>
      <c r="T452" s="10" t="inlineStr">
        <is>
          <t>AIエージェント時代の設計DX PDMからPLMへ ― BOM・設計変更情報をどうつなぐか 受注設計型製造業では、図面、部品情報、BOM、仕様書、設計変更履歴などの設計情報が、部門やシステムごとに分散しやすくなります。 一方、生成AIやAIエージェントを設計業務で活用するためには、AIに質問するだけではなく、必要な設計情報同士がつながり、正しい情報を参照できる基盤を整えることが重要です。 本セミナーでは、既存のPDMやCADなどの資産を</t>
        </is>
      </c>
      <c r="U452" s="15" t="inlineStr">
        <is>
          <t>https://www.kokuchpro.com/event/5935c0785024bc4e4eadd7a78c581ede/</t>
        </is>
      </c>
      <c r="V452" s="10" t="n"/>
      <c r="W452" s="10" t="inlineStr">
        <is>
          <t>タイトル一致</t>
        </is>
      </c>
      <c r="X452" s="10" t="n"/>
    </row>
    <row r="453">
      <c r="A453" s="10" t="n">
        <v>452</v>
      </c>
      <c r="B453" s="11" t="n">
        <v>46276</v>
      </c>
      <c r="C453" s="11" t="n">
        <v>46276</v>
      </c>
      <c r="D453" s="10">
        <f>MONTH(B453)&amp;"月"</f>
        <v/>
      </c>
      <c r="E453" s="12" t="n">
        <v>1</v>
      </c>
      <c r="F453" s="10" t="n"/>
      <c r="G453" s="10" t="inlineStr">
        <is>
          <t>DX&amp;AI Forum 2026 秋 名古屋</t>
        </is>
      </c>
      <c r="H453" s="10" t="inlineStr">
        <is>
          <t>SBクリエイティブ株式会社（ビジネス＋IT）</t>
        </is>
      </c>
      <c r="I453" s="10" t="n"/>
      <c r="J453" s="10" t="inlineStr">
        <is>
          <t>ビジネス+IT</t>
        </is>
      </c>
      <c r="K453" s="10" t="inlineStr">
        <is>
          <t>offline</t>
        </is>
      </c>
      <c r="L453" s="10" t="inlineStr">
        <is>
          <t>愛知県</t>
        </is>
      </c>
      <c r="M453" s="10" t="inlineStr">
        <is>
          <t>生産性向上・業務効率化</t>
        </is>
      </c>
      <c r="N453" s="10" t="inlineStr">
        <is>
          <t>AIエージェント</t>
        </is>
      </c>
      <c r="O453" s="12" t="inlineStr">
        <is>
          <t>○</t>
        </is>
      </c>
      <c r="P453" s="13" t="n"/>
      <c r="Q453" s="12" t="inlineStr">
        <is>
          <t>不明</t>
        </is>
      </c>
      <c r="R453" s="14" t="n"/>
      <c r="S453" s="10" t="n"/>
      <c r="T453" s="10" t="inlineStr">
        <is>
          <t>世界的な地政学リスクと経済安全保障問題、AI主権をめぐるAI開発競争など、厳しさを増す経済環境の中、日本企業は生き残りをかけた変革を迫られています。一方でAIは、自ら考え行動するエージェンティックAIや現実世界で動くフィジカルAIへと進化し、人とAIが協調し稼働する「自律型社会」が、AGI（汎用人工知能）の実現を視野にいよいよ現実となろうとしています。日本企業がAIやデジタルを融合した「AX戦略」で「再成長」へ向かうには、今、何が必要で</t>
        </is>
      </c>
      <c r="U453" s="15" t="inlineStr">
        <is>
          <t>https://www.sbbit.jp/eventinfo/89409</t>
        </is>
      </c>
      <c r="V453" s="10" t="n"/>
      <c r="W453" s="10" t="inlineStr">
        <is>
          <t>本文一致</t>
        </is>
      </c>
      <c r="X453" s="10" t="n"/>
    </row>
    <row r="454">
      <c r="A454" s="10" t="n">
        <v>453</v>
      </c>
      <c r="B454" s="11" t="n">
        <v>46276</v>
      </c>
      <c r="C454" s="11" t="n">
        <v>46276</v>
      </c>
      <c r="D454" s="10">
        <f>MONTH(B454)&amp;"月"</f>
        <v/>
      </c>
      <c r="E454" s="12" t="n">
        <v>1</v>
      </c>
      <c r="F454" s="10" t="n"/>
      <c r="G454" s="10" t="inlineStr">
        <is>
          <t>「AIエージェントDXPO東京'26 夏」にて大変好評だったセミナーをウェビナー配信</t>
        </is>
      </c>
      <c r="H454" s="10" t="inlineStr">
        <is>
          <t>アップセルテクノロジィーズ株式会社</t>
        </is>
      </c>
      <c r="I454" s="10" t="n"/>
      <c r="J454" s="10" t="inlineStr">
        <is>
          <t>PR TIMES</t>
        </is>
      </c>
      <c r="K454" s="10" t="inlineStr">
        <is>
          <t>online</t>
        </is>
      </c>
      <c r="L454" s="10" t="inlineStr">
        <is>
          <t>オンライン</t>
        </is>
      </c>
      <c r="M454" s="10" t="inlineStr">
        <is>
          <t>生産性向上・業務効率化</t>
        </is>
      </c>
      <c r="N454" s="10" t="inlineStr">
        <is>
          <t>AIエージェント</t>
        </is>
      </c>
      <c r="O454" s="12" t="inlineStr">
        <is>
          <t>◎</t>
        </is>
      </c>
      <c r="P454" s="13" t="n"/>
      <c r="Q454" s="12" t="inlineStr">
        <is>
          <t>不明</t>
        </is>
      </c>
      <c r="R454" s="14" t="n"/>
      <c r="S454" s="10" t="n"/>
      <c r="T454" s="10" t="inlineStr">
        <is>
          <t>アップセルテクノロジィーズ株式会社（本社：東京都豊島区、代表取締役CEO グループ会長：高橋良太、以下「当社」）は、2026年8月20日（木）・21日（金）に東京ビッグサイトで開催された「AIエージェントDXPO東京'26 夏」に出展し、AIオペレーター「miraio（ミライオ）」を展示しました。 会期中には、AIオペレーターを活用した電話対応・顧客対応の可能性について紹介するセミナー「電話対応の人手依存から脱却 ～AIオペレーター『m</t>
        </is>
      </c>
      <c r="U454" s="15" t="inlineStr">
        <is>
          <t>https://prtimes.jp/main/html/rd/p/000000071.000030394.html</t>
        </is>
      </c>
      <c r="V454" s="10" t="n"/>
      <c r="W454" s="10" t="inlineStr">
        <is>
          <t>タイトル一致</t>
        </is>
      </c>
      <c r="X454" s="10" t="n"/>
    </row>
    <row r="455">
      <c r="A455" s="10" t="n">
        <v>454</v>
      </c>
      <c r="B455" s="11" t="n">
        <v>46276</v>
      </c>
      <c r="C455" s="11" t="n">
        <v>46276</v>
      </c>
      <c r="D455" s="10">
        <f>MONTH(B455)&amp;"月"</f>
        <v/>
      </c>
      <c r="E455" s="12" t="n">
        <v>1</v>
      </c>
      <c r="F455" s="10" t="n"/>
      <c r="G455" s="10" t="inlineStr">
        <is>
          <t>【9月11日】AIコーディングのLTやります!エンジニア交流会【東京】</t>
        </is>
      </c>
      <c r="H455" s="10" t="inlineStr">
        <is>
          <t>【9月11日】AIコーディングのLTやります!エンジニア交流会【東京】事務局</t>
        </is>
      </c>
      <c r="I455" s="10" t="n"/>
      <c r="J455" s="10" t="inlineStr">
        <is>
          <t>こくちーずプロ</t>
        </is>
      </c>
      <c r="K455" s="10" t="inlineStr">
        <is>
          <t>オフライン（会場）</t>
        </is>
      </c>
      <c r="L455" s="10" t="inlineStr">
        <is>
          <t>六本木ファーストビル17階オフィス 東京都港区六本木1丁目9-9 六本木ファーストビル17階</t>
        </is>
      </c>
      <c r="M455" s="10" t="inlineStr">
        <is>
          <t>開発生産性</t>
        </is>
      </c>
      <c r="N455" s="10" t="inlineStr">
        <is>
          <t>両方</t>
        </is>
      </c>
      <c r="O455" s="12" t="inlineStr">
        <is>
          <t>△</t>
        </is>
      </c>
      <c r="P455" s="13" t="n">
        <v>0</v>
      </c>
      <c r="Q455" s="12" t="inlineStr">
        <is>
          <t>イベント参加 0/15</t>
        </is>
      </c>
      <c r="R455" s="14" t="n">
        <v>15</v>
      </c>
      <c r="S455" s="10" t="n"/>
      <c r="T455" s="10" t="inlineStr">
        <is>
          <t>AI×エンジニア交流会 in 六本木‍ AIに詳しくなくても大歓迎！エンジニア同士で気軽に交流しませんか？‍ エンジニア同士で気軽につながり、技術やキャリアについて話せる交流会を六本木で開催します！ 今回は「AI×データ活用」をテーマにしたLTも予定していますが、AIの知識や実務経験は必要ありません。 「AIにはまだ詳しくないけれど、最近の動向を少し聞いてみたい」 「仕事やキャリアについて、同業者と気軽に話したい」 そんな方も大歓迎です</t>
        </is>
      </c>
      <c r="U455" s="15" t="inlineStr">
        <is>
          <t>https://www.kokuchpro.com/event/abbb3d41ba72194e3075547d143c3acc/</t>
        </is>
      </c>
      <c r="V455" s="10" t="n"/>
      <c r="W455" s="10" t="inlineStr">
        <is>
          <t>本文一致</t>
        </is>
      </c>
      <c r="X455" s="10" t="n"/>
    </row>
    <row r="456">
      <c r="A456" s="10" t="n">
        <v>455</v>
      </c>
      <c r="B456" s="11" t="n">
        <v>46276</v>
      </c>
      <c r="C456" s="11" t="n">
        <v>46276</v>
      </c>
      <c r="D456" s="10">
        <f>MONTH(B456)&amp;"月"</f>
        <v/>
      </c>
      <c r="E456" s="12" t="n">
        <v>1</v>
      </c>
      <c r="F456" s="10" t="n"/>
      <c r="G456" s="10" t="inlineStr">
        <is>
          <t>【増枠】Claude Code Night #2 ~プロダクト開発現場での活用事例~</t>
        </is>
      </c>
      <c r="H456" s="10" t="inlineStr">
        <is>
          <t>スタディプラス株式会社</t>
        </is>
      </c>
      <c r="I456" s="10" t="n"/>
      <c r="J456" s="10" t="inlineStr">
        <is>
          <t>connpass</t>
        </is>
      </c>
      <c r="K456" s="10" t="inlineStr">
        <is>
          <t>会場</t>
        </is>
      </c>
      <c r="L456" s="10" t="inlineStr">
        <is>
          <t>東京都千代田区神田駿河台2丁目 5-12 NMF駿河台ビル 4階 スタディプラス株式会社</t>
        </is>
      </c>
      <c r="M456" s="10" t="inlineStr">
        <is>
          <t>開発生産性</t>
        </is>
      </c>
      <c r="N456" s="10" t="inlineStr">
        <is>
          <t>AIエージェント</t>
        </is>
      </c>
      <c r="O456" s="12" t="inlineStr">
        <is>
          <t>○</t>
        </is>
      </c>
      <c r="P456" s="13" t="n">
        <v>121</v>
      </c>
      <c r="Q456" s="12" t="inlineStr">
        <is>
          <t>参加者数</t>
        </is>
      </c>
      <c r="R456" s="14" t="n">
        <v>160</v>
      </c>
      <c r="S456" s="10" t="n"/>
      <c r="T456" s="10" t="n"/>
      <c r="U456" s="15" t="inlineStr">
        <is>
          <t>https://studyplus.connpass.com/event/402991/</t>
        </is>
      </c>
      <c r="V456" s="10" t="n"/>
      <c r="W456" s="10" t="inlineStr">
        <is>
          <t>タイトル一致</t>
        </is>
      </c>
      <c r="X456" s="10" t="n"/>
    </row>
    <row r="457">
      <c r="A457" s="10" t="n">
        <v>456</v>
      </c>
      <c r="B457" s="11" t="n">
        <v>46276</v>
      </c>
      <c r="C457" s="11" t="n">
        <v>46276</v>
      </c>
      <c r="D457" s="10">
        <f>MONTH(B457)&amp;"月"</f>
        <v/>
      </c>
      <c r="E457" s="12" t="n">
        <v>1</v>
      </c>
      <c r="F457" s="10" t="n"/>
      <c r="G457" s="10" t="inlineStr">
        <is>
          <t>【福岡】Zenn Agentic AI ミニハッカソン with Google Cloud</t>
        </is>
      </c>
      <c r="H457" s="10" t="inlineStr">
        <is>
          <t>クラスメソッド株式会社</t>
        </is>
      </c>
      <c r="I457" s="10" t="n"/>
      <c r="J457" s="10" t="inlineStr">
        <is>
          <t>connpass</t>
        </is>
      </c>
      <c r="K457" s="10" t="inlineStr">
        <is>
          <t>会場</t>
        </is>
      </c>
      <c r="L457" s="10" t="inlineStr">
        <is>
          <t>福岡県福岡市中央区舞鶴３丁目９−３９ (福岡舞鶴スクエア 4階)</t>
        </is>
      </c>
      <c r="M457" s="10" t="inlineStr">
        <is>
          <t>技術・AI全般</t>
        </is>
      </c>
      <c r="N457" s="10" t="inlineStr">
        <is>
          <t>AIエージェント</t>
        </is>
      </c>
      <c r="O457" s="12" t="inlineStr">
        <is>
          <t>○</t>
        </is>
      </c>
      <c r="P457" s="13" t="n">
        <v>19</v>
      </c>
      <c r="Q457" s="12" t="inlineStr">
        <is>
          <t>参加者数</t>
        </is>
      </c>
      <c r="R457" s="14" t="n">
        <v>40</v>
      </c>
      <c r="S457" s="10" t="n"/>
      <c r="T457" s="10" t="n"/>
      <c r="U457" s="15" t="inlineStr">
        <is>
          <t>https://classmethod.connpass.com/event/398579/</t>
        </is>
      </c>
      <c r="V457" s="10" t="n"/>
      <c r="W457" s="10" t="inlineStr">
        <is>
          <t>タイトル一致</t>
        </is>
      </c>
      <c r="X457" s="10" t="n"/>
    </row>
    <row r="458">
      <c r="A458" s="10" t="n">
        <v>457</v>
      </c>
      <c r="B458" s="11" t="n">
        <v>46276</v>
      </c>
      <c r="C458" s="11" t="n">
        <v>46276</v>
      </c>
      <c r="D458" s="10">
        <f>MONTH(B458)&amp;"月"</f>
        <v/>
      </c>
      <c r="E458" s="12" t="n">
        <v>1</v>
      </c>
      <c r="F458" s="10" t="n"/>
      <c r="G458" s="10" t="inlineStr">
        <is>
          <t>サブエージェント100体を運用する、Claude Codeの実践と人間拡張</t>
        </is>
      </c>
      <c r="H458" s="10" t="inlineStr">
        <is>
          <t>アイリス株式会社</t>
        </is>
      </c>
      <c r="I458" s="10" t="n"/>
      <c r="J458" s="10" t="inlineStr">
        <is>
          <t>connpass</t>
        </is>
      </c>
      <c r="K458" s="10" t="inlineStr">
        <is>
          <t>会場</t>
        </is>
      </c>
      <c r="L458" s="10" t="inlineStr">
        <is>
          <t>東京都千代田区丸の内2-7-2 (JPタワー19F)</t>
        </is>
      </c>
      <c r="M458" s="10" t="inlineStr">
        <is>
          <t>開発生産性</t>
        </is>
      </c>
      <c r="N458" s="10" t="inlineStr">
        <is>
          <t>AIエージェント</t>
        </is>
      </c>
      <c r="O458" s="12" t="inlineStr">
        <is>
          <t>○</t>
        </is>
      </c>
      <c r="P458" s="13" t="n">
        <v>59</v>
      </c>
      <c r="Q458" s="12" t="inlineStr">
        <is>
          <t>参加者数</t>
        </is>
      </c>
      <c r="R458" s="14" t="n">
        <v>120</v>
      </c>
      <c r="S458" s="10" t="n"/>
      <c r="T458" s="10" t="n"/>
      <c r="U458" s="15" t="inlineStr">
        <is>
          <t>https://aillis.connpass.com/event/403439/</t>
        </is>
      </c>
      <c r="V458" s="10" t="n"/>
      <c r="W458" s="10" t="inlineStr">
        <is>
          <t>タイトル一致</t>
        </is>
      </c>
      <c r="X458" s="10" t="n"/>
    </row>
    <row r="459">
      <c r="A459" s="10" t="n">
        <v>458</v>
      </c>
      <c r="B459" s="11" t="n">
        <v>46276</v>
      </c>
      <c r="C459" s="11" t="n">
        <v>46276</v>
      </c>
      <c r="D459" s="10">
        <f>MONTH(B459)&amp;"月"</f>
        <v/>
      </c>
      <c r="E459" s="12" t="n">
        <v>1</v>
      </c>
      <c r="F459" s="10" t="n"/>
      <c r="G459" s="10" t="inlineStr">
        <is>
          <t>中小企業のためのAI体感セミナー/「AIがつくる」を、あなたの目で確かめる90分。</t>
        </is>
      </c>
      <c r="H459" s="10" t="inlineStr">
        <is>
          <t>株式会社Qukuri</t>
        </is>
      </c>
      <c r="I459" s="10" t="n"/>
      <c r="J459" s="10" t="inlineStr">
        <is>
          <t>こくちーずプロ</t>
        </is>
      </c>
      <c r="K459" s="10" t="inlineStr">
        <is>
          <t>オフライン（会場）</t>
        </is>
      </c>
      <c r="L459" s="10" t="inlineStr">
        <is>
          <t>仙台駅Place204 宮城県仙台市若林区新寺1-6-8 チサンマンション第三仙台</t>
        </is>
      </c>
      <c r="M459" s="10" t="inlineStr">
        <is>
          <t>生産性向上・業務効率化</t>
        </is>
      </c>
      <c r="N459" s="10" t="inlineStr">
        <is>
          <t>AIエージェント</t>
        </is>
      </c>
      <c r="O459" s="12" t="inlineStr">
        <is>
          <t>○</t>
        </is>
      </c>
      <c r="P459" s="13" t="n"/>
      <c r="Q459" s="12" t="inlineStr">
        <is>
          <t>不明</t>
        </is>
      </c>
      <c r="R459" s="14" t="n"/>
      <c r="S459" s="10" t="n"/>
      <c r="T459" s="10" t="inlineStr">
        <is>
          <t>◆ IT革命から四半世紀、大AI革命時代到来 約25年前、「IT革命」という言葉とともに、私たちの働き方や暮らし方は大きく変わりました。そして今、生成AIの登場により、世界は新たな転換点「大AI革命時代」を迎えています。産業革命並みの淘汰と創造の波が、避けられない現実として目前に迫っているのです。 重要なのは、「AIを使わない」という選択をする場合でも、AIそのものを正しく理解しておく必要があるということ。AIは、いまや社会やビジネスの</t>
        </is>
      </c>
      <c r="U459" s="15" t="inlineStr">
        <is>
          <t>https://www.kokuchpro.com/event/7bec60ea2732bc904b172ce8fec8cb89/</t>
        </is>
      </c>
      <c r="V459" s="10" t="n"/>
      <c r="W459" s="10" t="inlineStr">
        <is>
          <t>本文一致</t>
        </is>
      </c>
      <c r="X459" s="10" t="n"/>
    </row>
    <row r="460">
      <c r="A460" s="10" t="n">
        <v>459</v>
      </c>
      <c r="B460" s="11" t="n">
        <v>46276</v>
      </c>
      <c r="C460" s="11" t="n">
        <v>46276</v>
      </c>
      <c r="D460" s="10">
        <f>MONTH(B460)&amp;"月"</f>
        <v/>
      </c>
      <c r="E460" s="12" t="n">
        <v>1</v>
      </c>
      <c r="F460" s="10" t="n"/>
      <c r="G460" s="10" t="inlineStr">
        <is>
          <t>人を増やさず処理能力を2倍に—Claude Codeで「数千円の即戦力」を【経営者向けライブ実演】</t>
        </is>
      </c>
      <c r="H460" s="10" t="inlineStr">
        <is>
          <t>株式会社ノヴァリス</t>
        </is>
      </c>
      <c r="I460" s="10" t="n"/>
      <c r="J460" s="10" t="inlineStr">
        <is>
          <t>connpass</t>
        </is>
      </c>
      <c r="K460" s="10" t="inlineStr">
        <is>
          <t>オンライン</t>
        </is>
      </c>
      <c r="L460" s="10" t="inlineStr">
        <is>
          <t>オンライン</t>
        </is>
      </c>
      <c r="M460" s="10" t="inlineStr">
        <is>
          <t>生産性向上・業務効率化</t>
        </is>
      </c>
      <c r="N460" s="10" t="inlineStr">
        <is>
          <t>AIエージェント</t>
        </is>
      </c>
      <c r="O460" s="12" t="inlineStr">
        <is>
          <t>◎</t>
        </is>
      </c>
      <c r="P460" s="13" t="n">
        <v>7</v>
      </c>
      <c r="Q460" s="12" t="inlineStr">
        <is>
          <t>参加者数</t>
        </is>
      </c>
      <c r="R460" s="14" t="n">
        <v>10</v>
      </c>
      <c r="S460" s="10" t="n"/>
      <c r="T460" s="10" t="n"/>
      <c r="U460" s="15" t="inlineStr">
        <is>
          <t>https://connpass.com/event/404736/</t>
        </is>
      </c>
      <c r="V460" s="10" t="n"/>
      <c r="W460" s="10" t="inlineStr">
        <is>
          <t>タイトル一致</t>
        </is>
      </c>
      <c r="X460" s="10" t="n"/>
    </row>
    <row r="461">
      <c r="A461" s="10" t="n">
        <v>460</v>
      </c>
      <c r="B461" s="11" t="n">
        <v>46276</v>
      </c>
      <c r="C461" s="11" t="n">
        <v>46276</v>
      </c>
      <c r="D461" s="10">
        <f>MONTH(B461)&amp;"月"</f>
        <v/>
      </c>
      <c r="E461" s="12" t="n">
        <v>1</v>
      </c>
      <c r="F461" s="10" t="n"/>
      <c r="G461" s="10" t="inlineStr">
        <is>
          <t>個人利用で止まるAI活用、なぜ組織活用へ進められないのか</t>
        </is>
      </c>
      <c r="H461" s="10" t="inlineStr">
        <is>
          <t>AKKODiSコンサルティング株式会社（協力：マジセミ株式会社）</t>
        </is>
      </c>
      <c r="I461" s="10" t="n"/>
      <c r="J461" s="10" t="inlineStr">
        <is>
          <t>マジセミ</t>
        </is>
      </c>
      <c r="K461" s="10" t="inlineStr">
        <is>
          <t>online</t>
        </is>
      </c>
      <c r="L461" s="10" t="inlineStr">
        <is>
          <t>オンライン</t>
        </is>
      </c>
      <c r="M461" s="10" t="inlineStr">
        <is>
          <t>生産性向上・業務効率化</t>
        </is>
      </c>
      <c r="N461" s="10" t="inlineStr">
        <is>
          <t>AIエージェント</t>
        </is>
      </c>
      <c r="O461" s="12" t="inlineStr">
        <is>
          <t>○</t>
        </is>
      </c>
      <c r="P461" s="13" t="n"/>
      <c r="Q461" s="12" t="inlineStr">
        <is>
          <t>不明</t>
        </is>
      </c>
      <c r="R461" s="14" t="n"/>
      <c r="S461" s="10" t="n"/>
      <c r="T461" s="10" t="inlineStr">
        <is>
          <t>■生成AIの利用は広がっても、組織活用は進まない 生成AIを使った情報収集や文章作成など、個人利用は企業の中でも急速に広がっています。しかし、個人の作業が速くなることと、組織全体の業務が変わることは同じではありません。AIを業務プロセスに組み込み、継続的に成果を生み出すためには、利用目的や対象業務を整理し、AIエージェントの活用を見据えた取り組みが必要です。 ■組織活用を阻む、ガバナンス・知識・育成設計の未整備 組織的なAI活用へ移行す</t>
        </is>
      </c>
      <c r="U461" s="15" t="inlineStr">
        <is>
          <t>https://prtimes.jp/main/html/rd/p/000005612.000054842.html</t>
        </is>
      </c>
      <c r="V461" s="10" t="n"/>
      <c r="W461" s="10" t="inlineStr">
        <is>
          <t>本文一致</t>
        </is>
      </c>
      <c r="X461" s="10" t="n"/>
    </row>
    <row r="462">
      <c r="A462" s="10" t="n">
        <v>461</v>
      </c>
      <c r="B462" s="11" t="n">
        <v>46276</v>
      </c>
      <c r="C462" s="11" t="n">
        <v>46276</v>
      </c>
      <c r="D462" s="10">
        <f>MONTH(B462)&amp;"月"</f>
        <v/>
      </c>
      <c r="E462" s="12" t="n">
        <v>1</v>
      </c>
      <c r="F462" s="10" t="n"/>
      <c r="G462" s="10" t="inlineStr">
        <is>
          <t>個人利用で止まるAI活用、なぜ組織活用へ進められないのか ～組織活用の決め手となる、AIエージェント活用人材の育成～</t>
        </is>
      </c>
      <c r="H462" s="10" t="inlineStr">
        <is>
          <t>松井 勇樹</t>
        </is>
      </c>
      <c r="I462" s="10" t="n"/>
      <c r="J462" s="10" t="inlineStr">
        <is>
          <t>マジセミ</t>
        </is>
      </c>
      <c r="K462" s="10" t="inlineStr">
        <is>
          <t>不明</t>
        </is>
      </c>
      <c r="L462" s="10" t="n"/>
      <c r="M462" s="10" t="inlineStr">
        <is>
          <t>技術・AI全般</t>
        </is>
      </c>
      <c r="N462" s="10" t="inlineStr">
        <is>
          <t>AIエージェント</t>
        </is>
      </c>
      <c r="O462" s="12" t="inlineStr">
        <is>
          <t>○</t>
        </is>
      </c>
      <c r="P462" s="13" t="n"/>
      <c r="Q462" s="12" t="inlineStr">
        <is>
          <t>不明</t>
        </is>
      </c>
      <c r="R462" s="14" t="n"/>
      <c r="S462" s="10" t="n"/>
      <c r="T462" s="10" t="n"/>
      <c r="U462" s="15" t="inlineStr">
        <is>
          <t>https://majisemi.com/e/c/modis-20260911</t>
        </is>
      </c>
      <c r="V462" s="10" t="n"/>
      <c r="W462" s="10" t="inlineStr">
        <is>
          <t>タイトル一致</t>
        </is>
      </c>
      <c r="X462" s="10" t="n"/>
    </row>
    <row r="463">
      <c r="A463" s="10" t="n">
        <v>462</v>
      </c>
      <c r="B463" s="11" t="n">
        <v>46277</v>
      </c>
      <c r="C463" s="11" t="n">
        <v>46277</v>
      </c>
      <c r="D463" s="10">
        <f>MONTH(B463)&amp;"月"</f>
        <v/>
      </c>
      <c r="E463" s="12" t="n">
        <v>1</v>
      </c>
      <c r="F463" s="10" t="n"/>
      <c r="G463" s="10" t="inlineStr">
        <is>
          <t>【プロダクト開発関係者向け】AIエージェントで変わるチームコラボレーション　9/12（土）無料セミナー「プロダクト・UX・開発をつなぐ新しい仕事の進め方」開催</t>
        </is>
      </c>
      <c r="H463" s="10" t="inlineStr">
        <is>
          <t>株式会社クリーク･アンド･リバー社</t>
        </is>
      </c>
      <c r="I463" s="10" t="n"/>
      <c r="J463" s="10" t="inlineStr">
        <is>
          <t>PR TIMES</t>
        </is>
      </c>
      <c r="K463" s="10" t="inlineStr">
        <is>
          <t>online</t>
        </is>
      </c>
      <c r="L463" s="10" t="inlineStr">
        <is>
          <t>オンライン開催</t>
        </is>
      </c>
      <c r="M463" s="10" t="inlineStr">
        <is>
          <t>開発生産性</t>
        </is>
      </c>
      <c r="N463" s="10" t="inlineStr">
        <is>
          <t>AIエージェント</t>
        </is>
      </c>
      <c r="O463" s="12" t="inlineStr">
        <is>
          <t>○</t>
        </is>
      </c>
      <c r="P463" s="13" t="n"/>
      <c r="Q463" s="12" t="inlineStr">
        <is>
          <t>定員</t>
        </is>
      </c>
      <c r="R463" s="14" t="n">
        <v>60</v>
      </c>
      <c r="S463" s="10" t="n"/>
      <c r="T463" s="10" t="inlineStr">
        <is>
          <t>株式会社クリーク･アンド･リバー社（C&amp;R社）は9月12日（土）、プロダクト開発に携わる方などを対象に、無料のオンラインセミナー「AIエージェントで変わるチームコラボレーション～プロダクト・UX・開発をつなぐ新しい仕事の進め方～」を開催します。なお、本セミナーは、全編英語で行いますが、同時通訳を通して日本語でお聞きいただくことも可能です。 ※ご自身でオリジナル（英語）または通訳チャンネルを選択していただくことができます プロダクト開発の</t>
        </is>
      </c>
      <c r="U463" s="15" t="inlineStr">
        <is>
          <t>https://prtimes.jp/main/html/rd/p/000005025.000003670.html</t>
        </is>
      </c>
      <c r="V463" s="10" t="n"/>
      <c r="W463" s="10" t="inlineStr">
        <is>
          <t>タイトル一致</t>
        </is>
      </c>
      <c r="X463" s="10" t="n"/>
    </row>
    <row r="464">
      <c r="A464" s="10" t="n">
        <v>463</v>
      </c>
      <c r="B464" s="11" t="n">
        <v>46277</v>
      </c>
      <c r="C464" s="11" t="n">
        <v>46277</v>
      </c>
      <c r="D464" s="10">
        <f>MONTH(B464)&amp;"月"</f>
        <v/>
      </c>
      <c r="E464" s="12" t="n">
        <v>1</v>
      </c>
      <c r="F464" s="10" t="n"/>
      <c r="G464" s="10" t="inlineStr">
        <is>
          <t>【梅田開催】AIで自分のホームページを作ろう！第1回 Claude Code ハンズオン</t>
        </is>
      </c>
      <c r="H464" s="10" t="inlineStr">
        <is>
          <t>【0 to 1】AIで収益を上げていきましょう！！</t>
        </is>
      </c>
      <c r="I464" s="10" t="n"/>
      <c r="J464" s="10" t="inlineStr">
        <is>
          <t>connpass</t>
        </is>
      </c>
      <c r="K464" s="10" t="inlineStr">
        <is>
          <t>会場</t>
        </is>
      </c>
      <c r="L464" s="10" t="inlineStr">
        <is>
          <t>大阪府 大阪市北区 堂島1丁目 堂島地下街8号</t>
        </is>
      </c>
      <c r="M464" s="10" t="inlineStr">
        <is>
          <t>開発生産性</t>
        </is>
      </c>
      <c r="N464" s="10" t="inlineStr">
        <is>
          <t>AIエージェント</t>
        </is>
      </c>
      <c r="O464" s="12" t="inlineStr">
        <is>
          <t>○</t>
        </is>
      </c>
      <c r="P464" s="13" t="n">
        <v>6</v>
      </c>
      <c r="Q464" s="12" t="inlineStr">
        <is>
          <t>参加者数</t>
        </is>
      </c>
      <c r="R464" s="14" t="n"/>
      <c r="S464" s="10" t="n"/>
      <c r="T464" s="10" t="n"/>
      <c r="U464" s="15" t="inlineStr">
        <is>
          <t>https://0to1.connpass.com/event/403093/</t>
        </is>
      </c>
      <c r="V464" s="10" t="n"/>
      <c r="W464" s="10" t="inlineStr">
        <is>
          <t>タイトル一致</t>
        </is>
      </c>
      <c r="X464" s="10" t="n"/>
    </row>
    <row r="465">
      <c r="A465" s="10" t="n">
        <v>464</v>
      </c>
      <c r="B465" s="11" t="n">
        <v>46278</v>
      </c>
      <c r="C465" s="11" t="n">
        <v>46278</v>
      </c>
      <c r="D465" s="10">
        <f>MONTH(B465)&amp;"月"</f>
        <v/>
      </c>
      <c r="E465" s="12" t="n">
        <v>1</v>
      </c>
      <c r="F465" s="10" t="n"/>
      <c r="G465" s="10" t="inlineStr">
        <is>
          <t>AgentCoreハンズオン 〜マルチエージェントでフットボールー対決！〜</t>
        </is>
      </c>
      <c r="H465" s="10" t="inlineStr">
        <is>
          <t>JAWS-UG東京</t>
        </is>
      </c>
      <c r="I465" s="10" t="n"/>
      <c r="J465" s="10" t="inlineStr">
        <is>
          <t>connpass</t>
        </is>
      </c>
      <c r="K465" s="10" t="inlineStr">
        <is>
          <t>会場</t>
        </is>
      </c>
      <c r="L465" s="10" t="inlineStr">
        <is>
          <t>〒106-0041 東京都港区麻布台一丁目三番一号</t>
        </is>
      </c>
      <c r="M465" s="10" t="inlineStr">
        <is>
          <t>技術・AI全般</t>
        </is>
      </c>
      <c r="N465" s="10" t="inlineStr">
        <is>
          <t>AIエージェント</t>
        </is>
      </c>
      <c r="O465" s="12" t="inlineStr">
        <is>
          <t>○</t>
        </is>
      </c>
      <c r="P465" s="13" t="n">
        <v>55</v>
      </c>
      <c r="Q465" s="12" t="inlineStr">
        <is>
          <t>参加者数</t>
        </is>
      </c>
      <c r="R465" s="14" t="n">
        <v>70</v>
      </c>
      <c r="S465" s="10" t="n"/>
      <c r="T465" s="10" t="n"/>
      <c r="U465" s="15" t="inlineStr">
        <is>
          <t>https://jawsug.connpass.com/event/404331/</t>
        </is>
      </c>
      <c r="V465" s="10" t="n"/>
      <c r="W465" s="10" t="inlineStr">
        <is>
          <t>タイトル一致</t>
        </is>
      </c>
      <c r="X465" s="10" t="n"/>
    </row>
    <row r="466">
      <c r="A466" s="10" t="n">
        <v>465</v>
      </c>
      <c r="B466" s="11" t="n">
        <v>46278</v>
      </c>
      <c r="C466" s="11" t="n">
        <v>46278</v>
      </c>
      <c r="D466" s="10">
        <f>MONTH(B466)&amp;"月"</f>
        <v/>
      </c>
      <c r="E466" s="12" t="n">
        <v>1</v>
      </c>
      <c r="F466" s="10" t="n"/>
      <c r="G466" s="10" t="inlineStr">
        <is>
          <t>【超初心者歓迎】指示を出したらあとはお任せ!?話題の「AIエージェント」完全無料勉強会(使用ツール:Codex)</t>
        </is>
      </c>
      <c r="H466" s="10" t="inlineStr">
        <is>
          <t>【超初心者歓迎】指示を出したらあとはお任せ!?話題の「AIエージェント」完全無料勉強会(使用ツール:Codex)事務局</t>
        </is>
      </c>
      <c r="I466" s="10" t="n"/>
      <c r="J466" s="10" t="inlineStr">
        <is>
          <t>こくちーずプロ</t>
        </is>
      </c>
      <c r="K466" s="10" t="inlineStr">
        <is>
          <t>オフライン（会場）</t>
        </is>
      </c>
      <c r="L466" s="10" t="inlineStr">
        <is>
          <t>ドトールコーヒーショップ 北心斎橋店 大阪府大阪市中央区 南船場 3‐11‐2 3F</t>
        </is>
      </c>
      <c r="M466" s="10" t="inlineStr">
        <is>
          <t>開発生産性</t>
        </is>
      </c>
      <c r="N466" s="10" t="inlineStr">
        <is>
          <t>AIエージェント</t>
        </is>
      </c>
      <c r="O466" s="12" t="inlineStr">
        <is>
          <t>○</t>
        </is>
      </c>
      <c r="P466" s="13" t="n">
        <v>0</v>
      </c>
      <c r="Q466" s="12" t="inlineStr">
        <is>
          <t>イベント参加 0/5</t>
        </is>
      </c>
      <c r="R466" s="14" t="n">
        <v>5</v>
      </c>
      <c r="S466" s="10" t="n"/>
      <c r="T466" s="10" t="inlineStr">
        <is>
          <t>【心斎橋 開催】 AIエージェント知識ゼロの方歓迎！ 話題の「AIエージェント」無料の勉強会開催のお知らせ！ 「AIって便利そうだけど、何から学べばいいかわからない」 「AIエージェントって聞くけど、ChatGPTと何が違うの？」 そんな方に向けた、完全初心者向けの勉強会です。 少人数開催のため、参加者のペースに合わせて一緒に進めていきます！ ＊＊勉強会の内容＊＊ 話題のAIエージェントを使って、チャットで「〇〇をやって」と指示するだけ</t>
        </is>
      </c>
      <c r="U466" s="15" t="inlineStr">
        <is>
          <t>https://www.kokuchpro.com/event/885131b06ee794f997be83d4fb78edb0/</t>
        </is>
      </c>
      <c r="V466" s="10" t="n"/>
      <c r="W466" s="10" t="inlineStr">
        <is>
          <t>タイトル一致</t>
        </is>
      </c>
      <c r="X466" s="10" t="n"/>
    </row>
    <row r="467">
      <c r="A467" s="10" t="n">
        <v>466</v>
      </c>
      <c r="B467" s="11" t="n">
        <v>46279</v>
      </c>
      <c r="C467" s="11" t="n">
        <v>46279</v>
      </c>
      <c r="D467" s="10">
        <f>MONTH(B467)&amp;"月"</f>
        <v/>
      </c>
      <c r="E467" s="12" t="n">
        <v>1</v>
      </c>
      <c r="F467" s="10" t="n"/>
      <c r="G467" s="10" t="inlineStr">
        <is>
          <t>AIエージェントが変えるランサムウェア攻撃の脅威と対策</t>
        </is>
      </c>
      <c r="H467" s="10" t="inlineStr">
        <is>
          <t>#ホワイトハッカーズラボ /セキュ塾</t>
        </is>
      </c>
      <c r="I467" s="10" t="n"/>
      <c r="J467" s="10" t="inlineStr">
        <is>
          <t>connpass</t>
        </is>
      </c>
      <c r="K467" s="10" t="inlineStr">
        <is>
          <t>オンライン</t>
        </is>
      </c>
      <c r="L467" s="10" t="inlineStr">
        <is>
          <t>オンライン</t>
        </is>
      </c>
      <c r="M467" s="10" t="inlineStr">
        <is>
          <t>技術・AI全般</t>
        </is>
      </c>
      <c r="N467" s="10" t="inlineStr">
        <is>
          <t>AIエージェント</t>
        </is>
      </c>
      <c r="O467" s="12" t="inlineStr">
        <is>
          <t>○</t>
        </is>
      </c>
      <c r="P467" s="13" t="n">
        <v>100</v>
      </c>
      <c r="Q467" s="12" t="inlineStr">
        <is>
          <t>参加者数</t>
        </is>
      </c>
      <c r="R467" s="14" t="n">
        <v>100</v>
      </c>
      <c r="S467" s="10" t="n"/>
      <c r="T467" s="10" t="n"/>
      <c r="U467" s="15" t="inlineStr">
        <is>
          <t>https://white-hackers-lab.connpass.com/event/405772/</t>
        </is>
      </c>
      <c r="V467" s="10" t="n"/>
      <c r="W467" s="10" t="inlineStr">
        <is>
          <t>タイトル一致</t>
        </is>
      </c>
      <c r="X467" s="10" t="n"/>
    </row>
    <row r="468">
      <c r="A468" s="10" t="n">
        <v>467</v>
      </c>
      <c r="B468" s="11" t="n">
        <v>46279</v>
      </c>
      <c r="C468" s="11" t="n">
        <v>46279</v>
      </c>
      <c r="D468" s="10">
        <f>MONTH(B468)&amp;"月"</f>
        <v/>
      </c>
      <c r="E468" s="12" t="n">
        <v>1</v>
      </c>
      <c r="F468" s="10" t="n"/>
      <c r="G468" s="10" t="inlineStr">
        <is>
          <t>【再増枠】AIエージェント時代のPlatform Engineering</t>
        </is>
      </c>
      <c r="H468" s="10" t="inlineStr">
        <is>
          <t>スタディスト / Studist</t>
        </is>
      </c>
      <c r="I468" s="10" t="n"/>
      <c r="J468" s="10" t="inlineStr">
        <is>
          <t>connpass</t>
        </is>
      </c>
      <c r="K468" s="10" t="inlineStr">
        <is>
          <t>会場</t>
        </is>
      </c>
      <c r="L468" s="10" t="inlineStr">
        <is>
          <t>東京都千代田区神田錦町1-6 住友商事錦町ビル9階</t>
        </is>
      </c>
      <c r="M468" s="10" t="inlineStr">
        <is>
          <t>技術・AI全般</t>
        </is>
      </c>
      <c r="N468" s="10" t="inlineStr">
        <is>
          <t>AIエージェント</t>
        </is>
      </c>
      <c r="O468" s="12" t="inlineStr">
        <is>
          <t>○</t>
        </is>
      </c>
      <c r="P468" s="13" t="n">
        <v>45</v>
      </c>
      <c r="Q468" s="12" t="inlineStr">
        <is>
          <t>参加者数</t>
        </is>
      </c>
      <c r="R468" s="14" t="n">
        <v>46</v>
      </c>
      <c r="S468" s="10" t="n"/>
      <c r="T468" s="10" t="n"/>
      <c r="U468" s="15" t="inlineStr">
        <is>
          <t>https://studist.connpass.com/event/401612/</t>
        </is>
      </c>
      <c r="V468" s="10" t="n"/>
      <c r="W468" s="10" t="inlineStr">
        <is>
          <t>タイトル一致</t>
        </is>
      </c>
      <c r="X468" s="10" t="n"/>
    </row>
    <row r="469">
      <c r="A469" s="10" t="n">
        <v>468</v>
      </c>
      <c r="B469" s="11" t="n">
        <v>46279</v>
      </c>
      <c r="C469" s="11" t="n">
        <v>46279</v>
      </c>
      <c r="D469" s="10">
        <f>MONTH(B469)&amp;"月"</f>
        <v/>
      </c>
      <c r="E469" s="12" t="n">
        <v>1</v>
      </c>
      <c r="F469" s="10" t="n"/>
      <c r="G469" s="10" t="inlineStr">
        <is>
          <t>【初心者歓迎】Claude入門：Claude &amp; Claude Codeを基礎からまるごと学ぶ</t>
        </is>
      </c>
      <c r="H469" s="10" t="inlineStr">
        <is>
          <t>WEST-SEC</t>
        </is>
      </c>
      <c r="I469" s="10" t="n"/>
      <c r="J469" s="10" t="inlineStr">
        <is>
          <t>connpass</t>
        </is>
      </c>
      <c r="K469" s="10" t="inlineStr">
        <is>
          <t>オンライン</t>
        </is>
      </c>
      <c r="L469" s="10" t="inlineStr">
        <is>
          <t>オンライン</t>
        </is>
      </c>
      <c r="M469" s="10" t="inlineStr">
        <is>
          <t>開発生産性</t>
        </is>
      </c>
      <c r="N469" s="10" t="inlineStr">
        <is>
          <t>AIエージェント</t>
        </is>
      </c>
      <c r="O469" s="12" t="inlineStr">
        <is>
          <t>○</t>
        </is>
      </c>
      <c r="P469" s="13" t="n"/>
      <c r="Q469" s="12" t="inlineStr">
        <is>
          <t>不明</t>
        </is>
      </c>
      <c r="R469" s="14" t="n"/>
      <c r="S469" s="10" t="n"/>
      <c r="T469" s="10" t="n"/>
      <c r="U469" s="15" t="inlineStr">
        <is>
          <t>https://west-sec.connpass.com/event/404497/</t>
        </is>
      </c>
      <c r="V469" s="10" t="n"/>
      <c r="W469" s="10" t="inlineStr">
        <is>
          <t>タイトル一致</t>
        </is>
      </c>
      <c r="X469" s="10" t="n"/>
    </row>
    <row r="470">
      <c r="A470" s="10" t="n">
        <v>469</v>
      </c>
      <c r="B470" s="11" t="n">
        <v>46279</v>
      </c>
      <c r="C470" s="11" t="n">
        <v>46279</v>
      </c>
      <c r="D470" s="10">
        <f>MONTH(B470)&amp;"月"</f>
        <v/>
      </c>
      <c r="E470" s="12" t="n">
        <v>1</v>
      </c>
      <c r="F470" s="10" t="n"/>
      <c r="G470" s="10" t="inlineStr">
        <is>
          <t>そのCRM、3年後も使えますか？-AIと働く時代に後悔しないための4つの選定基準-</t>
        </is>
      </c>
      <c r="H470" s="10" t="inlineStr">
        <is>
          <t>株式会社セールスフォース・ジャパン</t>
        </is>
      </c>
      <c r="I470" s="10" t="n"/>
      <c r="J470" s="10" t="inlineStr">
        <is>
          <t>個別調査（公式サイト・PR TIMES等）</t>
        </is>
      </c>
      <c r="K470" s="10" t="inlineStr">
        <is>
          <t>オンライン</t>
        </is>
      </c>
      <c r="L470" s="10" t="inlineStr">
        <is>
          <t>オンデマンド配信あり</t>
        </is>
      </c>
      <c r="M470" s="10" t="inlineStr">
        <is>
          <t>営業・マーケ・CS</t>
        </is>
      </c>
      <c r="N470" s="10" t="inlineStr">
        <is>
          <t>AIエージェント</t>
        </is>
      </c>
      <c r="O470" s="12" t="inlineStr">
        <is>
          <t>◎</t>
        </is>
      </c>
      <c r="P470" s="13" t="n"/>
      <c r="Q470" s="12" t="inlineStr">
        <is>
          <t>不明</t>
        </is>
      </c>
      <c r="R470" s="14" t="n"/>
      <c r="S470" s="10" t="n"/>
      <c r="T470" s="10" t="inlineStr">
        <is>
          <t>AIエージェントへの対応、マルチAIのガバナンス、Slack/Teams連携など、AI時代にCRMを選ぶ4つの基準を解説する。</t>
        </is>
      </c>
      <c r="U470" s="15" t="inlineStr">
        <is>
          <t>https://www.salesforce.com/jp/events/webinars/no-regret-crm/</t>
        </is>
      </c>
      <c r="V470" s="10" t="n"/>
      <c r="W470" s="10" t="inlineStr">
        <is>
          <t>個別確認</t>
        </is>
      </c>
      <c r="X470" s="10" t="n"/>
    </row>
    <row r="471">
      <c r="A471" s="10" t="n">
        <v>470</v>
      </c>
      <c r="B471" s="11" t="n">
        <v>46279</v>
      </c>
      <c r="C471" s="11" t="n">
        <v>46279</v>
      </c>
      <c r="D471" s="10">
        <f>MONTH(B471)&amp;"月"</f>
        <v/>
      </c>
      <c r="E471" s="12" t="n">
        <v>1</v>
      </c>
      <c r="F471" s="10" t="n"/>
      <c r="G471" s="10" t="inlineStr">
        <is>
          <t>ひとり社長の仕事をAI社員に任せる方法|ライブ実演60分</t>
        </is>
      </c>
      <c r="H471" s="10" t="inlineStr">
        <is>
          <t>経営者のためのAI活用相談所</t>
        </is>
      </c>
      <c r="I471" s="10" t="n"/>
      <c r="J471" s="10" t="inlineStr">
        <is>
          <t>こくちーずプロ</t>
        </is>
      </c>
      <c r="K471" s="10" t="inlineStr">
        <is>
          <t>オンライン</t>
        </is>
      </c>
      <c r="L471" s="10" t="inlineStr">
        <is>
          <t>オンライン 日本</t>
        </is>
      </c>
      <c r="M471" s="10" t="inlineStr">
        <is>
          <t>営業・マーケ・CS</t>
        </is>
      </c>
      <c r="N471" s="10" t="inlineStr">
        <is>
          <t>AIエージェント</t>
        </is>
      </c>
      <c r="O471" s="12" t="inlineStr">
        <is>
          <t>○</t>
        </is>
      </c>
      <c r="P471" s="13" t="n">
        <v>3</v>
      </c>
      <c r="Q471" s="12" t="inlineStr">
        <is>
          <t>イベント参加 3/100</t>
        </is>
      </c>
      <c r="R471" s="14" t="n">
        <v>100</v>
      </c>
      <c r="S471" s="10" t="n"/>
      <c r="T471" s="10" t="inlineStr">
        <is>
          <t>ChatGPTに文章を書いてもらう。調べ物を手伝ってもらう。でも、商談のメモを整理して、お礼メールを書いて、次の予定を決めるのは、結局ぜんぶ自分。 「AIは使っているのに、仕事が減らないな」と感じたことはありませんか？ 今回のテーマは、ひとり社長の仕事を「AI社員」に任せる方法です。 AI社員とは、役割と手順を決めて、仕事を進めてもらうAIエージェントのこと。営業のメモ整理、メールの下書き、次にやることの洗い出し。まずは身近な1つの仕事</t>
        </is>
      </c>
      <c r="U471" s="15" t="inlineStr">
        <is>
          <t>https://www.kokuchpro.com/event/e810888cf8ab2cb40a1aae463ca73115/</t>
        </is>
      </c>
      <c r="V471" s="10" t="n"/>
      <c r="W471" s="10" t="inlineStr">
        <is>
          <t>本文一致</t>
        </is>
      </c>
      <c r="X471" s="10" t="n"/>
    </row>
    <row r="472">
      <c r="A472" s="10" t="n">
        <v>471</v>
      </c>
      <c r="B472" s="11" t="n">
        <v>46279</v>
      </c>
      <c r="C472" s="11" t="n">
        <v>46279</v>
      </c>
      <c r="D472" s="10">
        <f>MONTH(B472)&amp;"月"</f>
        <v/>
      </c>
      <c r="E472" s="12" t="n">
        <v>1</v>
      </c>
      <c r="F472" s="10" t="n"/>
      <c r="G472" s="10" t="inlineStr">
        <is>
          <t>マーケティングテクノロジスト認定講座【WACA公式】（旧上級GA4講座）9月（2日間講座）</t>
        </is>
      </c>
      <c r="H472" s="10" t="inlineStr">
        <is>
          <t>一般社団法人ウェブ解析士協会</t>
        </is>
      </c>
      <c r="I472" s="10" t="n"/>
      <c r="J472" s="10" t="inlineStr">
        <is>
          <t>Doorkeeper</t>
        </is>
      </c>
      <c r="K472" s="10" t="inlineStr">
        <is>
          <t>不明</t>
        </is>
      </c>
      <c r="L472" s="10" t="n"/>
      <c r="M472" s="10" t="inlineStr">
        <is>
          <t>営業・マーケ・CS</t>
        </is>
      </c>
      <c r="N472" s="10" t="inlineStr">
        <is>
          <t>AIエージェント</t>
        </is>
      </c>
      <c r="O472" s="12" t="inlineStr">
        <is>
          <t>○</t>
        </is>
      </c>
      <c r="P472" s="13" t="n">
        <v>1</v>
      </c>
      <c r="Q472" s="12" t="inlineStr">
        <is>
          <t>参加者数</t>
        </is>
      </c>
      <c r="R472" s="14" t="n">
        <v>10</v>
      </c>
      <c r="S472" s="10" t="n"/>
      <c r="T472" s="10" t="inlineStr">
        <is>
          <t xml:space="preserve"> 講座概要 本講座は、 2026年9月14日（月）・9月28日（月）13:00〜17:00 に開催する、WACA認定マーケティングテクノロジストを養成する2日間講座です。 マーケティングテクノロジストに求められるのは、GA4を「見る」ことではありません。顧客データを適切に収集・統合・分析し、AIを活用して、事業の成長につながる施策を実装・検証する力です。 本講座では、Google Tag Manager、GA4、BigQuery、Loo</t>
        </is>
      </c>
      <c r="U472" s="15" t="inlineStr">
        <is>
          <t>https://web-mining.doorkeeper.jp/events/197760</t>
        </is>
      </c>
      <c r="V472" s="10" t="n"/>
      <c r="W472" s="10" t="inlineStr">
        <is>
          <t>本文一致</t>
        </is>
      </c>
      <c r="X472" s="10" t="n"/>
    </row>
    <row r="473">
      <c r="A473" s="10" t="n">
        <v>472</v>
      </c>
      <c r="B473" s="11" t="n">
        <v>46279</v>
      </c>
      <c r="C473" s="11" t="n">
        <v>46279</v>
      </c>
      <c r="D473" s="10">
        <f>MONTH(B473)&amp;"月"</f>
        <v/>
      </c>
      <c r="E473" s="12" t="n">
        <v>1</v>
      </c>
      <c r="F473" s="10" t="n"/>
      <c r="G473" s="10" t="inlineStr">
        <is>
          <t>審査員とハッカソン提出作品を振り返る！DevOps×AI Agent Hackathon 2026</t>
        </is>
      </c>
      <c r="H473" s="10" t="inlineStr">
        <is>
          <t>Findy Tools</t>
        </is>
      </c>
      <c r="I473" s="10" t="n"/>
      <c r="J473" s="10" t="inlineStr">
        <is>
          <t>connpass</t>
        </is>
      </c>
      <c r="K473" s="10" t="inlineStr">
        <is>
          <t>会場</t>
        </is>
      </c>
      <c r="L473" s="10" t="inlineStr">
        <is>
          <t>(場所未定)</t>
        </is>
      </c>
      <c r="M473" s="10" t="inlineStr">
        <is>
          <t>開発生産性</t>
        </is>
      </c>
      <c r="N473" s="10" t="inlineStr">
        <is>
          <t>AIエージェント</t>
        </is>
      </c>
      <c r="O473" s="12" t="inlineStr">
        <is>
          <t>○</t>
        </is>
      </c>
      <c r="P473" s="13" t="n">
        <v>41</v>
      </c>
      <c r="Q473" s="12" t="inlineStr">
        <is>
          <t>参加者数</t>
        </is>
      </c>
      <c r="R473" s="14" t="n"/>
      <c r="S473" s="10" t="n"/>
      <c r="T473" s="10" t="n"/>
      <c r="U473" s="15" t="inlineStr">
        <is>
          <t>https://findy-tools.connpass.com/event/405926/</t>
        </is>
      </c>
      <c r="V473" s="10" t="n"/>
      <c r="W473" s="10" t="inlineStr">
        <is>
          <t>タイトル一致</t>
        </is>
      </c>
      <c r="X473" s="10" t="n"/>
    </row>
    <row r="474">
      <c r="A474" s="10" t="n">
        <v>473</v>
      </c>
      <c r="B474" s="11" t="n">
        <v>46280</v>
      </c>
      <c r="C474" s="11" t="n">
        <v>46280</v>
      </c>
      <c r="D474" s="10">
        <f>MONTH(B474)&amp;"月"</f>
        <v/>
      </c>
      <c r="E474" s="12" t="n">
        <v>1</v>
      </c>
      <c r="F474" s="10" t="n"/>
      <c r="G474" s="10" t="inlineStr">
        <is>
          <t>AI Agent Journey 2026 第2回｜ 世の中に伝える</t>
        </is>
      </c>
      <c r="H474" s="10" t="inlineStr">
        <is>
          <t>データ分析・AI x データサイエンスコミュニティ</t>
        </is>
      </c>
      <c r="I474" s="10" t="n"/>
      <c r="J474" s="10" t="inlineStr">
        <is>
          <t>connpass</t>
        </is>
      </c>
      <c r="K474" s="10" t="inlineStr">
        <is>
          <t>会場</t>
        </is>
      </c>
      <c r="L474" s="10" t="inlineStr">
        <is>
          <t>〒541-0041 大阪府大阪市中央区北浜１丁目８−１６</t>
        </is>
      </c>
      <c r="M474" s="10" t="inlineStr">
        <is>
          <t>技術・AI全般</t>
        </is>
      </c>
      <c r="N474" s="10" t="inlineStr">
        <is>
          <t>AIエージェント</t>
        </is>
      </c>
      <c r="O474" s="12" t="inlineStr">
        <is>
          <t>○</t>
        </is>
      </c>
      <c r="P474" s="13" t="n">
        <v>40</v>
      </c>
      <c r="Q474" s="12" t="inlineStr">
        <is>
          <t>参加者数</t>
        </is>
      </c>
      <c r="R474" s="14" t="n">
        <v>54</v>
      </c>
      <c r="S474" s="10" t="n"/>
      <c r="T474" s="10" t="n"/>
      <c r="U474" s="15" t="inlineStr">
        <is>
          <t>https://datascience-mokumoku-kyobashi.connpass.com/event/402446/</t>
        </is>
      </c>
      <c r="V474" s="10" t="n"/>
      <c r="W474" s="10" t="inlineStr">
        <is>
          <t>タイトル一致</t>
        </is>
      </c>
      <c r="X474" s="10" t="n"/>
    </row>
    <row r="475">
      <c r="A475" s="10" t="n">
        <v>474</v>
      </c>
      <c r="B475" s="11" t="n">
        <v>46280</v>
      </c>
      <c r="C475" s="11" t="n">
        <v>46280</v>
      </c>
      <c r="D475" s="10">
        <f>MONTH(B475)&amp;"月"</f>
        <v/>
      </c>
      <c r="E475" s="12" t="n">
        <v>1</v>
      </c>
      <c r="F475" s="10" t="n"/>
      <c r="G475" s="10" t="inlineStr">
        <is>
          <t>AIが脆弱性を見つける時代、自社は攻撃対象になっていないと言い切れますか？ ～ダークウェブと攻撃者視点から、防御対象を見極める～</t>
        </is>
      </c>
      <c r="H475" s="10" t="inlineStr">
        <is>
          <t>KELA株式会社</t>
        </is>
      </c>
      <c r="I475" s="10" t="inlineStr">
        <is>
          <t>マジセミ株式会社</t>
        </is>
      </c>
      <c r="J475" s="10" t="inlineStr">
        <is>
          <t>Doorkeeper</t>
        </is>
      </c>
      <c r="K475" s="10" t="inlineStr">
        <is>
          <t>不明</t>
        </is>
      </c>
      <c r="L475" s="10" t="n"/>
      <c r="M475" s="10" t="inlineStr">
        <is>
          <t>営業・マーケ・CS</t>
        </is>
      </c>
      <c r="N475" s="10" t="inlineStr">
        <is>
          <t>AIエージェント</t>
        </is>
      </c>
      <c r="O475" s="12" t="inlineStr">
        <is>
          <t>○</t>
        </is>
      </c>
      <c r="P475" s="13" t="n">
        <v>0</v>
      </c>
      <c r="Q475" s="12" t="inlineStr">
        <is>
          <t>参加者数</t>
        </is>
      </c>
      <c r="R475" s="14" t="n"/>
      <c r="S475" s="10" t="n"/>
      <c r="T475"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AIが脆弱性を見つける時代、攻撃者から見た自社の「侵入口」はどこにあるのか 近年、生成AIやAIエージェントの進化により、脆弱性の発見や公開情報の調査は、かつてないスピードで行われるようになりました。 </t>
        </is>
      </c>
      <c r="U475" s="15" t="inlineStr">
        <is>
          <t>https://majisemi-security.doorkeeper.jp/events/198997</t>
        </is>
      </c>
      <c r="V475" s="10" t="n"/>
      <c r="W475" s="10" t="inlineStr">
        <is>
          <t>本文一致</t>
        </is>
      </c>
      <c r="X475" s="10" t="n"/>
    </row>
    <row r="476">
      <c r="A476" s="10" t="n">
        <v>475</v>
      </c>
      <c r="B476" s="11" t="n">
        <v>46280</v>
      </c>
      <c r="C476" s="11" t="n">
        <v>46280</v>
      </c>
      <c r="D476" s="10">
        <f>MONTH(B476)&amp;"月"</f>
        <v/>
      </c>
      <c r="E476" s="12" t="n">
        <v>1</v>
      </c>
      <c r="F476" s="10" t="n"/>
      <c r="G476" s="10" t="inlineStr">
        <is>
          <t>AIエージェント設計勉強会 ～自己改善、検索編～</t>
        </is>
      </c>
      <c r="H476" s="10" t="inlineStr">
        <is>
          <t>LayerX</t>
        </is>
      </c>
      <c r="I476" s="10" t="n"/>
      <c r="J476" s="10" t="inlineStr">
        <is>
          <t>connpass</t>
        </is>
      </c>
      <c r="K476" s="10" t="inlineStr">
        <is>
          <t>会場</t>
        </is>
      </c>
      <c r="L476" s="10" t="inlineStr">
        <is>
          <t>東京都千代田区大手町1-6-1 大手町ビル4F</t>
        </is>
      </c>
      <c r="M476" s="10" t="inlineStr">
        <is>
          <t>技術・AI全般</t>
        </is>
      </c>
      <c r="N476" s="10" t="inlineStr">
        <is>
          <t>AIエージェント</t>
        </is>
      </c>
      <c r="O476" s="12" t="inlineStr">
        <is>
          <t>○</t>
        </is>
      </c>
      <c r="P476" s="13" t="n"/>
      <c r="Q476" s="12" t="inlineStr">
        <is>
          <t>不明</t>
        </is>
      </c>
      <c r="R476" s="14" t="n"/>
      <c r="S476" s="10" t="n"/>
      <c r="T476" s="10" t="n"/>
      <c r="U476" s="15" t="inlineStr">
        <is>
          <t>https://layerx.connpass.com/event/405165/</t>
        </is>
      </c>
      <c r="V476" s="10" t="n"/>
      <c r="W476" s="10" t="inlineStr">
        <is>
          <t>タイトル一致</t>
        </is>
      </c>
      <c r="X476" s="10" t="n"/>
    </row>
    <row r="477">
      <c r="A477" s="10" t="n">
        <v>476</v>
      </c>
      <c r="B477" s="11" t="n">
        <v>46280</v>
      </c>
      <c r="C477" s="11" t="n">
        <v>46280</v>
      </c>
      <c r="D477" s="10">
        <f>MONTH(B477)&amp;"月"</f>
        <v/>
      </c>
      <c r="E477" s="12" t="n">
        <v>1</v>
      </c>
      <c r="F477" s="10" t="n"/>
      <c r="G477" s="10" t="inlineStr">
        <is>
          <t>Claude、みんなはどう使ってる?ひとり起業を回す10の仕組み</t>
        </is>
      </c>
      <c r="H477" s="10" t="inlineStr">
        <is>
          <t>ランマッチ</t>
        </is>
      </c>
      <c r="I477" s="10" t="n"/>
      <c r="J477" s="10" t="inlineStr">
        <is>
          <t>こくちーずプロ</t>
        </is>
      </c>
      <c r="K477" s="10" t="inlineStr">
        <is>
          <t>オンライン</t>
        </is>
      </c>
      <c r="L477" s="10" t="inlineStr">
        <is>
          <t>オンライン 日本</t>
        </is>
      </c>
      <c r="M477" s="10" t="inlineStr">
        <is>
          <t>営業・マーケ・CS</t>
        </is>
      </c>
      <c r="N477" s="10" t="inlineStr">
        <is>
          <t>AIエージェント</t>
        </is>
      </c>
      <c r="O477" s="12" t="inlineStr">
        <is>
          <t>○</t>
        </is>
      </c>
      <c r="P477" s="13" t="n">
        <v>0</v>
      </c>
      <c r="Q477" s="12" t="inlineStr">
        <is>
          <t>イベント参加 0/10</t>
        </is>
      </c>
      <c r="R477" s="14" t="n">
        <v>10</v>
      </c>
      <c r="S477" s="10" t="n"/>
      <c r="T477" s="10" t="inlineStr">
        <is>
          <t>Claudeみんなはどう使ってる？ひとり起業を回す 10のAI仕組み 「なぜ、AIを毎⽇使っているのに、仕事は楽になっていないのか？」 ChatGPTやGeminiに聞けば、答えはすぐ返ってくる。⽂章も企画案も作ってくれる。なのに、 営業フォローも、資料づくりも、経理も̶̶結局ぜんぶ⾃分の⼿元に戻ってくる。そんな感覚は ありませんか。 この差を⽣んでいるのは、AIの性能でも、プロンプトの上⼿さでもありません。AIを「道具」と して使うか</t>
        </is>
      </c>
      <c r="U477" s="15" t="inlineStr">
        <is>
          <t>https://www.kokuchpro.com/event/796b7a53b89a25a7635fa57b6ce410b2/</t>
        </is>
      </c>
      <c r="V477" s="10" t="n"/>
      <c r="W477" s="10" t="inlineStr">
        <is>
          <t>本文一致</t>
        </is>
      </c>
      <c r="X477" s="10" t="n"/>
    </row>
    <row r="478">
      <c r="A478" s="10" t="n">
        <v>477</v>
      </c>
      <c r="B478" s="11" t="n">
        <v>46280</v>
      </c>
      <c r="C478" s="11" t="n">
        <v>46280</v>
      </c>
      <c r="D478" s="10">
        <f>MONTH(B478)&amp;"月"</f>
        <v/>
      </c>
      <c r="E478" s="12" t="n">
        <v>1</v>
      </c>
      <c r="F478" s="10" t="n"/>
      <c r="G478" s="10" t="inlineStr">
        <is>
          <t>「どこまでAIに任せる？」商談数を最大化する営業自動化ユースケース集</t>
        </is>
      </c>
      <c r="H478" s="10" t="inlineStr">
        <is>
          <t>Magic Moment</t>
        </is>
      </c>
      <c r="I478" s="10" t="inlineStr">
        <is>
          <t>5社共催カンファレンスの1セッション</t>
        </is>
      </c>
      <c r="J478" s="10" t="inlineStr">
        <is>
          <t>個別調査（公式サイト・PR TIMES等）</t>
        </is>
      </c>
      <c r="K478" s="10" t="inlineStr">
        <is>
          <t>オンライン</t>
        </is>
      </c>
      <c r="L478" s="10" t="n"/>
      <c r="M478" s="10" t="inlineStr">
        <is>
          <t>営業・マーケ・CS</t>
        </is>
      </c>
      <c r="N478" s="10" t="inlineStr">
        <is>
          <t>AI営業自動化</t>
        </is>
      </c>
      <c r="O478" s="12" t="inlineStr">
        <is>
          <t>◎</t>
        </is>
      </c>
      <c r="P478" s="13" t="n"/>
      <c r="Q478" s="12" t="inlineStr">
        <is>
          <t>不明</t>
        </is>
      </c>
      <c r="R478" s="14" t="n"/>
      <c r="S478" s="10" t="inlineStr">
        <is>
          <t>TECH PLAY経由の申込は2名（定員30名）。媒体別の数値</t>
        </is>
      </c>
      <c r="T478" s="10" t="inlineStr">
        <is>
          <t>AIと人の役割分担をどう設計するかを扱い、ハウスリストからの商談数を250%増やした事例を紹介する。</t>
        </is>
      </c>
      <c r="U478" s="15" t="inlineStr">
        <is>
          <t>https://techplay.jp/event/999348</t>
        </is>
      </c>
      <c r="V478" s="10" t="n"/>
      <c r="W478" s="10" t="inlineStr">
        <is>
          <t>個別確認</t>
        </is>
      </c>
      <c r="X478" s="10" t="inlineStr">
        <is>
          <t>AIエージェントの明記は弱い</t>
        </is>
      </c>
    </row>
    <row r="479">
      <c r="A479" s="10" t="n">
        <v>478</v>
      </c>
      <c r="B479" s="11" t="n">
        <v>46280</v>
      </c>
      <c r="C479" s="11" t="n">
        <v>46280</v>
      </c>
      <c r="D479" s="10">
        <f>MONTH(B479)&amp;"月"</f>
        <v/>
      </c>
      <c r="E479" s="12" t="n">
        <v>1</v>
      </c>
      <c r="F479" s="10" t="n"/>
      <c r="G479" s="10" t="inlineStr">
        <is>
          <t>【渋谷】Claude Code、みんなどこまで任せてる？｜AIエージェント活用LT＆交流会</t>
        </is>
      </c>
      <c r="H479" s="10" t="inlineStr">
        <is>
          <t>ITエンジニア One Up 勉強会</t>
        </is>
      </c>
      <c r="I479" s="10" t="n"/>
      <c r="J479" s="10" t="inlineStr">
        <is>
          <t>connpass</t>
        </is>
      </c>
      <c r="K479" s="10" t="inlineStr">
        <is>
          <t>会場</t>
        </is>
      </c>
      <c r="L479" s="10" t="inlineStr">
        <is>
          <t>東京都渋谷区桜丘町9番8号 KN渋谷3 4階</t>
        </is>
      </c>
      <c r="M479" s="10" t="inlineStr">
        <is>
          <t>開発生産性</t>
        </is>
      </c>
      <c r="N479" s="10" t="inlineStr">
        <is>
          <t>AIエージェント</t>
        </is>
      </c>
      <c r="O479" s="12" t="inlineStr">
        <is>
          <t>○</t>
        </is>
      </c>
      <c r="P479" s="13" t="n">
        <v>28</v>
      </c>
      <c r="Q479" s="12" t="inlineStr">
        <is>
          <t>参加者数</t>
        </is>
      </c>
      <c r="R479" s="14" t="n">
        <v>30</v>
      </c>
      <c r="S479" s="10" t="n"/>
      <c r="T479" s="10" t="n"/>
      <c r="U479" s="15" t="inlineStr">
        <is>
          <t>https://streamline.connpass.com/event/405411/</t>
        </is>
      </c>
      <c r="V479" s="10" t="n"/>
      <c r="W479" s="10" t="inlineStr">
        <is>
          <t>タイトル一致</t>
        </is>
      </c>
      <c r="X479" s="10" t="n"/>
    </row>
    <row r="480">
      <c r="A480" s="10" t="n">
        <v>479</v>
      </c>
      <c r="B480" s="11" t="n">
        <v>46280</v>
      </c>
      <c r="C480" s="11" t="n">
        <v>46280</v>
      </c>
      <c r="D480" s="10">
        <f>MONTH(B480)&amp;"月"</f>
        <v/>
      </c>
      <c r="E480" s="12" t="n">
        <v>1</v>
      </c>
      <c r="F480" s="10" t="n"/>
      <c r="G480" s="10" t="inlineStr">
        <is>
          <t>【無料】【実践型】AIとつくる、私の人生プロジェクトセミナー ― ObsidianとCodexで、夢を明日の一歩に変える ―</t>
        </is>
      </c>
      <c r="H480" s="10" t="inlineStr">
        <is>
          <t>WEB3LAB事務局</t>
        </is>
      </c>
      <c r="I480" s="10" t="n"/>
      <c r="J480" s="10" t="inlineStr">
        <is>
          <t>こくちーずプロ</t>
        </is>
      </c>
      <c r="K480" s="10" t="inlineStr">
        <is>
          <t>オフライン（会場）</t>
        </is>
      </c>
      <c r="L480" s="10" t="inlineStr">
        <is>
          <t>ハバスミーティングルーム 愛媛県松山市大手町1-12-5 イーストプレス2A</t>
        </is>
      </c>
      <c r="M480" s="10" t="inlineStr">
        <is>
          <t>開発生産性</t>
        </is>
      </c>
      <c r="N480" s="10" t="inlineStr">
        <is>
          <t>AIエージェント</t>
        </is>
      </c>
      <c r="O480" s="12" t="inlineStr">
        <is>
          <t>○</t>
        </is>
      </c>
      <c r="P480" s="13" t="n">
        <v>0</v>
      </c>
      <c r="Q480" s="12" t="inlineStr">
        <is>
          <t>イベント参加 0/10</t>
        </is>
      </c>
      <c r="R480" s="14" t="n">
        <v>10</v>
      </c>
      <c r="S480" s="10" t="n"/>
      <c r="T480" s="10" t="inlineStr">
        <is>
          <t>■テーマ AIとつくる、私の人生プロジェクト ― ObsidianとCodexで、夢を明日の一歩に変える ― 自分の強みや経験を活かし、やりたいことを具体的な行動につなげる実践型ワークショップ ■概要 「いつかやってみたい」を、明日から始まる自分のプロジェクトに！ Obsidianに夢や気になることを書き出し、Codexとの対話を通じて、自分の想いや強みを見つけていきます。AIからの質問や提案でアイデアを広げながら、自分で選んだ「明日の</t>
        </is>
      </c>
      <c r="U480" s="15" t="inlineStr">
        <is>
          <t>https://www.kokuchpro.com/event/2236756418b28685ed98b32769517028/</t>
        </is>
      </c>
      <c r="V480" s="10" t="n"/>
      <c r="W480" s="10" t="inlineStr">
        <is>
          <t>タイトル一致</t>
        </is>
      </c>
      <c r="X480" s="10" t="n"/>
    </row>
    <row r="481">
      <c r="A481" s="10" t="n">
        <v>480</v>
      </c>
      <c r="B481" s="11" t="n">
        <v>46280</v>
      </c>
      <c r="C481" s="11" t="n">
        <v>46280</v>
      </c>
      <c r="D481" s="10">
        <f>MONTH(B481)&amp;"月"</f>
        <v/>
      </c>
      <c r="E481" s="12" t="n">
        <v>1</v>
      </c>
      <c r="F481" s="10" t="n"/>
      <c r="G481" s="10" t="inlineStr">
        <is>
          <t>【自社の現在地がわかる】生成AI業務活用ロードマップ</t>
        </is>
      </c>
      <c r="H481" s="10" t="inlineStr">
        <is>
          <t>株式会社リンクレア</t>
        </is>
      </c>
      <c r="I481" s="10" t="n"/>
      <c r="J481" s="10" t="inlineStr">
        <is>
          <t>ビジネス+IT</t>
        </is>
      </c>
      <c r="K481" s="10" t="inlineStr">
        <is>
          <t>online</t>
        </is>
      </c>
      <c r="L481" s="10" t="inlineStr">
        <is>
          <t>オンライン</t>
        </is>
      </c>
      <c r="M481" s="10" t="inlineStr">
        <is>
          <t>生産性向上・業務効率化</t>
        </is>
      </c>
      <c r="N481" s="10" t="inlineStr">
        <is>
          <t>AIエージェント</t>
        </is>
      </c>
      <c r="O481" s="12" t="inlineStr">
        <is>
          <t>○</t>
        </is>
      </c>
      <c r="P481" s="13" t="n"/>
      <c r="Q481" s="12" t="inlineStr">
        <is>
          <t>不明</t>
        </is>
      </c>
      <c r="R481" s="14" t="n"/>
      <c r="S481" s="10" t="n"/>
      <c r="T481" s="10" t="inlineStr">
        <is>
          <t>「生成AI（Copilot Chat、Gemini等）を導入したが、現場が使ってくれない」 「全社に導入したものの、目立った成果が見えていない」 「AIエージェントに興味はあるが、活用イメージが湧かない」 「自社だけで開発・運用するにはハードルが高い」 生成AI活用を推進する企業の多くが、こうした壁にぶつかっています。 成果を出すために重要なのは、自社の「現在地」を正しく把握し「次に何をすべきか」を明確にすることです。 本ウェビナーでは</t>
        </is>
      </c>
      <c r="U481" s="15" t="inlineStr">
        <is>
          <t>https://www.sbbit.jp/eventinfo/90124</t>
        </is>
      </c>
      <c r="V481" s="10" t="n"/>
      <c r="W481" s="10" t="inlineStr">
        <is>
          <t>本文一致</t>
        </is>
      </c>
      <c r="X481" s="10" t="n"/>
    </row>
    <row r="482">
      <c r="A482" s="10" t="n">
        <v>481</v>
      </c>
      <c r="B482" s="11" t="n">
        <v>46280</v>
      </c>
      <c r="C482" s="11" t="n">
        <v>46281</v>
      </c>
      <c r="D482" s="10">
        <f>MONTH(B482)&amp;"月"</f>
        <v/>
      </c>
      <c r="E482" s="12" t="n">
        <v>1</v>
      </c>
      <c r="F482" s="10" t="n"/>
      <c r="G482" s="10" t="inlineStr">
        <is>
          <t>インプレス AI Days 2026〜対話から自律・協働へ─ビジネスを再定義するAI〜</t>
        </is>
      </c>
      <c r="H482" s="10" t="inlineStr">
        <is>
          <t>株式会社インプレス</t>
        </is>
      </c>
      <c r="I482" s="10" t="n"/>
      <c r="J482" s="10" t="inlineStr">
        <is>
          <t>個別調査（公式サイト・PR TIMES等）</t>
        </is>
      </c>
      <c r="K482" s="10" t="inlineStr">
        <is>
          <t>オンライン</t>
        </is>
      </c>
      <c r="L482" s="10" t="inlineStr">
        <is>
          <t>ライブ配信</t>
        </is>
      </c>
      <c r="M482" s="10" t="inlineStr">
        <is>
          <t>生産性向上・業務効率化</t>
        </is>
      </c>
      <c r="N482" s="10" t="inlineStr">
        <is>
          <t>AIエージェント</t>
        </is>
      </c>
      <c r="O482" s="12" t="inlineStr">
        <is>
          <t>◎</t>
        </is>
      </c>
      <c r="P482" s="13" t="n">
        <v>700</v>
      </c>
      <c r="Q482" s="12" t="inlineStr">
        <is>
          <t>定員</t>
        </is>
      </c>
      <c r="R482" s="14" t="n">
        <v>700</v>
      </c>
      <c r="S482" s="10" t="inlineStr">
        <is>
          <t>募集人数</t>
        </is>
      </c>
      <c r="T482" s="10" t="inlineStr">
        <is>
          <t>生成AIとAIエージェントの企業導入、業務プロセスの再設計、ガバナンスを4トラックで扱う。製造業での事例もある。</t>
        </is>
      </c>
      <c r="U482" s="15" t="inlineStr">
        <is>
          <t>https://academy.impress.co.jp/event/ai-day2026/</t>
        </is>
      </c>
      <c r="V482" s="15" t="inlineStr">
        <is>
          <t>https://prtimes.jp/main/html/rd/p/000007625.000005875.html</t>
        </is>
      </c>
      <c r="W482" s="10" t="inlineStr">
        <is>
          <t>個別確認</t>
        </is>
      </c>
      <c r="X482" s="10" t="n"/>
    </row>
    <row r="483">
      <c r="A483" s="10" t="n">
        <v>482</v>
      </c>
      <c r="B483" s="11" t="n">
        <v>46280</v>
      </c>
      <c r="C483" s="11" t="n">
        <v>46280</v>
      </c>
      <c r="D483" s="10">
        <f>MONTH(B483)&amp;"月"</f>
        <v/>
      </c>
      <c r="E483" s="12" t="n">
        <v>1</v>
      </c>
      <c r="F483" s="10" t="n"/>
      <c r="G483" s="10" t="inlineStr">
        <is>
          <t>バズワードに惑わされないAIエージェント実装のためのデータ戦略</t>
        </is>
      </c>
      <c r="H483" s="10" t="inlineStr">
        <is>
          <t>株式会社セールスフォース・ジャパン</t>
        </is>
      </c>
      <c r="I483" s="10" t="n"/>
      <c r="J483" s="10" t="inlineStr">
        <is>
          <t>個別調査（公式サイト・PR TIMES等）</t>
        </is>
      </c>
      <c r="K483" s="10" t="inlineStr">
        <is>
          <t>オンライン</t>
        </is>
      </c>
      <c r="L483" s="10" t="n"/>
      <c r="M483" s="10" t="inlineStr">
        <is>
          <t>営業・マーケ・CS</t>
        </is>
      </c>
      <c r="N483" s="10" t="inlineStr">
        <is>
          <t>AIエージェント</t>
        </is>
      </c>
      <c r="O483" s="12" t="inlineStr">
        <is>
          <t>◎</t>
        </is>
      </c>
      <c r="P483" s="13" t="n"/>
      <c r="Q483" s="12" t="inlineStr">
        <is>
          <t>不明</t>
        </is>
      </c>
      <c r="R483" s="14" t="n"/>
      <c r="S483" s="10" t="n"/>
      <c r="T483" s="10" t="inlineStr">
        <is>
          <t>エージェンティックAIに必要なデータ基盤と、信頼できるコンテキスト、オントロジーの位置づけを解説する。</t>
        </is>
      </c>
      <c r="U483" s="15" t="inlineStr">
        <is>
          <t>https://www.salesforce.com/jp/events/webinars/ontology-is-buzzword/</t>
        </is>
      </c>
      <c r="V483" s="10" t="n"/>
      <c r="W483" s="10" t="inlineStr">
        <is>
          <t>個別確認</t>
        </is>
      </c>
      <c r="X483" s="10" t="inlineStr">
        <is>
          <t>IT部門寄りの内容</t>
        </is>
      </c>
    </row>
    <row r="484">
      <c r="A484" s="10" t="n">
        <v>483</v>
      </c>
      <c r="B484" s="11" t="n">
        <v>46281</v>
      </c>
      <c r="C484" s="11" t="n">
        <v>46281</v>
      </c>
      <c r="D484" s="10">
        <f>MONTH(B484)&amp;"月"</f>
        <v/>
      </c>
      <c r="E484" s="12" t="n">
        <v>1</v>
      </c>
      <c r="F484" s="10" t="n"/>
      <c r="G484" s="10" t="inlineStr">
        <is>
          <t>AIエージェントキャッチアップ #91 - SkillsBench</t>
        </is>
      </c>
      <c r="H484" s="10" t="inlineStr">
        <is>
          <t>ジェネラティブエージェンツ / Generative Agents</t>
        </is>
      </c>
      <c r="I484" s="10" t="n"/>
      <c r="J484" s="10" t="inlineStr">
        <is>
          <t>connpass</t>
        </is>
      </c>
      <c r="K484" s="10" t="inlineStr">
        <is>
          <t>オンライン</t>
        </is>
      </c>
      <c r="L484" s="10" t="inlineStr">
        <is>
          <t>オンライン</t>
        </is>
      </c>
      <c r="M484" s="10" t="inlineStr">
        <is>
          <t>技術・AI全般</t>
        </is>
      </c>
      <c r="N484" s="10" t="inlineStr">
        <is>
          <t>AIエージェント</t>
        </is>
      </c>
      <c r="O484" s="12" t="inlineStr">
        <is>
          <t>○</t>
        </is>
      </c>
      <c r="P484" s="13" t="n">
        <v>41</v>
      </c>
      <c r="Q484" s="12" t="inlineStr">
        <is>
          <t>参加者数</t>
        </is>
      </c>
      <c r="R484" s="14" t="n">
        <v>200</v>
      </c>
      <c r="S484" s="10" t="n"/>
      <c r="T484" s="10" t="n"/>
      <c r="U484" s="15" t="inlineStr">
        <is>
          <t>https://generative-agents.connpass.com/event/405647/</t>
        </is>
      </c>
      <c r="V484" s="10" t="n"/>
      <c r="W484" s="10" t="inlineStr">
        <is>
          <t>タイトル一致</t>
        </is>
      </c>
      <c r="X484" s="10" t="n"/>
    </row>
    <row r="485">
      <c r="A485" s="10" t="n">
        <v>484</v>
      </c>
      <c r="B485" s="11" t="n">
        <v>46281</v>
      </c>
      <c r="C485" s="11" t="n">
        <v>46281</v>
      </c>
      <c r="D485" s="10">
        <f>MONTH(B485)&amp;"月"</f>
        <v/>
      </c>
      <c r="E485" s="12" t="n">
        <v>1</v>
      </c>
      <c r="F485" s="10" t="n"/>
      <c r="G485" s="10" t="inlineStr">
        <is>
          <t>AIエージェント本格展開の壁〜分断されたデータ・基盤を統合し、ガバナンスとコストを両立するには〜</t>
        </is>
      </c>
      <c r="H485" s="10" t="inlineStr">
        <is>
          <t>ニュータニックス・ジャパン合同会社</t>
        </is>
      </c>
      <c r="I485" s="10" t="inlineStr">
        <is>
          <t>マジセミ株式会社</t>
        </is>
      </c>
      <c r="J485" s="10" t="inlineStr">
        <is>
          <t>Doorkeeper</t>
        </is>
      </c>
      <c r="K485" s="10" t="inlineStr">
        <is>
          <t>オンライン</t>
        </is>
      </c>
      <c r="L485" s="10" t="inlineStr">
        <is>
          <t>Webセミナー（URLは主催企業からメールでお知らせします） オンライン</t>
        </is>
      </c>
      <c r="M485" s="10" t="inlineStr">
        <is>
          <t>生産性向上・業務効率化</t>
        </is>
      </c>
      <c r="N485" s="10" t="inlineStr">
        <is>
          <t>AIエージェント</t>
        </is>
      </c>
      <c r="O485" s="12" t="inlineStr">
        <is>
          <t>◎</t>
        </is>
      </c>
      <c r="P485" s="13" t="n">
        <v>0</v>
      </c>
      <c r="Q485" s="12" t="inlineStr">
        <is>
          <t>参加者数</t>
        </is>
      </c>
      <c r="R485" s="14" t="n"/>
      <c r="S485" s="10" t="n"/>
      <c r="T485" s="10" t="inlineStr">
        <is>
          <t xml:space="preserve"> 本セミナーはWebセミナーです 参加方法（URL）は主催企業より直接メールにてご連絡いたします。 「event.nutanix.com」「osslabo.com」「majisemi.com」からのメールが迷惑メールとならないよう、メールの設定をご確認ください。 AIエージェント活用はPoCから本格展開へ 生成AIの活用が検証段階から実業務へと広がる中、企業ではAIエージェントを複数の業務や部門に展開し、エンタープライズAIを一つのシス</t>
        </is>
      </c>
      <c r="U485" s="15" t="inlineStr">
        <is>
          <t>https://osslabo.doorkeeper.jp/events/199008</t>
        </is>
      </c>
      <c r="V485" s="10" t="n"/>
      <c r="W485" s="10" t="inlineStr">
        <is>
          <t>タイトル一致</t>
        </is>
      </c>
      <c r="X485" s="10" t="n"/>
    </row>
    <row r="486">
      <c r="A486" s="10" t="n">
        <v>485</v>
      </c>
      <c r="B486" s="11" t="n">
        <v>46281</v>
      </c>
      <c r="C486" s="11" t="n">
        <v>46281</v>
      </c>
      <c r="D486" s="10">
        <f>MONTH(B486)&amp;"月"</f>
        <v/>
      </c>
      <c r="E486" s="12" t="n">
        <v>1</v>
      </c>
      <c r="F486" s="10" t="n"/>
      <c r="G486" s="10" t="inlineStr">
        <is>
          <t>BtoB Growth EXPO for Sales（大手企業のAIエージェント活用の実証知が集結するセールス特化カンファレンス）</t>
        </is>
      </c>
      <c r="H486" s="10" t="inlineStr">
        <is>
          <t>株式会社Growth DX</t>
        </is>
      </c>
      <c r="I486" s="10" t="n"/>
      <c r="J486" s="10" t="inlineStr">
        <is>
          <t>PR TIMES</t>
        </is>
      </c>
      <c r="K486" s="10" t="inlineStr">
        <is>
          <t>offline</t>
        </is>
      </c>
      <c r="L486" s="10" t="inlineStr">
        <is>
          <t>品川ザ・グランドホール（東京都港区）</t>
        </is>
      </c>
      <c r="M486" s="10" t="inlineStr">
        <is>
          <t>営業・マーケ・CS</t>
        </is>
      </c>
      <c r="N486" s="10" t="inlineStr">
        <is>
          <t>AIエージェント</t>
        </is>
      </c>
      <c r="O486" s="12" t="inlineStr">
        <is>
          <t>◎</t>
        </is>
      </c>
      <c r="P486" s="13" t="n"/>
      <c r="Q486" s="12" t="inlineStr">
        <is>
          <t>不明</t>
        </is>
      </c>
      <c r="R486" s="14" t="n"/>
      <c r="S486" s="10" t="n"/>
      <c r="T486" s="10" t="inlineStr">
        <is>
          <t>■ 『BtoB Growth EXPO for Sales』開催の背景と目的 イベント情報を見る 生成AI・AIエージェントの導入が一巡し、企業の関心は「とりあえず使ってみる」段階から「自社の業務・知識に組み込み、成果につなげる」段階へと移行しつつあります。特にBtoB営業組織においては、属人化した勝ちパターンをどう組織知に変え、AIエージェントに実務レベルで"耐えうる"運用をさせるかが、各社共通の課題となっています。 本カンファレンス</t>
        </is>
      </c>
      <c r="U486" s="15" t="inlineStr">
        <is>
          <t>https://prtimes.jp/main/html/rd/p/000000033.000151821.html</t>
        </is>
      </c>
      <c r="V486" s="10" t="n"/>
      <c r="W486" s="10" t="inlineStr">
        <is>
          <t>タイトル一致</t>
        </is>
      </c>
      <c r="X486" s="10" t="n"/>
    </row>
    <row r="487">
      <c r="A487" s="10" t="n">
        <v>486</v>
      </c>
      <c r="B487" s="11" t="n">
        <v>46281</v>
      </c>
      <c r="C487" s="11" t="n">
        <v>46281</v>
      </c>
      <c r="D487" s="10">
        <f>MONTH(B487)&amp;"月"</f>
        <v/>
      </c>
      <c r="E487" s="12" t="n">
        <v>1</v>
      </c>
      <c r="F487" s="10" t="n"/>
      <c r="G487" s="10" t="inlineStr">
        <is>
          <t>LeapAI、経営者・AX担当者向け「AIエージェント活用交流会」を9月16日にWeWork竹芝で開催</t>
        </is>
      </c>
      <c r="H487" s="10" t="inlineStr">
        <is>
          <t>株式会社LeapAI</t>
        </is>
      </c>
      <c r="I487" s="10" t="n"/>
      <c r="J487" s="10" t="inlineStr">
        <is>
          <t>PR TIMES</t>
        </is>
      </c>
      <c r="K487" s="10" t="inlineStr">
        <is>
          <t>offline</t>
        </is>
      </c>
      <c r="L487" s="10" t="inlineStr">
        <is>
          <t>WeWork竹芝</t>
        </is>
      </c>
      <c r="M487" s="10" t="inlineStr">
        <is>
          <t>生産性向上・業務効率化</t>
        </is>
      </c>
      <c r="N487" s="10" t="inlineStr">
        <is>
          <t>AIエージェント</t>
        </is>
      </c>
      <c r="O487" s="12" t="inlineStr">
        <is>
          <t>◎</t>
        </is>
      </c>
      <c r="P487" s="13" t="n"/>
      <c r="Q487" s="12" t="inlineStr">
        <is>
          <t>定員</t>
        </is>
      </c>
      <c r="R487" s="14" t="n">
        <v>20</v>
      </c>
      <c r="S487" s="10" t="n"/>
      <c r="T487" s="10" t="inlineStr">
        <is>
          <t>株式会社LeapAI（本社：東京都港区、代表取締役：岩田侑城）は、2026年9月16日（水）、WeWork東京ポートシティ竹芝にて、20名限定の少人数交流会「AIエージェント活用交流会」を開催します。 社内でAI導入を任されている経営者・事業責任者・AI推進担当者を対象に、Claude CodeやCodexなどのAIエージェントについて、各社の活用実態を持ち寄る交流会です。 参加費は無料、定員は20名。今回で、当社が主催する実務者向け交</t>
        </is>
      </c>
      <c r="U487" s="15" t="inlineStr">
        <is>
          <t>https://prtimes.jp/main/html/rd/p/000000012.000149931.html</t>
        </is>
      </c>
      <c r="V487" s="10" t="n"/>
      <c r="W487" s="10" t="inlineStr">
        <is>
          <t>タイトル一致</t>
        </is>
      </c>
      <c r="X487" s="10" t="n"/>
    </row>
    <row r="488">
      <c r="A488" s="10" t="n">
        <v>487</v>
      </c>
      <c r="B488" s="11" t="n">
        <v>46281</v>
      </c>
      <c r="C488" s="11" t="n">
        <v>46281</v>
      </c>
      <c r="D488" s="10">
        <f>MONTH(B488)&amp;"月"</f>
        <v/>
      </c>
      <c r="E488" s="12" t="n">
        <v>1</v>
      </c>
      <c r="F488" s="10" t="n"/>
      <c r="G488" s="10" t="inlineStr">
        <is>
          <t>【9/16 共催ウェビナー】ログリー「ウルテク」× SalesNow、“誰か分からない訪問者”にAIはどこまで踏み込めるか——2社のデータをMCPで繋ぐ実証実験を生配信</t>
        </is>
      </c>
      <c r="H488" s="10" t="inlineStr">
        <is>
          <t>株式会社SalesNow / ログリー株式会社</t>
        </is>
      </c>
      <c r="I488" s="10" t="n"/>
      <c r="J488" s="10" t="inlineStr">
        <is>
          <t>PR TIMES</t>
        </is>
      </c>
      <c r="K488" s="10" t="inlineStr">
        <is>
          <t>online</t>
        </is>
      </c>
      <c r="L488" s="10" t="inlineStr">
        <is>
          <t>オンライン（Zoom）</t>
        </is>
      </c>
      <c r="M488" s="10" t="inlineStr">
        <is>
          <t>営業・マーケ・CS</t>
        </is>
      </c>
      <c r="N488" s="10" t="inlineStr">
        <is>
          <t>両方</t>
        </is>
      </c>
      <c r="O488" s="12" t="inlineStr">
        <is>
          <t>◎</t>
        </is>
      </c>
      <c r="P488" s="13" t="n"/>
      <c r="Q488" s="12" t="inlineStr">
        <is>
          <t>不明</t>
        </is>
      </c>
      <c r="R488" s="14" t="n"/>
      <c r="S488" s="10" t="n"/>
      <c r="T488" s="10" t="inlineStr">
        <is>
          <t>ログリー株式会社（本社：東京都渋谷区、代表取締役：吉永浩和、証券コード：6579、以下 ログリー）は、BtoBマーケティングエージェント「ウルテク」（https://uruteq.logly.co.jp/）において、SalesNow株式会社（以下 SalesNow）との共催ウェビナーを2026年9月16日（水）12:00〜13:00に開催します。 本ウェビナーでは、両社が保有する異なるデータを生成AI／AIエージェントで繋ぐことで、サイ</t>
        </is>
      </c>
      <c r="U488" s="15" t="inlineStr">
        <is>
          <t>https://prtimes.jp/main/html/rd/p/000000214.000006043.html</t>
        </is>
      </c>
      <c r="V488" s="10" t="n"/>
      <c r="W488" s="10" t="inlineStr">
        <is>
          <t>タイトル一致</t>
        </is>
      </c>
      <c r="X488" s="10" t="n"/>
    </row>
    <row r="489">
      <c r="A489" s="10" t="n">
        <v>488</v>
      </c>
      <c r="B489" s="11" t="n">
        <v>46281</v>
      </c>
      <c r="C489" s="11" t="n">
        <v>46281</v>
      </c>
      <c r="D489" s="10">
        <f>MONTH(B489)&amp;"月"</f>
        <v/>
      </c>
      <c r="E489" s="12" t="n">
        <v>1</v>
      </c>
      <c r="F489" s="10" t="n"/>
      <c r="G489" s="10" t="inlineStr">
        <is>
          <t>【Dify活用無料ウェビナー】Dify無料版からビジネス活用へ!有償ライセンス×自社専用環境で進めるAI本格導入</t>
        </is>
      </c>
      <c r="H489" s="10" t="inlineStr">
        <is>
          <t>バイタリフィ|セミナー事務局</t>
        </is>
      </c>
      <c r="I489" s="10" t="n"/>
      <c r="J489" s="10" t="inlineStr">
        <is>
          <t>こくちーずプロ</t>
        </is>
      </c>
      <c r="K489" s="10" t="inlineStr">
        <is>
          <t>オンライン</t>
        </is>
      </c>
      <c r="L489" s="10" t="inlineStr">
        <is>
          <t>オンライン 日本</t>
        </is>
      </c>
      <c r="M489" s="10" t="inlineStr">
        <is>
          <t>生産性向上・業務効率化</t>
        </is>
      </c>
      <c r="N489" s="10" t="inlineStr">
        <is>
          <t>AIエージェント</t>
        </is>
      </c>
      <c r="O489" s="12" t="inlineStr">
        <is>
          <t>◎</t>
        </is>
      </c>
      <c r="P489" s="13" t="n">
        <v>0</v>
      </c>
      <c r="Q489" s="12" t="inlineStr">
        <is>
          <t>イベント参加 0/50</t>
        </is>
      </c>
      <c r="R489" s="14" t="n">
        <v>50</v>
      </c>
      <c r="S489" s="10" t="n"/>
      <c r="T489" s="10" t="inlineStr">
        <is>
          <t>■ ウェビナー概要 生成AIの業務活用が広がる中、ノーコード開発プラットフォーム「Dify」を検証環境や無償版で試す企業が急増しています。しかし、いざ全社展開や実業務への本格導入を検討する段階になると、「社内データを安全に扱うためのセキュリティ要件を満たせない」「アクセス権限や運用の管理ルールが定まらない」といった新たな壁に直面するケースが少なくありません。 本ウェビナーでは、Difyの基本機能のおさらいから無償OSS版と有償ライセンス</t>
        </is>
      </c>
      <c r="U489" s="15" t="inlineStr">
        <is>
          <t>https://www.kokuchpro.com/event/c53dd1bbc964a63d6240acc66f8fc034/</t>
        </is>
      </c>
      <c r="V489" s="10" t="n"/>
      <c r="W489" s="10" t="inlineStr">
        <is>
          <t>タイトル一致</t>
        </is>
      </c>
      <c r="X489" s="10" t="n"/>
    </row>
    <row r="490">
      <c r="A490" s="10" t="n">
        <v>489</v>
      </c>
      <c r="B490" s="11" t="n">
        <v>46281</v>
      </c>
      <c r="C490" s="11" t="n">
        <v>46281</v>
      </c>
      <c r="D490" s="10">
        <f>MONTH(B490)&amp;"月"</f>
        <v/>
      </c>
      <c r="E490" s="12" t="n">
        <v>1</v>
      </c>
      <c r="F490" s="10" t="n"/>
      <c r="G490" s="10" t="inlineStr">
        <is>
          <t>【水曜のDX道場】1つの指示でAIチームが動く！自律型AI「Agentic AI」の仕組みと実践</t>
        </is>
      </c>
      <c r="H490" s="10" t="inlineStr">
        <is>
          <t>水曜のDX道場</t>
        </is>
      </c>
      <c r="I490" s="10" t="n"/>
      <c r="J490" s="10" t="inlineStr">
        <is>
          <t>connpass</t>
        </is>
      </c>
      <c r="K490" s="10" t="inlineStr">
        <is>
          <t>会場</t>
        </is>
      </c>
      <c r="L490" s="10" t="inlineStr">
        <is>
          <t>大阪市北区本庄東１−１８−８</t>
        </is>
      </c>
      <c r="M490" s="10" t="inlineStr">
        <is>
          <t>生産性向上・業務効率化</t>
        </is>
      </c>
      <c r="N490" s="10" t="inlineStr">
        <is>
          <t>AIエージェント</t>
        </is>
      </c>
      <c r="O490" s="12" t="inlineStr">
        <is>
          <t>◎</t>
        </is>
      </c>
      <c r="P490" s="13" t="n">
        <v>8</v>
      </c>
      <c r="Q490" s="12" t="inlineStr">
        <is>
          <t>参加者数</t>
        </is>
      </c>
      <c r="R490" s="14" t="n">
        <v>24</v>
      </c>
      <c r="S490" s="10" t="n"/>
      <c r="T490" s="10" t="n"/>
      <c r="U490" s="15" t="inlineStr">
        <is>
          <t>https://dxdojo.connpass.com/event/406059/</t>
        </is>
      </c>
      <c r="V490" s="10" t="n"/>
      <c r="W490" s="10" t="inlineStr">
        <is>
          <t>タイトル一致</t>
        </is>
      </c>
      <c r="X490" s="10" t="n"/>
    </row>
    <row r="491">
      <c r="A491" s="10" t="n">
        <v>490</v>
      </c>
      <c r="B491" s="11" t="n">
        <v>46281</v>
      </c>
      <c r="C491" s="11" t="n">
        <v>46283</v>
      </c>
      <c r="D491" s="10">
        <f>MONTH(B491)&amp;"月"</f>
        <v/>
      </c>
      <c r="E491" s="12" t="n">
        <v>1</v>
      </c>
      <c r="F491" s="10" t="n"/>
      <c r="G491" s="10" t="inlineStr">
        <is>
          <t>バックオフィスAIエージェント EXPO【東京】（第26回 総務・人事・経理Week内）</t>
        </is>
      </c>
      <c r="H491" s="10" t="inlineStr">
        <is>
          <t>RX Japan</t>
        </is>
      </c>
      <c r="I491" s="10" t="n"/>
      <c r="J491" s="10" t="inlineStr">
        <is>
          <t>個別調査（公式サイト・PR TIMES等）</t>
        </is>
      </c>
      <c r="K491" s="10" t="inlineStr">
        <is>
          <t>会場</t>
        </is>
      </c>
      <c r="L491" s="10" t="inlineStr">
        <is>
          <t>東京ビッグサイト</t>
        </is>
      </c>
      <c r="M491" s="10" t="inlineStr">
        <is>
          <t>生産性向上・業務効率化</t>
        </is>
      </c>
      <c r="N491" s="10" t="inlineStr">
        <is>
          <t>AIエージェント</t>
        </is>
      </c>
      <c r="O491" s="12" t="inlineStr">
        <is>
          <t>◎</t>
        </is>
      </c>
      <c r="P491" s="13" t="n"/>
      <c r="Q491" s="12" t="inlineStr">
        <is>
          <t>不明</t>
        </is>
      </c>
      <c r="R491" s="14" t="n"/>
      <c r="S491" s="10" t="inlineStr">
        <is>
          <t>本展の数値は未公表。参考として、2025年6月の東京展（総務・人事・経理Week）は33,150名が来場</t>
        </is>
      </c>
      <c r="T491" s="10" t="inlineStr">
        <is>
          <t>総務・人事・経理・法務の業務を変える、生成AI・AIエージェント・AI-OCRなどのソリューションを集めた新設の専門展。</t>
        </is>
      </c>
      <c r="U491" s="15" t="inlineStr">
        <is>
          <t>https://prtimes.jp/main/html/rd/p/000002058.000026157.html</t>
        </is>
      </c>
      <c r="V491" s="15" t="inlineStr">
        <is>
          <t>https://www.office-expo.jp/hub/ja-jp/about/ai.html</t>
        </is>
      </c>
      <c r="W491" s="10" t="inlineStr">
        <is>
          <t>個別確認</t>
        </is>
      </c>
      <c r="X491" s="10" t="inlineStr">
        <is>
          <t>展示会</t>
        </is>
      </c>
    </row>
    <row r="492">
      <c r="A492" s="10" t="n">
        <v>491</v>
      </c>
      <c r="B492" s="11" t="n">
        <v>46281</v>
      </c>
      <c r="C492" s="11" t="n">
        <v>46281</v>
      </c>
      <c r="D492" s="10">
        <f>MONTH(B492)&amp;"月"</f>
        <v/>
      </c>
      <c r="E492" s="12" t="n">
        <v>1</v>
      </c>
      <c r="F492" s="10" t="n"/>
      <c r="G492" s="10" t="inlineStr">
        <is>
          <t>他社は、どこまで使いこなせてる？ AIエージェント活用交流会 @WeWork竹芝</t>
        </is>
      </c>
      <c r="H492" s="10" t="inlineStr">
        <is>
          <t>LeapAI</t>
        </is>
      </c>
      <c r="I492" s="10" t="n"/>
      <c r="J492" s="10" t="inlineStr">
        <is>
          <t>connpass</t>
        </is>
      </c>
      <c r="K492" s="10" t="inlineStr">
        <is>
          <t>会場</t>
        </is>
      </c>
      <c r="L492" s="10" t="inlineStr">
        <is>
          <t>東京都港区海岸1-7-1 10F</t>
        </is>
      </c>
      <c r="M492" s="10" t="inlineStr">
        <is>
          <t>技術・AI全般</t>
        </is>
      </c>
      <c r="N492" s="10" t="inlineStr">
        <is>
          <t>AIエージェント</t>
        </is>
      </c>
      <c r="O492" s="12" t="inlineStr">
        <is>
          <t>○</t>
        </is>
      </c>
      <c r="P492" s="13" t="n">
        <v>4</v>
      </c>
      <c r="Q492" s="12" t="inlineStr">
        <is>
          <t>参加者数</t>
        </is>
      </c>
      <c r="R492" s="14" t="n">
        <v>20</v>
      </c>
      <c r="S492" s="10" t="n"/>
      <c r="T492" s="10" t="n"/>
      <c r="U492" s="15" t="inlineStr">
        <is>
          <t>https://connpass.com/event/406195/</t>
        </is>
      </c>
      <c r="V492" s="10" t="n"/>
      <c r="W492" s="10" t="inlineStr">
        <is>
          <t>タイトル一致</t>
        </is>
      </c>
      <c r="X492" s="10" t="n"/>
    </row>
    <row r="493">
      <c r="A493" s="10" t="n">
        <v>492</v>
      </c>
      <c r="B493" s="11" t="n">
        <v>46281</v>
      </c>
      <c r="C493" s="11" t="n">
        <v>46281</v>
      </c>
      <c r="D493" s="10">
        <f>MONTH(B493)&amp;"月"</f>
        <v/>
      </c>
      <c r="E493" s="12" t="n">
        <v>1</v>
      </c>
      <c r="F493" s="10" t="n"/>
      <c r="G493" s="10" t="inlineStr">
        <is>
          <t>打ち合わせ直後にAIが勝手に見積書を仕上げる仕組みを完全公開【経営者向けライブ実演】</t>
        </is>
      </c>
      <c r="H493" s="10" t="inlineStr">
        <is>
          <t>株式会社ノヴァリス</t>
        </is>
      </c>
      <c r="I493" s="10" t="n"/>
      <c r="J493" s="10" t="inlineStr">
        <is>
          <t>こくちーずプロ</t>
        </is>
      </c>
      <c r="K493" s="10" t="inlineStr">
        <is>
          <t>オンライン</t>
        </is>
      </c>
      <c r="L493" s="10" t="inlineStr">
        <is>
          <t>オンライン 日本</t>
        </is>
      </c>
      <c r="M493" s="10" t="inlineStr">
        <is>
          <t>生産管理・製造・SCM</t>
        </is>
      </c>
      <c r="N493" s="10" t="inlineStr">
        <is>
          <t>AIエージェント</t>
        </is>
      </c>
      <c r="O493" s="12" t="inlineStr">
        <is>
          <t>○</t>
        </is>
      </c>
      <c r="P493" s="13" t="n">
        <v>0</v>
      </c>
      <c r="Q493" s="12" t="inlineStr">
        <is>
          <t>イベント参加 0/10</t>
        </is>
      </c>
      <c r="R493" s="14" t="n">
        <v>10</v>
      </c>
      <c r="S493" s="10" t="n"/>
      <c r="T493" s="10" t="inlineStr">
        <is>
          <t>打ち合わせ直後にAIが勝手に見積書を仕上げる仕組みを完全公開【経営者向けライブ実演】 参加無料 / オンライン / 60分（お昼休みに参加できます） ※ご参加特典あり：現場で使われている自動化事例をまとめた『Claude Code / Codex 自動化活用事例集 30選』（全82ページ）を、当日ご参加の方全員に無料でお渡しします。 ■ 商談が終わった瞬間、見積書までできていたら？ 少し想像してみてください。 お客様との打ち合わせが終わ</t>
        </is>
      </c>
      <c r="U493" s="15" t="inlineStr">
        <is>
          <t>https://www.kokuchpro.com/event/9f96ef265a9b5c649d79fa77656080b8/</t>
        </is>
      </c>
      <c r="V493" s="10" t="n"/>
      <c r="W493" s="10" t="inlineStr">
        <is>
          <t>本文一致</t>
        </is>
      </c>
      <c r="X493" s="10" t="n"/>
    </row>
    <row r="494">
      <c r="A494" s="10" t="n">
        <v>493</v>
      </c>
      <c r="B494" s="11" t="n">
        <v>46282</v>
      </c>
      <c r="C494" s="11" t="n">
        <v>46282</v>
      </c>
      <c r="D494" s="10">
        <f>MONTH(B494)&amp;"月"</f>
        <v/>
      </c>
      <c r="E494" s="12" t="n">
        <v>1</v>
      </c>
      <c r="F494" s="10" t="n"/>
      <c r="G494" s="10" t="inlineStr">
        <is>
          <t>AIとブラウザの最前線！WebMCP入門 × Brave Community Meetup</t>
        </is>
      </c>
      <c r="H494" s="10" t="inlineStr">
        <is>
          <t>BraveコミュニテイJAPAN</t>
        </is>
      </c>
      <c r="I494" s="10" t="n"/>
      <c r="J494" s="10" t="inlineStr">
        <is>
          <t>connpass</t>
        </is>
      </c>
      <c r="K494" s="10" t="inlineStr">
        <is>
          <t>会場</t>
        </is>
      </c>
      <c r="L494" s="10" t="inlineStr">
        <is>
          <t>東京都港区麻布十番</t>
        </is>
      </c>
      <c r="M494" s="10" t="inlineStr">
        <is>
          <t>技術・AI全般</t>
        </is>
      </c>
      <c r="N494" s="10" t="inlineStr">
        <is>
          <t>MCP</t>
        </is>
      </c>
      <c r="O494" s="12" t="inlineStr">
        <is>
          <t>○</t>
        </is>
      </c>
      <c r="P494" s="13" t="n">
        <v>2</v>
      </c>
      <c r="Q494" s="12" t="inlineStr">
        <is>
          <t>参加者数</t>
        </is>
      </c>
      <c r="R494" s="14" t="n">
        <v>15</v>
      </c>
      <c r="S494" s="10" t="n"/>
      <c r="T494" s="10" t="n"/>
      <c r="U494" s="15" t="inlineStr">
        <is>
          <t>https://bat-brave-japan.connpass.com/event/406316/</t>
        </is>
      </c>
      <c r="V494" s="10" t="n"/>
      <c r="W494" s="10" t="inlineStr">
        <is>
          <t>タイトル一致</t>
        </is>
      </c>
      <c r="X494" s="10" t="n"/>
    </row>
    <row r="495">
      <c r="A495" s="10" t="n">
        <v>494</v>
      </c>
      <c r="B495" s="11" t="n">
        <v>46282</v>
      </c>
      <c r="C495" s="11" t="n">
        <v>46282</v>
      </c>
      <c r="D495" s="10">
        <f>MONTH(B495)&amp;"月"</f>
        <v/>
      </c>
      <c r="E495" s="12" t="n">
        <v>1</v>
      </c>
      <c r="F495" s="10" t="n"/>
      <c r="G495" s="10" t="inlineStr">
        <is>
          <t>AIエージェントを、"新しいID"として管理できていますか？ ～生成AI・業務自動化で顕在化するIDガバナンスと実現アプローチ～</t>
        </is>
      </c>
      <c r="H495" s="10" t="inlineStr">
        <is>
          <t>Saviynt Inc 株式会社BREXA Technology</t>
        </is>
      </c>
      <c r="I495" s="10" t="inlineStr">
        <is>
          <t>Saviynt Inc 株式会社BREXA Technology</t>
        </is>
      </c>
      <c r="J495" s="10" t="inlineStr">
        <is>
          <t>Doorkeeper</t>
        </is>
      </c>
      <c r="K495" s="10" t="inlineStr">
        <is>
          <t>不明</t>
        </is>
      </c>
      <c r="L495" s="10" t="n"/>
      <c r="M495" s="10" t="inlineStr">
        <is>
          <t>生産性向上・業務効率化</t>
        </is>
      </c>
      <c r="N495" s="10" t="inlineStr">
        <is>
          <t>AIエージェント</t>
        </is>
      </c>
      <c r="O495" s="12" t="inlineStr">
        <is>
          <t>◎</t>
        </is>
      </c>
      <c r="P495" s="13" t="n">
        <v>1</v>
      </c>
      <c r="Q495" s="12" t="inlineStr">
        <is>
          <t>参加者数</t>
        </is>
      </c>
      <c r="R495" s="14" t="n">
        <v>1</v>
      </c>
      <c r="S495" s="10" t="n"/>
      <c r="T495"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AIエージェントの普及で、「人だけを管理するID運用」が限界に 生成AIや業務自動化の進展により、AIエージェントが情報を参照し、システムを操作しながら、人に代わって業務を行う場面が増えています。 一方</t>
        </is>
      </c>
      <c r="U495" s="15" t="inlineStr">
        <is>
          <t>https://majisemi-idaas.doorkeeper.jp/events/199072</t>
        </is>
      </c>
      <c r="V495" s="10" t="n"/>
      <c r="W495" s="10" t="inlineStr">
        <is>
          <t>タイトル一致</t>
        </is>
      </c>
      <c r="X495" s="10" t="n"/>
    </row>
    <row r="496">
      <c r="A496" s="10" t="n">
        <v>495</v>
      </c>
      <c r="B496" s="11" t="n">
        <v>46282</v>
      </c>
      <c r="C496" s="11" t="n">
        <v>46282</v>
      </c>
      <c r="D496" s="10">
        <f>MONTH(B496)&amp;"月"</f>
        <v/>
      </c>
      <c r="E496" s="12" t="n">
        <v>1</v>
      </c>
      <c r="F496" s="10" t="n"/>
      <c r="G496" s="10" t="inlineStr">
        <is>
          <t>AIエージェントマニアNight #5 〜AIエージェント×UXデザイン〜</t>
        </is>
      </c>
      <c r="H496" s="10" t="inlineStr">
        <is>
          <t>マネーフォワード</t>
        </is>
      </c>
      <c r="I496" s="10" t="n"/>
      <c r="J496" s="10" t="inlineStr">
        <is>
          <t>connpass</t>
        </is>
      </c>
      <c r="K496" s="10" t="inlineStr">
        <is>
          <t>会場</t>
        </is>
      </c>
      <c r="L496" s="10" t="inlineStr">
        <is>
          <t>東京都港区芝浦3-1-21 msb Tamachi 田町ステーションタワーS 21F</t>
        </is>
      </c>
      <c r="M496" s="10" t="inlineStr">
        <is>
          <t>技術・AI全般</t>
        </is>
      </c>
      <c r="N496" s="10" t="inlineStr">
        <is>
          <t>AIエージェント</t>
        </is>
      </c>
      <c r="O496" s="12" t="inlineStr">
        <is>
          <t>○</t>
        </is>
      </c>
      <c r="P496" s="13" t="n">
        <v>82</v>
      </c>
      <c r="Q496" s="12" t="inlineStr">
        <is>
          <t>参加者数</t>
        </is>
      </c>
      <c r="R496" s="14" t="n">
        <v>90</v>
      </c>
      <c r="S496" s="10" t="n"/>
      <c r="T496" s="10" t="n"/>
      <c r="U496" s="15" t="inlineStr">
        <is>
          <t>https://moneyforward.connpass.com/event/399710/</t>
        </is>
      </c>
      <c r="V496" s="10" t="n"/>
      <c r="W496" s="10" t="inlineStr">
        <is>
          <t>タイトル一致</t>
        </is>
      </c>
      <c r="X496" s="10" t="n"/>
    </row>
    <row r="497">
      <c r="A497" s="10" t="n">
        <v>496</v>
      </c>
      <c r="B497" s="11" t="n">
        <v>46282</v>
      </c>
      <c r="C497" s="11" t="n">
        <v>46282</v>
      </c>
      <c r="D497" s="10">
        <f>MONTH(B497)&amp;"月"</f>
        <v/>
      </c>
      <c r="E497" s="12" t="n">
        <v>1</v>
      </c>
      <c r="F497" s="10" t="n"/>
      <c r="G497" s="10" t="inlineStr">
        <is>
          <t>AI時代の新経営管理</t>
        </is>
      </c>
      <c r="H497" s="10" t="inlineStr">
        <is>
          <t>株式会社レイヤーズ・コンサルティング</t>
        </is>
      </c>
      <c r="I497" s="10" t="n"/>
      <c r="J497" s="10" t="inlineStr">
        <is>
          <t>ビジネス+IT</t>
        </is>
      </c>
      <c r="K497" s="10" t="inlineStr">
        <is>
          <t>online</t>
        </is>
      </c>
      <c r="L497" s="10" t="inlineStr">
        <is>
          <t>オンライン</t>
        </is>
      </c>
      <c r="M497" s="10" t="inlineStr">
        <is>
          <t>生産性向上・業務効率化</t>
        </is>
      </c>
      <c r="N497" s="10" t="inlineStr">
        <is>
          <t>AIエージェント</t>
        </is>
      </c>
      <c r="O497" s="12" t="inlineStr">
        <is>
          <t>○</t>
        </is>
      </c>
      <c r="P497" s="13" t="n"/>
      <c r="Q497" s="12" t="inlineStr">
        <is>
          <t>不明</t>
        </is>
      </c>
      <c r="R497" s="14" t="n"/>
      <c r="S497" s="10" t="n"/>
      <c r="T497" s="10" t="inlineStr">
        <is>
          <t>ビジネス環境の変化が加速する中、生成AIは業務支援を超え、自律的に業務を遂行する「AIエージェント」へと進化し、経営管理の前提そのものを変え始めています。 こうした変化に対し、目先のツール活用にとどまらず、近い将来の姿を見据えたうえで、自社の経営管理のあり方をバックキャスティング的に捉え直すことが求められています。 本セミナーでは、AI時代における計画・予測・シミュレーションの将来像を展望するとともに、AIの判断の検証、データの信頼性の</t>
        </is>
      </c>
      <c r="U497" s="15" t="inlineStr">
        <is>
          <t>https://www.sbbit.jp/eventinfo/90275</t>
        </is>
      </c>
      <c r="V497" s="10" t="n"/>
      <c r="W497" s="10" t="inlineStr">
        <is>
          <t>本文一致</t>
        </is>
      </c>
      <c r="X497" s="10" t="n"/>
    </row>
    <row r="498">
      <c r="A498" s="10" t="n">
        <v>497</v>
      </c>
      <c r="B498" s="11" t="n">
        <v>46282</v>
      </c>
      <c r="C498" s="11" t="n">
        <v>46282</v>
      </c>
      <c r="D498" s="10">
        <f>MONTH(B498)&amp;"月"</f>
        <v/>
      </c>
      <c r="E498" s="12" t="n">
        <v>1</v>
      </c>
      <c r="F498" s="10" t="n"/>
      <c r="G498" s="10" t="inlineStr">
        <is>
          <t>Agora Agent Studioで始める会話型AIプロダクト検証</t>
        </is>
      </c>
      <c r="H498" s="10" t="inlineStr">
        <is>
          <t>【Agora】V-CUBE</t>
        </is>
      </c>
      <c r="I498" s="10" t="n"/>
      <c r="J498" s="10" t="inlineStr">
        <is>
          <t>connpass</t>
        </is>
      </c>
      <c r="K498" s="10" t="inlineStr">
        <is>
          <t>オンライン</t>
        </is>
      </c>
      <c r="L498" s="10" t="inlineStr">
        <is>
          <t>オンライン（Zoom ウェビナー）</t>
        </is>
      </c>
      <c r="M498" s="10" t="inlineStr">
        <is>
          <t>技術・AI全般</t>
        </is>
      </c>
      <c r="N498" s="10" t="inlineStr">
        <is>
          <t>AIエージェント</t>
        </is>
      </c>
      <c r="O498" s="12" t="inlineStr">
        <is>
          <t>○</t>
        </is>
      </c>
      <c r="P498" s="13" t="n">
        <v>1</v>
      </c>
      <c r="Q498" s="12" t="inlineStr">
        <is>
          <t>参加者数</t>
        </is>
      </c>
      <c r="R498" s="14" t="n"/>
      <c r="S498" s="10" t="n"/>
      <c r="T498" s="10" t="n"/>
      <c r="U498" s="15" t="inlineStr">
        <is>
          <t>https://vcube-agora.connpass.com/event/404093/</t>
        </is>
      </c>
      <c r="V498" s="10" t="n"/>
      <c r="W498" s="10" t="inlineStr">
        <is>
          <t>タイトル一致</t>
        </is>
      </c>
      <c r="X498" s="10" t="n"/>
    </row>
    <row r="499">
      <c r="A499" s="10" t="n">
        <v>498</v>
      </c>
      <c r="B499" s="11" t="n">
        <v>46282</v>
      </c>
      <c r="C499" s="11" t="n">
        <v>46282</v>
      </c>
      <c r="D499" s="10">
        <f>MONTH(B499)&amp;"月"</f>
        <v/>
      </c>
      <c r="E499" s="12" t="n">
        <v>1</v>
      </c>
      <c r="F499" s="10" t="n"/>
      <c r="G499" s="10" t="inlineStr">
        <is>
          <t>Codex・Claude Codeを使って、会社で使える業務アプリを作る!はじめてのAI業務アプリ開発セミナー</t>
        </is>
      </c>
      <c r="H499" s="10" t="inlineStr">
        <is>
          <t>株式会社Macbe セミナー運営事務局</t>
        </is>
      </c>
      <c r="I499" s="10" t="n"/>
      <c r="J499" s="10" t="inlineStr">
        <is>
          <t>こくちーずプロ</t>
        </is>
      </c>
      <c r="K499" s="10" t="inlineStr">
        <is>
          <t>オンライン</t>
        </is>
      </c>
      <c r="L499" s="10" t="inlineStr">
        <is>
          <t>オンライン 日本</t>
        </is>
      </c>
      <c r="M499" s="10" t="inlineStr">
        <is>
          <t>生産性向上・業務効率化</t>
        </is>
      </c>
      <c r="N499" s="10" t="inlineStr">
        <is>
          <t>AIエージェント</t>
        </is>
      </c>
      <c r="O499" s="12" t="inlineStr">
        <is>
          <t>◎</t>
        </is>
      </c>
      <c r="P499" s="13" t="n">
        <v>35</v>
      </c>
      <c r="Q499" s="12" t="inlineStr">
        <is>
          <t>イベント参加 35/50</t>
        </is>
      </c>
      <c r="R499" s="14" t="n">
        <v>50</v>
      </c>
      <c r="S499" s="10" t="n"/>
      <c r="T499" s="10" t="inlineStr">
        <is>
          <t>Codex・Claude Codeを使って、会社で使えるアプリを作る！はじめてのAI業務アプリ開発セミナー 最近では、CodexやClaude CodeなどのAIを使うことで、これまでよりも簡単にアプリやシステムを作れるようになってきました。 実際に、画面を作ったり、簡単な機能を追加したりするだけであれば、AIに指示するだけでもかなりのところまで進めることができます。 一方で、会社の業務で実際に使おうとすると、 何から作り始めればよいか</t>
        </is>
      </c>
      <c r="U499" s="15" t="inlineStr">
        <is>
          <t>https://www.kokuchpro.com/event/2b8772d0b6e9aec097609fb11748257d/</t>
        </is>
      </c>
      <c r="V499" s="10" t="n"/>
      <c r="W499" s="10" t="inlineStr">
        <is>
          <t>タイトル一致</t>
        </is>
      </c>
      <c r="X499" s="10" t="n"/>
    </row>
    <row r="500">
      <c r="A500" s="10" t="n">
        <v>499</v>
      </c>
      <c r="B500" s="11" t="n">
        <v>46282</v>
      </c>
      <c r="C500" s="11" t="n">
        <v>46282</v>
      </c>
      <c r="D500" s="10">
        <f>MONTH(B500)&amp;"月"</f>
        <v/>
      </c>
      <c r="E500" s="12" t="n">
        <v>1</v>
      </c>
      <c r="F500" s="10" t="n"/>
      <c r="G500" s="10" t="inlineStr">
        <is>
          <t>Gemini Enterpriseで実現するAIエージェント実装講座</t>
        </is>
      </c>
      <c r="H500" s="10" t="inlineStr">
        <is>
          <t>SBクリエイティブ株式会社</t>
        </is>
      </c>
      <c r="I500" s="10" t="n"/>
      <c r="J500" s="10" t="inlineStr">
        <is>
          <t>ビジネス+IT</t>
        </is>
      </c>
      <c r="K500" s="10" t="inlineStr">
        <is>
          <t>hybrid</t>
        </is>
      </c>
      <c r="L500" s="10" t="inlineStr">
        <is>
          <t>オンライン・東京都</t>
        </is>
      </c>
      <c r="M500" s="10" t="inlineStr">
        <is>
          <t>開発生産性</t>
        </is>
      </c>
      <c r="N500" s="10" t="inlineStr">
        <is>
          <t>AIエージェント</t>
        </is>
      </c>
      <c r="O500" s="12" t="inlineStr">
        <is>
          <t>○</t>
        </is>
      </c>
      <c r="P500" s="13" t="n"/>
      <c r="Q500" s="12" t="inlineStr">
        <is>
          <t>定員</t>
        </is>
      </c>
      <c r="R500" s="14" t="n">
        <v>30</v>
      </c>
      <c r="S500" s="10" t="n"/>
      <c r="T500" s="10" t="inlineStr">
        <is>
          <t>日時： 2026年9月17日(木)15:00～17:00 会場： 住友不動産虎ノ門タワー23F（SBクリエイティブ株式会社） 定員： 会場 30名程度 ／ オンライン受講 無制限 受講料： 会場受講 33,000円（税込） ／ オンライン受講 22,000円（税込） 主催： SBクリエイティブ株式会社（ビジネス＋IT）</t>
        </is>
      </c>
      <c r="U500" s="15" t="inlineStr">
        <is>
          <t>https://www.sbbit.jp/eventinfo/90099</t>
        </is>
      </c>
      <c r="V500" s="10" t="n"/>
      <c r="W500" s="10" t="inlineStr">
        <is>
          <t>タイトル一致</t>
        </is>
      </c>
      <c r="X500" s="10" t="n"/>
    </row>
    <row r="501">
      <c r="A501" s="10" t="n">
        <v>500</v>
      </c>
      <c r="B501" s="11" t="n">
        <v>46282</v>
      </c>
      <c r="C501" s="11" t="n">
        <v>46282</v>
      </c>
      <c r="D501" s="10">
        <f>MONTH(B501)&amp;"月"</f>
        <v/>
      </c>
      <c r="E501" s="12" t="n">
        <v>1</v>
      </c>
      <c r="F501" s="10" t="n"/>
      <c r="G501" s="10" t="inlineStr">
        <is>
          <t>QubeMeetup【経営者交流会】AIエージェントの最前線を知る</t>
        </is>
      </c>
      <c r="H501" s="10" t="inlineStr">
        <is>
          <t>QubeMeetup 交流会事務局</t>
        </is>
      </c>
      <c r="I501" s="10" t="n"/>
      <c r="J501" s="10" t="inlineStr">
        <is>
          <t>こくちーずプロ</t>
        </is>
      </c>
      <c r="K501" s="10" t="inlineStr">
        <is>
          <t>オフライン（会場）</t>
        </is>
      </c>
      <c r="L501" s="10" t="inlineStr">
        <is>
          <t>株式会社シー・エス・エス 東京都品川区西五反田2-12-3 株式会社シー・エス・エス 会議室 6階</t>
        </is>
      </c>
      <c r="M501" s="10" t="inlineStr">
        <is>
          <t>生産性向上・業務効率化</t>
        </is>
      </c>
      <c r="N501" s="10" t="inlineStr">
        <is>
          <t>AIエージェント</t>
        </is>
      </c>
      <c r="O501" s="12" t="inlineStr">
        <is>
          <t>◎</t>
        </is>
      </c>
      <c r="P501" s="13" t="n"/>
      <c r="Q501" s="12" t="inlineStr">
        <is>
          <t>不明</t>
        </is>
      </c>
      <c r="R501" s="14" t="n"/>
      <c r="S501" s="10" t="n"/>
      <c r="T501" s="10" t="inlineStr">
        <is>
          <t>---------------------- ▼詳細・お申込みはこちら▼ https://qube-q.com/public/events/1658 ---------------------- 「あなたのAI顧問」黒山氏が登壇！Claude Codeを用いた経営ダッシュボードの構築をライブ実演します。業務を劇変させる最新AIエージェントの活用法や事例を学べるセミナーです。後半には飲食付きの交流会をご用意しており、経営者同士の新たな人脈</t>
        </is>
      </c>
      <c r="U501" s="15" t="inlineStr">
        <is>
          <t>https://www.kokuchpro.com/event/19114101af02cdd18dbb55935cc78d87/</t>
        </is>
      </c>
      <c r="V501" s="10" t="n"/>
      <c r="W501" s="10" t="inlineStr">
        <is>
          <t>タイトル一致</t>
        </is>
      </c>
      <c r="X501" s="10" t="n"/>
    </row>
    <row r="502">
      <c r="A502" s="10" t="n">
        <v>501</v>
      </c>
      <c r="B502" s="11" t="n">
        <v>46282</v>
      </c>
      <c r="C502" s="11" t="n">
        <v>46282</v>
      </c>
      <c r="D502" s="10">
        <f>MONTH(B502)&amp;"月"</f>
        <v/>
      </c>
      <c r="E502" s="12" t="n">
        <v>1</v>
      </c>
      <c r="F502" s="10" t="n"/>
      <c r="G502" s="10" t="inlineStr">
        <is>
          <t>【AI導入を阻む4つの壁】なぜ、AIエージェントはPoCで止まるのか ～「動くデモ」から「業務を任せられる仕組み」へ、AI・コード・人の役割分担と本番運用の設計～</t>
        </is>
      </c>
      <c r="H502" s="10" t="inlineStr">
        <is>
          <t>スパイスファクトリー株式会社</t>
        </is>
      </c>
      <c r="I502" s="10" t="inlineStr">
        <is>
          <t>マジセミ株式会社</t>
        </is>
      </c>
      <c r="J502" s="10" t="inlineStr">
        <is>
          <t>Doorkeeper</t>
        </is>
      </c>
      <c r="K502" s="10" t="inlineStr">
        <is>
          <t>不明</t>
        </is>
      </c>
      <c r="L502" s="10" t="n"/>
      <c r="M502" s="10" t="inlineStr">
        <is>
          <t>生産性向上・業務効率化</t>
        </is>
      </c>
      <c r="N502" s="10" t="inlineStr">
        <is>
          <t>AIエージェント</t>
        </is>
      </c>
      <c r="O502" s="12" t="inlineStr">
        <is>
          <t>◎</t>
        </is>
      </c>
      <c r="P502" s="13" t="n">
        <v>0</v>
      </c>
      <c r="Q502" s="12" t="inlineStr">
        <is>
          <t>参加者数</t>
        </is>
      </c>
      <c r="R502" s="14" t="n"/>
      <c r="S502" s="10" t="n"/>
      <c r="T502"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AIエージェントの本番活用が問われ始めた 生成AIの活用が企業の重要テーマとなるなか、次の段階としてAIエージェントを業務に組み込む動きが広がっています。PoCでは、問い合わせ対応や文書作成、情報整理な</t>
        </is>
      </c>
      <c r="U502" s="15" t="inlineStr">
        <is>
          <t>https://majisemi-technology.doorkeeper.jp/events/199078</t>
        </is>
      </c>
      <c r="V502" s="10" t="n"/>
      <c r="W502" s="10" t="inlineStr">
        <is>
          <t>タイトル一致</t>
        </is>
      </c>
      <c r="X502" s="10" t="n"/>
    </row>
    <row r="503">
      <c r="A503" s="10" t="n">
        <v>502</v>
      </c>
      <c r="B503" s="11" t="n">
        <v>46282</v>
      </c>
      <c r="C503" s="11" t="n">
        <v>46282</v>
      </c>
      <c r="D503" s="10">
        <f>MONTH(B503)&amp;"月"</f>
        <v/>
      </c>
      <c r="E503" s="12" t="n">
        <v>1</v>
      </c>
      <c r="F503" s="10" t="n"/>
      <c r="G503" s="10" t="inlineStr">
        <is>
          <t>【ももスタ】「明日から使える」AI解体新書</t>
        </is>
      </c>
      <c r="H503" s="10" t="inlineStr">
        <is>
          <t>株式会社ATOMica</t>
        </is>
      </c>
      <c r="I503" s="10" t="n"/>
      <c r="J503" s="10" t="inlineStr">
        <is>
          <t>こくちーずプロ</t>
        </is>
      </c>
      <c r="K503" s="10" t="inlineStr">
        <is>
          <t>オフライン（会場）</t>
        </is>
      </c>
      <c r="L503" s="10" t="inlineStr">
        <is>
          <t>ももたろう・スタートアップカフェ 岡山県岡山市北区駅前町1丁目8番地18号 イコットニコット2階</t>
        </is>
      </c>
      <c r="M503" s="10" t="inlineStr">
        <is>
          <t>生産管理・製造・SCM</t>
        </is>
      </c>
      <c r="N503" s="10" t="inlineStr">
        <is>
          <t>AIエージェント</t>
        </is>
      </c>
      <c r="O503" s="12" t="inlineStr">
        <is>
          <t>○</t>
        </is>
      </c>
      <c r="P503" s="13" t="n">
        <v>1</v>
      </c>
      <c r="Q503" s="12" t="inlineStr">
        <is>
          <t>イベント参加 1/15</t>
        </is>
      </c>
      <c r="R503" s="14" t="n">
        <v>15</v>
      </c>
      <c r="S503" s="10" t="n"/>
      <c r="T503" s="10" t="inlineStr">
        <is>
          <t>「AIに興味はあるけれど、何から始めればいいか分からない」「自社の業務にどう活かせる？」そんなモヤモヤを解消するイベントを開催します！ 地方・中小企業のAI導入を支えるプロと、最先端の「AIエージェント（Claude Code等）」を駆使する実践者たちが登壇。従来のチャット型AIから次世代エージェント型AIへの進化、コワーキングスペースでの生デモ、地方・中小企業が選ぶべきツールなど、教科書には載っていない「現場のリアル」を熱く語り尽くし</t>
        </is>
      </c>
      <c r="U503" s="15" t="inlineStr">
        <is>
          <t>https://www.kokuchpro.com/event/a5d486152004a57a8d1ab3726bc9a49d/</t>
        </is>
      </c>
      <c r="V503" s="10" t="n"/>
      <c r="W503" s="10" t="inlineStr">
        <is>
          <t>本文一致</t>
        </is>
      </c>
      <c r="X503" s="10" t="n"/>
    </row>
    <row r="504">
      <c r="A504" s="10" t="n">
        <v>503</v>
      </c>
      <c r="B504" s="11" t="n">
        <v>46282</v>
      </c>
      <c r="C504" s="11" t="n">
        <v>46282</v>
      </c>
      <c r="D504" s="10">
        <f>MONTH(B504)&amp;"月"</f>
        <v/>
      </c>
      <c r="E504" s="12" t="n">
        <v>1</v>
      </c>
      <c r="F504" s="10" t="n"/>
      <c r="G504" s="10" t="inlineStr">
        <is>
          <t>【オンラインセミナー】AmiVoice×AWS「認識率」だけで選んでいませんか？AIエージェント時代に求められる、音声認識活用の新常識【9月17日（木）共催】</t>
        </is>
      </c>
      <c r="H504" s="10" t="inlineStr">
        <is>
          <t>株式会社アドバンスト・メディア</t>
        </is>
      </c>
      <c r="I504" s="10" t="n"/>
      <c r="J504" s="10" t="inlineStr">
        <is>
          <t>PR TIMES</t>
        </is>
      </c>
      <c r="K504" s="10" t="inlineStr">
        <is>
          <t>online</t>
        </is>
      </c>
      <c r="L504" s="10" t="inlineStr">
        <is>
          <t>オンライン（Zoom）</t>
        </is>
      </c>
      <c r="M504" s="10" t="inlineStr">
        <is>
          <t>技術・AI全般</t>
        </is>
      </c>
      <c r="N504" s="10" t="inlineStr">
        <is>
          <t>AIエージェント</t>
        </is>
      </c>
      <c r="O504" s="12" t="inlineStr">
        <is>
          <t>○</t>
        </is>
      </c>
      <c r="P504" s="13" t="n"/>
      <c r="Q504" s="12" t="inlineStr">
        <is>
          <t>不明</t>
        </is>
      </c>
      <c r="R504" s="14" t="n"/>
      <c r="S504" s="10" t="n"/>
      <c r="T504" s="10" t="inlineStr">
        <is>
          <t>2026年9月17日（木）、株式会社アドバンスト・メディア（本社：東京都豊島区、代表取締役会長兼社長：鈴木清幸 以下、アドバンスト・メディア）は、オンラインセミナー「AmiVoice×AWS『認識率』だけで選んでいませんか？AIエージェント時代に求められる、音声認識活用の新常識」を共催いたします。 詳細・お申込みはこちら 本セミナーでは、AWSの生成AIサービスの最新動向とAmiVoice APIの機能・活用事例を通じて、AIエージェン</t>
        </is>
      </c>
      <c r="U504" s="15" t="inlineStr">
        <is>
          <t>https://prtimes.jp/main/html/rd/p/000000806.000020223.html</t>
        </is>
      </c>
      <c r="V504" s="10" t="n"/>
      <c r="W504" s="10" t="inlineStr">
        <is>
          <t>タイトル一致</t>
        </is>
      </c>
      <c r="X504" s="10" t="n"/>
    </row>
    <row r="505">
      <c r="A505" s="10" t="n">
        <v>504</v>
      </c>
      <c r="B505" s="11" t="n">
        <v>46282</v>
      </c>
      <c r="C505" s="11" t="n">
        <v>46282</v>
      </c>
      <c r="D505" s="10">
        <f>MONTH(B505)&amp;"月"</f>
        <v/>
      </c>
      <c r="E505" s="12" t="n">
        <v>1</v>
      </c>
      <c r="F505" s="10" t="n"/>
      <c r="G505" s="10" t="inlineStr">
        <is>
          <t>【シーメンスエキスパートトーク 第6弾】インダストリアルAIはなぜPoCで止まるのか ～ERP・PLM・MESに分断された産業データを三層統合し、AIが考えて動く基盤へ～</t>
        </is>
      </c>
      <c r="H505" s="10" t="inlineStr">
        <is>
          <t>シーメンス株式会社 株式会社マクニカ</t>
        </is>
      </c>
      <c r="I505" s="10" t="inlineStr">
        <is>
          <t>シーメンス株式会社 株式会社マクニカ</t>
        </is>
      </c>
      <c r="J505" s="10" t="inlineStr">
        <is>
          <t>Doorkeeper</t>
        </is>
      </c>
      <c r="K505" s="10" t="inlineStr">
        <is>
          <t>不明</t>
        </is>
      </c>
      <c r="L505" s="10" t="n"/>
      <c r="M505" s="10" t="inlineStr">
        <is>
          <t>生産管理・製造・SCM</t>
        </is>
      </c>
      <c r="N505" s="10" t="inlineStr">
        <is>
          <t>AIエージェント</t>
        </is>
      </c>
      <c r="O505" s="12" t="inlineStr">
        <is>
          <t>○</t>
        </is>
      </c>
      <c r="P505" s="13" t="n">
        <v>0</v>
      </c>
      <c r="Q505" s="12" t="inlineStr">
        <is>
          <t>参加者数</t>
        </is>
      </c>
      <c r="R505" s="14" t="n"/>
      <c r="S505" s="10" t="n"/>
      <c r="T505"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PoCは成功しても、AIが現場の業務で使われない 生成AIやAIエージェントへの期待が高まり、製造業でもさまざまな検証が進められています。一方で、PoCでは一定の成果が得られても、実際の業務プロセスには</t>
        </is>
      </c>
      <c r="U505" s="15" t="inlineStr">
        <is>
          <t>https://majisemi-manufacturing.doorkeeper.jp/events/198802</t>
        </is>
      </c>
      <c r="V505" s="10" t="n"/>
      <c r="W505" s="10" t="inlineStr">
        <is>
          <t>本文一致</t>
        </is>
      </c>
      <c r="X505" s="10" t="n"/>
    </row>
    <row r="506">
      <c r="A506" s="10" t="n">
        <v>505</v>
      </c>
      <c r="B506" s="11" t="n">
        <v>46282</v>
      </c>
      <c r="C506" s="11" t="n">
        <v>46282</v>
      </c>
      <c r="D506" s="10">
        <f>MONTH(B506)&amp;"月"</f>
        <v/>
      </c>
      <c r="E506" s="12" t="n">
        <v>1</v>
      </c>
      <c r="F506" s="10" t="n"/>
      <c r="G506" s="10" t="inlineStr">
        <is>
          <t>【セミナー開催】「AI導入を阻む4つの壁」なぜ、AIエージェントはPoCで止まるのか</t>
        </is>
      </c>
      <c r="H506" s="10" t="inlineStr">
        <is>
          <t>スパイスファクトリー株式会社</t>
        </is>
      </c>
      <c r="I506" s="10" t="n"/>
      <c r="J506" s="10" t="inlineStr">
        <is>
          <t>PR TIMES</t>
        </is>
      </c>
      <c r="K506" s="10" t="inlineStr">
        <is>
          <t>online</t>
        </is>
      </c>
      <c r="L506" s="10" t="inlineStr">
        <is>
          <t>Zoom（URLは参加者へ直前にメールにてご連絡いたします）</t>
        </is>
      </c>
      <c r="M506" s="10" t="inlineStr">
        <is>
          <t>技術・AI全般</t>
        </is>
      </c>
      <c r="N506" s="10" t="inlineStr">
        <is>
          <t>AIエージェント</t>
        </is>
      </c>
      <c r="O506" s="12" t="inlineStr">
        <is>
          <t>○</t>
        </is>
      </c>
      <c r="P506" s="13" t="n"/>
      <c r="Q506" s="12" t="inlineStr">
        <is>
          <t>定員</t>
        </is>
      </c>
      <c r="R506" s="14" t="n">
        <v>50</v>
      </c>
      <c r="S506" s="10" t="n"/>
      <c r="T506" s="10" t="inlineStr">
        <is>
          <t>主催：スパイスファクトリー株式会社｜協力：マジセミ株式会社 デジタル・トランスフォーメーションを⽀援するスパイスファクトリー株式会社（本社：東京都港区、代表取締役CEO：高木 広之介、以下「当社」 ）は、2026年7月より9月にかけて3回にわたり、無料のWebセミナーを開催しています。ご好評をいただいている本セミナーシリーズもいよいよ最終回。今回は、「【AI導入を阻む4つの壁】なぜ、AIエージェントはPoCで止まるのか」をテーマに、AI</t>
        </is>
      </c>
      <c r="U506" s="15" t="inlineStr">
        <is>
          <t>https://prtimes.jp/main/html/rd/p/000000211.000022779.html</t>
        </is>
      </c>
      <c r="V506" s="10" t="n"/>
      <c r="W506" s="10" t="inlineStr">
        <is>
          <t>タイトル一致</t>
        </is>
      </c>
      <c r="X506" s="10" t="n"/>
    </row>
    <row r="507">
      <c r="A507" s="10" t="n">
        <v>506</v>
      </c>
      <c r="B507" s="11" t="n">
        <v>46282</v>
      </c>
      <c r="C507" s="11" t="n">
        <v>46282</v>
      </c>
      <c r="D507" s="10">
        <f>MONTH(B507)&amp;"月"</f>
        <v/>
      </c>
      <c r="E507" s="12" t="n">
        <v>1</v>
      </c>
      <c r="F507" s="10" t="n"/>
      <c r="G507" s="10" t="inlineStr">
        <is>
          <t>【無料・リザストユーザー向け】リザスト×Codex 講座を売上につなげるAI活用セミナー</t>
        </is>
      </c>
      <c r="H507" s="10" t="inlineStr">
        <is>
          <t>杉山眞利 リザスト×AI活用事務局</t>
        </is>
      </c>
      <c r="I507" s="10" t="n"/>
      <c r="J507" s="10" t="inlineStr">
        <is>
          <t>こくちーずプロ</t>
        </is>
      </c>
      <c r="K507" s="10" t="inlineStr">
        <is>
          <t>オンライン</t>
        </is>
      </c>
      <c r="L507" s="10" t="inlineStr">
        <is>
          <t>オンライン 日本</t>
        </is>
      </c>
      <c r="M507" s="10" t="inlineStr">
        <is>
          <t>開発生産性</t>
        </is>
      </c>
      <c r="N507" s="10" t="inlineStr">
        <is>
          <t>AIエージェント</t>
        </is>
      </c>
      <c r="O507" s="12" t="inlineStr">
        <is>
          <t>○</t>
        </is>
      </c>
      <c r="P507" s="13" t="n">
        <v>0</v>
      </c>
      <c r="Q507" s="12" t="inlineStr">
        <is>
          <t>イベント参加 0/10</t>
        </is>
      </c>
      <c r="R507" s="14" t="n">
        <v>10</v>
      </c>
      <c r="S507" s="10" t="n"/>
      <c r="T507" s="10" t="inlineStr">
        <is>
          <t>AIを使っているのに、売上につながらない方へ リザストで届けたい講座や商品はある。ChatGPTなどのAIも使っている。 それなのに、LP、バナー、メルマガ、スライドなど、やることが多すぎて募集が進まない。案内を出しても、思うように申込みや売上につながらない。 そんなことはありませんか？ この無料セミナーでは、Codexを 「自分専用AI実務チーム」 として取り入れ、売上から逆算して、いま動かす仕事を決めるための3つの本質をお伝えします</t>
        </is>
      </c>
      <c r="U507" s="15" t="inlineStr">
        <is>
          <t>https://www.kokuchpro.com/event/bcc1f484aba4f4cb008d5ef9e357d950/3892173/</t>
        </is>
      </c>
      <c r="V507" s="10" t="n"/>
      <c r="W507" s="10" t="inlineStr">
        <is>
          <t>タイトル一致</t>
        </is>
      </c>
      <c r="X507" s="10" t="n"/>
    </row>
    <row r="508">
      <c r="A508" s="10" t="n">
        <v>507</v>
      </c>
      <c r="B508" s="11" t="n">
        <v>46282</v>
      </c>
      <c r="C508" s="11" t="n">
        <v>46282</v>
      </c>
      <c r="D508" s="10">
        <f>MONTH(B508)&amp;"月"</f>
        <v/>
      </c>
      <c r="E508" s="12" t="n">
        <v>1</v>
      </c>
      <c r="F508" s="10" t="n"/>
      <c r="G508" s="10" t="inlineStr">
        <is>
          <t>エンジニアの日常業務を効率化！Claude Codeを「使うほど育つ」AI秘書にするノウハウ</t>
        </is>
      </c>
      <c r="H508" s="10" t="inlineStr">
        <is>
          <t>ファインディ／Findy</t>
        </is>
      </c>
      <c r="I508" s="10" t="n"/>
      <c r="J508" s="10" t="inlineStr">
        <is>
          <t>connpass</t>
        </is>
      </c>
      <c r="K508" s="10" t="inlineStr">
        <is>
          <t>オンライン</t>
        </is>
      </c>
      <c r="L508" s="10" t="inlineStr">
        <is>
          <t>オンライン</t>
        </is>
      </c>
      <c r="M508" s="10" t="inlineStr">
        <is>
          <t>生産性向上・業務効率化</t>
        </is>
      </c>
      <c r="N508" s="10" t="inlineStr">
        <is>
          <t>AIエージェント</t>
        </is>
      </c>
      <c r="O508" s="12" t="inlineStr">
        <is>
          <t>◎</t>
        </is>
      </c>
      <c r="P508" s="13" t="n">
        <v>1016</v>
      </c>
      <c r="Q508" s="12" t="inlineStr">
        <is>
          <t>参加者数</t>
        </is>
      </c>
      <c r="R508" s="14" t="n"/>
      <c r="S508" s="10" t="n"/>
      <c r="T508" s="10" t="n"/>
      <c r="U508" s="15" t="inlineStr">
        <is>
          <t>https://findy.connpass.com/event/403958/</t>
        </is>
      </c>
      <c r="V508" s="10" t="n"/>
      <c r="W508" s="10" t="inlineStr">
        <is>
          <t>タイトル一致</t>
        </is>
      </c>
      <c r="X508" s="10" t="n"/>
    </row>
    <row r="509">
      <c r="A509" s="10" t="n">
        <v>508</v>
      </c>
      <c r="B509" s="11" t="n">
        <v>46282</v>
      </c>
      <c r="C509" s="11" t="n">
        <v>46282</v>
      </c>
      <c r="D509" s="10">
        <f>MONTH(B509)&amp;"月"</f>
        <v/>
      </c>
      <c r="E509" s="12" t="n">
        <v>1</v>
      </c>
      <c r="F509" s="10" t="n"/>
      <c r="G509" s="10" t="inlineStr">
        <is>
          <t>オンプレの情報資産を生成AIで活用 QuickSolution × AWS で 社内横断検索とRAGを実現</t>
        </is>
      </c>
      <c r="H509" s="10" t="inlineStr">
        <is>
          <t>「QuickSolution」紹介ウェビナー担当</t>
        </is>
      </c>
      <c r="I509" s="10" t="n"/>
      <c r="J509" s="10" t="inlineStr">
        <is>
          <t>こくちーずプロ</t>
        </is>
      </c>
      <c r="K509" s="10" t="inlineStr">
        <is>
          <t>オンライン</t>
        </is>
      </c>
      <c r="L509" s="10" t="inlineStr">
        <is>
          <t>オンライン 日本</t>
        </is>
      </c>
      <c r="M509" s="10" t="inlineStr">
        <is>
          <t>生産性向上・業務効率化</t>
        </is>
      </c>
      <c r="N509" s="10" t="inlineStr">
        <is>
          <t>AIエージェント</t>
        </is>
      </c>
      <c r="O509" s="12" t="inlineStr">
        <is>
          <t>○</t>
        </is>
      </c>
      <c r="P509" s="13" t="n"/>
      <c r="Q509" s="12" t="inlineStr">
        <is>
          <t>不明</t>
        </is>
      </c>
      <c r="R509" s="14" t="n"/>
      <c r="S509" s="10" t="n"/>
      <c r="T509" s="10" t="inlineStr">
        <is>
          <t>オンプレの情報資産を生成AIで活用 QuickSolution × AWS で 社内横断検索とRAGを実現 住友電工情報システム × ゼネックコミュニケーション 共催ウェビナー ファイルサーバや各種社内システムに蓄積された過去の資料、規定集、マニュアルなどを生成AIやAIエージェントで有効活用したい──その一方で、「情報が点在しており、体系的に管理できていない」「生成AI環境が準備できていない」といった課題があるようです。 本ウェビナー</t>
        </is>
      </c>
      <c r="U509" s="15" t="inlineStr">
        <is>
          <t>https://www.kokuchpro.com/event/3bc0a9728e56d9f00ca049e3b0aa6965/</t>
        </is>
      </c>
      <c r="V509" s="10" t="n"/>
      <c r="W509" s="10" t="inlineStr">
        <is>
          <t>本文一致</t>
        </is>
      </c>
      <c r="X509" s="10" t="n"/>
    </row>
    <row r="510">
      <c r="A510" s="10" t="n">
        <v>509</v>
      </c>
      <c r="B510" s="11" t="n">
        <v>46282</v>
      </c>
      <c r="C510" s="11" t="n">
        <v>46282</v>
      </c>
      <c r="D510" s="10">
        <f>MONTH(B510)&amp;"月"</f>
        <v/>
      </c>
      <c r="E510" s="12" t="n">
        <v>1</v>
      </c>
      <c r="F510" s="10" t="n"/>
      <c r="G510" s="10" t="inlineStr">
        <is>
          <t>人手不足時代の電話業務をもっと効率的に、AIが変える電話業務改革！～工数削減と顧客満足度向上を実現するDXでんわとは？～</t>
        </is>
      </c>
      <c r="H510" s="10" t="inlineStr">
        <is>
          <t>マジセミ</t>
        </is>
      </c>
      <c r="I510" s="10" t="inlineStr">
        <is>
          <t>日本テレネット株式会社 メディアリンク株式会社</t>
        </is>
      </c>
      <c r="J510" s="10" t="inlineStr">
        <is>
          <t>Doorkeeper</t>
        </is>
      </c>
      <c r="K510" s="10" t="inlineStr">
        <is>
          <t>オンライン</t>
        </is>
      </c>
      <c r="L510" s="10" t="inlineStr">
        <is>
          <t>Webセミナー（URLは主催企業からメールでお知らせします） オンライン</t>
        </is>
      </c>
      <c r="M510" s="10" t="inlineStr">
        <is>
          <t>営業・マーケ・CS</t>
        </is>
      </c>
      <c r="N510" s="10" t="inlineStr">
        <is>
          <t>AIエージェント</t>
        </is>
      </c>
      <c r="O510" s="12" t="inlineStr">
        <is>
          <t>○</t>
        </is>
      </c>
      <c r="P510" s="13" t="n">
        <v>1</v>
      </c>
      <c r="Q510" s="12" t="inlineStr">
        <is>
          <t>参加者数</t>
        </is>
      </c>
      <c r="R510" s="14" t="n">
        <v>10</v>
      </c>
      <c r="S510" s="10" t="n"/>
      <c r="T510" s="10" t="inlineStr">
        <is>
          <t xml:space="preserve"> 本セミナーはWebセミナーです 参加方法（URL）は主催企業より直接メールにてご連絡いたします。 【メディアリンク株式会社×日本テレネット株式会社共催ウェビナー開催】​​ 「電話が鳴るたびに業務が中断される」 「問い合わせ対応の際にスムーズな取次ができず、顧客を待たせてしまう」 「人手不足で電話対応の負担が増え続けている」 このような悩みを抱えていませんか？ 近年の電話業務はお問い合わせ対応や取次業務に時間を取られるだけでなく、対応の</t>
        </is>
      </c>
      <c r="U510" s="15" t="inlineStr">
        <is>
          <t>https://majisemi-business.doorkeeper.jp/events/199051</t>
        </is>
      </c>
      <c r="V510" s="10" t="n"/>
      <c r="W510" s="10" t="inlineStr">
        <is>
          <t>本文一致</t>
        </is>
      </c>
      <c r="X510" s="10" t="n"/>
    </row>
    <row r="511">
      <c r="A511" s="10" t="n">
        <v>510</v>
      </c>
      <c r="B511" s="11" t="n">
        <v>46282</v>
      </c>
      <c r="C511" s="11" t="n">
        <v>46282</v>
      </c>
      <c r="D511" s="10">
        <f>MONTH(B511)&amp;"月"</f>
        <v/>
      </c>
      <c r="E511" s="12" t="n">
        <v>1</v>
      </c>
      <c r="F511" s="10" t="n"/>
      <c r="G511" s="10" t="inlineStr">
        <is>
          <t>小澤健祐氏が登壇する「SuperStreamフォーラム2026」を開催　「AIエージェントで進む業務変革」をテーマにバックオフィス変革の実践的手法を紹介</t>
        </is>
      </c>
      <c r="H511" s="10" t="inlineStr">
        <is>
          <t>キヤノンITソリューションズ株式会社</t>
        </is>
      </c>
      <c r="I511" s="10" t="n"/>
      <c r="J511" s="10" t="inlineStr">
        <is>
          <t>PR TIMES</t>
        </is>
      </c>
      <c r="K511" s="10" t="inlineStr">
        <is>
          <t>online</t>
        </is>
      </c>
      <c r="L511" s="10" t="inlineStr">
        <is>
          <t>オンライン（Zoom）※視聴方法はお申し込み後にメールで通知します。</t>
        </is>
      </c>
      <c r="M511" s="10" t="inlineStr">
        <is>
          <t>生産性向上・業務効率化</t>
        </is>
      </c>
      <c r="N511" s="10" t="inlineStr">
        <is>
          <t>AIエージェント</t>
        </is>
      </c>
      <c r="O511" s="12" t="inlineStr">
        <is>
          <t>◎</t>
        </is>
      </c>
      <c r="P511" s="13" t="n"/>
      <c r="Q511" s="12" t="inlineStr">
        <is>
          <t>不明</t>
        </is>
      </c>
      <c r="R511" s="14" t="n"/>
      <c r="S511" s="10" t="n"/>
      <c r="T511" s="10" t="inlineStr">
        <is>
          <t>キヤノンマーケティングジャパングループのキヤノンITソリューションズ株式会社（本社：東京都港区、代表取締役社長：須山寛、以下キヤノンITS）は、ソリューションパートナーとの共創によるオンラインイベント「SuperStreamフォーラム2026 ～AIエージェントで進む業務変革｜『使う』から『任せる』に～」を開催します。 AIが価値を発揮する領域、業務標準化・システム化により解決すべき領域、人が判断すべき領域を整理しながら、バックオフィス</t>
        </is>
      </c>
      <c r="U511" s="15" t="inlineStr">
        <is>
          <t>https://prtimes.jp/main/html/rd/p/000001044.000001375.html</t>
        </is>
      </c>
      <c r="V511" s="10" t="n"/>
      <c r="W511" s="10" t="inlineStr">
        <is>
          <t>タイトル一致</t>
        </is>
      </c>
      <c r="X511" s="10" t="n"/>
    </row>
    <row r="512">
      <c r="A512" s="10" t="n">
        <v>511</v>
      </c>
      <c r="B512" s="11" t="n">
        <v>46283</v>
      </c>
      <c r="C512" s="11" t="n">
        <v>46283</v>
      </c>
      <c r="D512" s="10">
        <f>MONTH(B512)&amp;"月"</f>
        <v/>
      </c>
      <c r="E512" s="12" t="n">
        <v>1</v>
      </c>
      <c r="F512" s="10" t="n"/>
      <c r="G512" s="10" t="inlineStr">
        <is>
          <t>AIエージェント勉強会 in 安城</t>
        </is>
      </c>
      <c r="H512" s="10" t="inlineStr">
        <is>
          <t>デジサポ</t>
        </is>
      </c>
      <c r="I512" s="10" t="n"/>
      <c r="J512" s="10" t="inlineStr">
        <is>
          <t>connpass</t>
        </is>
      </c>
      <c r="K512" s="10" t="inlineStr">
        <is>
          <t>会場</t>
        </is>
      </c>
      <c r="L512" s="10" t="inlineStr">
        <is>
          <t>愛知県安城市御幸本町504番地1</t>
        </is>
      </c>
      <c r="M512" s="10" t="inlineStr">
        <is>
          <t>技術・AI全般</t>
        </is>
      </c>
      <c r="N512" s="10" t="inlineStr">
        <is>
          <t>AIエージェント</t>
        </is>
      </c>
      <c r="O512" s="12" t="inlineStr">
        <is>
          <t>○</t>
        </is>
      </c>
      <c r="P512" s="13" t="n">
        <v>2</v>
      </c>
      <c r="Q512" s="12" t="inlineStr">
        <is>
          <t>参加者数</t>
        </is>
      </c>
      <c r="R512" s="14" t="n">
        <v>5</v>
      </c>
      <c r="S512" s="10" t="n"/>
      <c r="T512" s="10" t="n"/>
      <c r="U512" s="15" t="inlineStr">
        <is>
          <t>https://connpass.com/event/403896/</t>
        </is>
      </c>
      <c r="V512" s="10" t="n"/>
      <c r="W512" s="10" t="inlineStr">
        <is>
          <t>タイトル一致</t>
        </is>
      </c>
      <c r="X512" s="10" t="n"/>
    </row>
    <row r="513">
      <c r="A513" s="10" t="n">
        <v>512</v>
      </c>
      <c r="B513" s="11" t="n">
        <v>46283</v>
      </c>
      <c r="C513" s="11" t="n">
        <v>46283</v>
      </c>
      <c r="D513" s="10">
        <f>MONTH(B513)&amp;"月"</f>
        <v/>
      </c>
      <c r="E513" s="12" t="n">
        <v>1</v>
      </c>
      <c r="F513" s="10" t="n"/>
      <c r="G513" s="10" t="inlineStr">
        <is>
          <t>DX&amp;AI Forum 2026 Fall 東京</t>
        </is>
      </c>
      <c r="H513" s="10" t="inlineStr">
        <is>
          <t>SBクリエイティブ株式会社（ビジネス＋IT）</t>
        </is>
      </c>
      <c r="I513" s="10" t="n"/>
      <c r="J513" s="10" t="inlineStr">
        <is>
          <t>ビジネス+IT</t>
        </is>
      </c>
      <c r="K513" s="10" t="inlineStr">
        <is>
          <t>offline</t>
        </is>
      </c>
      <c r="L513" s="10" t="inlineStr">
        <is>
          <t>東京都</t>
        </is>
      </c>
      <c r="M513" s="10" t="inlineStr">
        <is>
          <t>生産性向上・業務効率化</t>
        </is>
      </c>
      <c r="N513" s="10" t="inlineStr">
        <is>
          <t>AIエージェント</t>
        </is>
      </c>
      <c r="O513" s="12" t="inlineStr">
        <is>
          <t>○</t>
        </is>
      </c>
      <c r="P513" s="13" t="n"/>
      <c r="Q513" s="12" t="inlineStr">
        <is>
          <t>不明</t>
        </is>
      </c>
      <c r="R513" s="14" t="n"/>
      <c r="S513" s="10" t="n"/>
      <c r="T513" s="10" t="inlineStr">
        <is>
          <t>世界的な地政学リスクと経済安全保障問題、AI主権をめぐるAI開発競争など、厳しさを増す経済環境の中、日本企業は生き残りをかけた変革を迫られています。一方でAIは、自ら考え行動するエージェンティックAIや現実世界で動くフィジカルAIへと進化し、人とAIが協調し稼働する「自律型社会」が、AGI（汎用人工知能）の実現を視野にいよいよ現実となろうとしています。日本企業がAIやデジタルを融合した「AX戦略」で「再成長」へ向かうには、今、何が必要で</t>
        </is>
      </c>
      <c r="U513" s="15" t="inlineStr">
        <is>
          <t>https://www.sbbit.jp/eventinfo/88473</t>
        </is>
      </c>
      <c r="V513" s="10" t="n"/>
      <c r="W513" s="10" t="inlineStr">
        <is>
          <t>本文一致</t>
        </is>
      </c>
      <c r="X513" s="10" t="n"/>
    </row>
    <row r="514">
      <c r="A514" s="10" t="n">
        <v>513</v>
      </c>
      <c r="B514" s="11" t="n">
        <v>46283</v>
      </c>
      <c r="C514" s="11" t="n">
        <v>46283</v>
      </c>
      <c r="D514" s="10">
        <f>MONTH(B514)&amp;"月"</f>
        <v/>
      </c>
      <c r="E514" s="12" t="n">
        <v>1</v>
      </c>
      <c r="F514" s="10" t="n"/>
      <c r="G514" s="10" t="inlineStr">
        <is>
          <t>[好評につき増員しました] [AIエージェント] 秋のLT大会</t>
        </is>
      </c>
      <c r="H514" s="10" t="inlineStr">
        <is>
          <t>ML女子部 (男性も大歓迎!) - Women in ML -</t>
        </is>
      </c>
      <c r="I514" s="10" t="n"/>
      <c r="J514" s="10" t="inlineStr">
        <is>
          <t>connpass</t>
        </is>
      </c>
      <c r="K514" s="10" t="inlineStr">
        <is>
          <t>会場</t>
        </is>
      </c>
      <c r="L514" s="10" t="inlineStr">
        <is>
          <t>(場所未定)</t>
        </is>
      </c>
      <c r="M514" s="10" t="inlineStr">
        <is>
          <t>技術・AI全般</t>
        </is>
      </c>
      <c r="N514" s="10" t="inlineStr">
        <is>
          <t>AIエージェント</t>
        </is>
      </c>
      <c r="O514" s="12" t="inlineStr">
        <is>
          <t>○</t>
        </is>
      </c>
      <c r="P514" s="13" t="n">
        <v>63</v>
      </c>
      <c r="Q514" s="12" t="inlineStr">
        <is>
          <t>参加者数</t>
        </is>
      </c>
      <c r="R514" s="14" t="n">
        <v>70</v>
      </c>
      <c r="S514" s="10" t="n"/>
      <c r="T514" s="10" t="n"/>
      <c r="U514" s="15" t="inlineStr">
        <is>
          <t>https://women-ml.connpass.com/event/400784/</t>
        </is>
      </c>
      <c r="V514" s="10" t="n"/>
      <c r="W514" s="10" t="inlineStr">
        <is>
          <t>タイトル一致</t>
        </is>
      </c>
      <c r="X514" s="10" t="n"/>
    </row>
    <row r="515">
      <c r="A515" s="10" t="n">
        <v>514</v>
      </c>
      <c r="B515" s="11" t="n">
        <v>46283</v>
      </c>
      <c r="C515" s="11" t="n">
        <v>46283</v>
      </c>
      <c r="D515" s="10">
        <f>MONTH(B515)&amp;"月"</f>
        <v/>
      </c>
      <c r="E515" s="12" t="n">
        <v>1</v>
      </c>
      <c r="F515" s="10" t="n"/>
      <c r="G515" s="10" t="inlineStr">
        <is>
          <t>「経営者向け」「AIを使う」から「AIに仕事を任せる」へ 〜GPT-6 Astraで始まるAI社員時代〜</t>
        </is>
      </c>
      <c r="H515" s="10" t="inlineStr">
        <is>
          <t>AIバード事務局</t>
        </is>
      </c>
      <c r="I515" s="10" t="n"/>
      <c r="J515" s="10" t="inlineStr">
        <is>
          <t>こくちーずプロ</t>
        </is>
      </c>
      <c r="K515" s="10" t="inlineStr">
        <is>
          <t>オンライン</t>
        </is>
      </c>
      <c r="L515" s="10" t="inlineStr">
        <is>
          <t>オンライン 日本</t>
        </is>
      </c>
      <c r="M515" s="10" t="inlineStr">
        <is>
          <t>生産性向上・業務効率化</t>
        </is>
      </c>
      <c r="N515" s="10" t="inlineStr">
        <is>
          <t>AIエージェント</t>
        </is>
      </c>
      <c r="O515" s="12" t="inlineStr">
        <is>
          <t>○</t>
        </is>
      </c>
      <c r="P515" s="13" t="n">
        <v>0</v>
      </c>
      <c r="Q515" s="12" t="inlineStr">
        <is>
          <t>イベント参加 0/30</t>
        </is>
      </c>
      <c r="R515" s="14" t="n">
        <v>30</v>
      </c>
      <c r="S515" s="10" t="n"/>
      <c r="T515" s="10" t="inlineStr">
        <is>
          <t>OpenAIが、次期最上位モデル「GPT-6 Astra」を発表 しました。 ---- ⚠ お申込みについて------------------------------------------------------- 本ウェビナーのお申込みは、以下の 専用ページ にて受け付けております。 恐れ入りますが、本ページからではなく、下記URLよりお申込みください。 ▼ お申込みはこちら kensyu-aibird.github.io/ai-</t>
        </is>
      </c>
      <c r="U515" s="15" t="inlineStr">
        <is>
          <t>https://www.kokuchpro.com/event/07a78d1f2f5f2736a0475c6752341a2e/</t>
        </is>
      </c>
      <c r="V515" s="10" t="n"/>
      <c r="W515" s="10" t="inlineStr">
        <is>
          <t>本文一致</t>
        </is>
      </c>
      <c r="X515" s="10" t="n"/>
    </row>
    <row r="516">
      <c r="A516" s="10" t="n">
        <v>515</v>
      </c>
      <c r="B516" s="11" t="n">
        <v>46283</v>
      </c>
      <c r="C516" s="11" t="n">
        <v>46283</v>
      </c>
      <c r="D516" s="10">
        <f>MONTH(B516)&amp;"月"</f>
        <v/>
      </c>
      <c r="E516" s="12" t="n">
        <v>1</v>
      </c>
      <c r="F516" s="10" t="n"/>
      <c r="G516" s="10" t="inlineStr">
        <is>
          <t>【大阪】Zenn Agentic AI ミニハッカソン with Google Cloud</t>
        </is>
      </c>
      <c r="H516" s="10" t="inlineStr">
        <is>
          <t>クラスメソッド株式会社</t>
        </is>
      </c>
      <c r="I516" s="10" t="n"/>
      <c r="J516" s="10" t="inlineStr">
        <is>
          <t>connpass</t>
        </is>
      </c>
      <c r="K516" s="10" t="inlineStr">
        <is>
          <t>会場</t>
        </is>
      </c>
      <c r="L516" s="10" t="inlineStr">
        <is>
          <t>〒541-0044 大阪府大阪市中央区伏見町3-6-3 三菱UFJ信託銀行大阪ビル8階</t>
        </is>
      </c>
      <c r="M516" s="10" t="inlineStr">
        <is>
          <t>技術・AI全般</t>
        </is>
      </c>
      <c r="N516" s="10" t="inlineStr">
        <is>
          <t>AIエージェント</t>
        </is>
      </c>
      <c r="O516" s="12" t="inlineStr">
        <is>
          <t>○</t>
        </is>
      </c>
      <c r="P516" s="13" t="n">
        <v>48</v>
      </c>
      <c r="Q516" s="12" t="inlineStr">
        <is>
          <t>参加者数</t>
        </is>
      </c>
      <c r="R516" s="14" t="n">
        <v>70</v>
      </c>
      <c r="S516" s="10" t="n"/>
      <c r="T516" s="10" t="n"/>
      <c r="U516" s="15" t="inlineStr">
        <is>
          <t>https://classmethod.connpass.com/event/398580/</t>
        </is>
      </c>
      <c r="V516" s="10" t="n"/>
      <c r="W516" s="10" t="inlineStr">
        <is>
          <t>タイトル一致</t>
        </is>
      </c>
      <c r="X516" s="10" t="n"/>
    </row>
    <row r="517">
      <c r="A517" s="10" t="n">
        <v>516</v>
      </c>
      <c r="B517" s="11" t="n">
        <v>46283</v>
      </c>
      <c r="C517" s="11" t="n">
        <v>46283</v>
      </c>
      <c r="D517" s="10">
        <f>MONTH(B517)&amp;"月"</f>
        <v/>
      </c>
      <c r="E517" s="12" t="n">
        <v>1</v>
      </c>
      <c r="F517" s="10" t="n"/>
      <c r="G517" s="10" t="inlineStr">
        <is>
          <t>ばっちり差別化!はちえん。式ビジネスAI漫画の制作・運用マスター研修(録画受講あり)</t>
        </is>
      </c>
      <c r="H517" s="10" t="inlineStr">
        <is>
          <t>（記載なし）</t>
        </is>
      </c>
      <c r="I517" s="10" t="n"/>
      <c r="J517" s="10" t="inlineStr">
        <is>
          <t>こくちーずプロ</t>
        </is>
      </c>
      <c r="K517" s="10" t="inlineStr">
        <is>
          <t>オンライン</t>
        </is>
      </c>
      <c r="L517" s="10" t="inlineStr">
        <is>
          <t>オンライン 日本</t>
        </is>
      </c>
      <c r="M517" s="10" t="inlineStr">
        <is>
          <t>生産性向上・業務効率化</t>
        </is>
      </c>
      <c r="N517" s="10" t="inlineStr">
        <is>
          <t>AIエージェント</t>
        </is>
      </c>
      <c r="O517" s="12" t="inlineStr">
        <is>
          <t>○</t>
        </is>
      </c>
      <c r="P517" s="13" t="n">
        <v>52</v>
      </c>
      <c r="Q517" s="12" t="inlineStr">
        <is>
          <t>イベント参加 52/55</t>
        </is>
      </c>
      <c r="R517" s="14" t="n">
        <v>55</v>
      </c>
      <c r="S517" s="10" t="n"/>
      <c r="T517" s="10" t="inlineStr">
        <is>
          <t>ばっちり差別化！ビジネスAI漫画の制作・運用マスター研修 自社らしいビジネスAI漫画の「作り方がわかる」。 はちえん。が仕上げた3つのCodex用Skillで「実際に作れる」。 あなたの会社には、お客様にもっと知ってほしい仕事へのこだわりや、商品に込めた思いがあるはずです。 その価値を、親しみやすく、わかりやすく届ける。そのための方法が、ビジネスAI漫画です。 ところが、生成しただけの似たようなキャラクターや、どこの会社にも当てはまる内</t>
        </is>
      </c>
      <c r="U517" s="15" t="inlineStr">
        <is>
          <t>https://www.kokuchpro.com/event/b164b33cf459e60cbcd10cc6cf54f3bc/</t>
        </is>
      </c>
      <c r="V517" s="10" t="n"/>
      <c r="W517" s="10" t="inlineStr">
        <is>
          <t>本文一致</t>
        </is>
      </c>
      <c r="X517" s="10" t="n"/>
    </row>
    <row r="518">
      <c r="A518" s="10" t="n">
        <v>517</v>
      </c>
      <c r="B518" s="11" t="n">
        <v>46283</v>
      </c>
      <c r="C518" s="11" t="n">
        <v>46283</v>
      </c>
      <c r="D518" s="10">
        <f>MONTH(B518)&amp;"月"</f>
        <v/>
      </c>
      <c r="E518" s="12" t="n">
        <v>1</v>
      </c>
      <c r="F518" s="10" t="n"/>
      <c r="G518" s="10" t="inlineStr">
        <is>
          <t>生成AIマネージャー認定講座 〜生成AIを「使う」から、「仕事を任せ、成果を生み、仕組みにする」へ〜（2日間講座）</t>
        </is>
      </c>
      <c r="H518" s="10" t="inlineStr">
        <is>
          <t>一般社団法人ウェブ解析士協会</t>
        </is>
      </c>
      <c r="I518" s="10" t="n"/>
      <c r="J518" s="10" t="inlineStr">
        <is>
          <t>Doorkeeper</t>
        </is>
      </c>
      <c r="K518" s="10" t="inlineStr">
        <is>
          <t>不明</t>
        </is>
      </c>
      <c r="L518" s="10" t="n"/>
      <c r="M518" s="10" t="inlineStr">
        <is>
          <t>営業・マーケ・CS</t>
        </is>
      </c>
      <c r="N518" s="10" t="inlineStr">
        <is>
          <t>AIエージェント</t>
        </is>
      </c>
      <c r="O518" s="12" t="inlineStr">
        <is>
          <t>○</t>
        </is>
      </c>
      <c r="P518" s="13" t="n">
        <v>7</v>
      </c>
      <c r="Q518" s="12" t="inlineStr">
        <is>
          <t>参加者数</t>
        </is>
      </c>
      <c r="R518" s="14" t="n">
        <v>6</v>
      </c>
      <c r="S518" s="10" t="n"/>
      <c r="T518" s="10" t="inlineStr">
        <is>
          <t xml:space="preserve"> 【キャンセル待ち・別日程のご案内】 本講座は現在、定員に達したためキャンセル待ちとなっております。 同内容の講座を別日程でも開催いたしますので、これからお申し込みをご検討の方は、下記日程へのお申し込みをお願いいたします。 ▼ 別日程のお申し込みはこちら こちらの講座は、9/18（金）9:00～13:00、10/2（金）9:00～13:00 の２日間講座となります。 講座概要 【生成AIマネージャー認定講座】（上級） 〜生成AIを「使う</t>
        </is>
      </c>
      <c r="U518" s="15" t="inlineStr">
        <is>
          <t>https://web-mining.doorkeeper.jp/events/199111</t>
        </is>
      </c>
      <c r="V518" s="10" t="n"/>
      <c r="W518" s="10" t="inlineStr">
        <is>
          <t>本文一致</t>
        </is>
      </c>
      <c r="X518" s="10" t="n"/>
    </row>
    <row r="519">
      <c r="A519" s="10" t="n">
        <v>518</v>
      </c>
      <c r="B519" s="11" t="n">
        <v>46283</v>
      </c>
      <c r="C519" s="11" t="n">
        <v>46283</v>
      </c>
      <c r="D519" s="10">
        <f>MONTH(B519)&amp;"月"</f>
        <v/>
      </c>
      <c r="E519" s="12" t="n">
        <v>1</v>
      </c>
      <c r="F519" s="10" t="n"/>
      <c r="G519" s="10" t="inlineStr">
        <is>
          <t>（中止）生成AIマネージャー認定講座 〜生成AIを「使う」から、「仕事を任せ、成果を生み、組織で活かす」へ〜（2日間講座）</t>
        </is>
      </c>
      <c r="H519" s="10" t="inlineStr">
        <is>
          <t>一般社団法人ウェブ解析士協会</t>
        </is>
      </c>
      <c r="I519" s="10" t="n"/>
      <c r="J519" s="10" t="inlineStr">
        <is>
          <t>Doorkeeper</t>
        </is>
      </c>
      <c r="K519" s="10" t="inlineStr">
        <is>
          <t>不明</t>
        </is>
      </c>
      <c r="L519" s="10" t="n"/>
      <c r="M519" s="10" t="inlineStr">
        <is>
          <t>営業・マーケ・CS</t>
        </is>
      </c>
      <c r="N519" s="10" t="inlineStr">
        <is>
          <t>AIエージェント</t>
        </is>
      </c>
      <c r="O519" s="12" t="inlineStr">
        <is>
          <t>○</t>
        </is>
      </c>
      <c r="P519" s="13" t="n">
        <v>0</v>
      </c>
      <c r="Q519" s="12" t="inlineStr">
        <is>
          <t>参加者数</t>
        </is>
      </c>
      <c r="R519" s="14" t="n"/>
      <c r="S519" s="10" t="n"/>
      <c r="T519" s="10" t="inlineStr">
        <is>
          <t xml:space="preserve"> こちらの講座は、9/18（金）9:00～13:00、10/2（金）9:00～13:00 の２日間講座となります。 講座概要 【生成AIマネージャー認定講座】 〜生成AIを「使う」から、「仕事を任せ、成果を生み、組織で活かす」へ〜 定員： 6名 受講料： 通常価格 88,000円（税込） ⇒ プレ講座価格： 66,000円（税込） ※プレ講座受講者の方には、受講後のアンケートやインタビューへのご協力をお願いいたします。 講座時間： 全2</t>
        </is>
      </c>
      <c r="U519" s="15" t="inlineStr">
        <is>
          <t>https://web-mining.doorkeeper.jp/events/197771</t>
        </is>
      </c>
      <c r="V519" s="10" t="n"/>
      <c r="W519" s="10" t="inlineStr">
        <is>
          <t>本文一致</t>
        </is>
      </c>
      <c r="X519" s="10" t="n"/>
    </row>
    <row r="520">
      <c r="A520" s="10" t="n">
        <v>519</v>
      </c>
      <c r="B520" s="11" t="n">
        <v>46284</v>
      </c>
      <c r="C520" s="11" t="n">
        <v>46284</v>
      </c>
      <c r="D520" s="10">
        <f>MONTH(B520)&amp;"月"</f>
        <v/>
      </c>
      <c r="E520" s="12" t="n">
        <v>1</v>
      </c>
      <c r="F520" s="10" t="n"/>
      <c r="G520" s="10" t="inlineStr">
        <is>
          <t>商談中に提案書が仕上がる。AIと話しながら作る営業資料の全手順【ライブ実演セミナー】</t>
        </is>
      </c>
      <c r="H520" s="10" t="inlineStr">
        <is>
          <t>株式会社ノヴァリス</t>
        </is>
      </c>
      <c r="I520" s="10" t="n"/>
      <c r="J520" s="10" t="inlineStr">
        <is>
          <t>こくちーずプロ</t>
        </is>
      </c>
      <c r="K520" s="10" t="inlineStr">
        <is>
          <t>オンライン</t>
        </is>
      </c>
      <c r="L520" s="10" t="inlineStr">
        <is>
          <t>オンライン 日本</t>
        </is>
      </c>
      <c r="M520" s="10" t="inlineStr">
        <is>
          <t>営業・マーケ・CS</t>
        </is>
      </c>
      <c r="N520" s="10" t="inlineStr">
        <is>
          <t>AIエージェント</t>
        </is>
      </c>
      <c r="O520" s="12" t="inlineStr">
        <is>
          <t>○</t>
        </is>
      </c>
      <c r="P520" s="13" t="n">
        <v>4</v>
      </c>
      <c r="Q520" s="12" t="inlineStr">
        <is>
          <t>イベント参加 4/10</t>
        </is>
      </c>
      <c r="R520" s="14" t="n">
        <v>10</v>
      </c>
      <c r="S520" s="10" t="n"/>
      <c r="T520" s="10" t="inlineStr">
        <is>
          <t>商談中に提案書が仕上がる。AIと話しながら作る営業資料の全手順【ライブ実演セミナー】 参加無料 / オンライン / 60分（お昼休みに参加できます） ※ご参加特典あり：現場で使われている自動化事例をまとめた『Claude Code / Codex 自動化活用事例集 30選』（全82ページ）を、当日ご参加の方全員に無料でお渡しします。 ■ 「では、提案書を作ってお持ちしますね」。その一言から、勝負は不利になる。 会社に戻り、議事メモを読み</t>
        </is>
      </c>
      <c r="U520" s="15" t="inlineStr">
        <is>
          <t>https://www.kokuchpro.com/event/dd7b4da8bcf53836ba98b85a6902737f/</t>
        </is>
      </c>
      <c r="V520" s="10" t="n"/>
      <c r="W520" s="10" t="inlineStr">
        <is>
          <t>本文一致</t>
        </is>
      </c>
      <c r="X520" s="10" t="n"/>
    </row>
    <row r="521">
      <c r="A521" s="10" t="n">
        <v>520</v>
      </c>
      <c r="B521" s="11" t="n">
        <v>46285</v>
      </c>
      <c r="C521" s="11" t="n">
        <v>46285</v>
      </c>
      <c r="D521" s="10">
        <f>MONTH(B521)&amp;"月"</f>
        <v/>
      </c>
      <c r="E521" s="12" t="n">
        <v>1</v>
      </c>
      <c r="F521" s="10" t="n"/>
      <c r="G521" s="10" t="inlineStr">
        <is>
          <t>Kaggle「AI Agent Security」コンペ | ソリューション共有会 @ Elith</t>
        </is>
      </c>
      <c r="H521" s="10" t="inlineStr">
        <is>
          <t>Elith</t>
        </is>
      </c>
      <c r="I521" s="10" t="n"/>
      <c r="J521" s="10" t="inlineStr">
        <is>
          <t>connpass</t>
        </is>
      </c>
      <c r="K521" s="10" t="inlineStr">
        <is>
          <t>会場</t>
        </is>
      </c>
      <c r="L521" s="10" t="inlineStr">
        <is>
          <t>(場所未定)</t>
        </is>
      </c>
      <c r="M521" s="10" t="inlineStr">
        <is>
          <t>営業・マーケ・CS</t>
        </is>
      </c>
      <c r="N521" s="10" t="inlineStr">
        <is>
          <t>AIエージェント</t>
        </is>
      </c>
      <c r="O521" s="12" t="inlineStr">
        <is>
          <t>◎</t>
        </is>
      </c>
      <c r="P521" s="13" t="n">
        <v>114</v>
      </c>
      <c r="Q521" s="12" t="inlineStr">
        <is>
          <t>参加者数</t>
        </is>
      </c>
      <c r="R521" s="14" t="n">
        <v>221</v>
      </c>
      <c r="S521" s="10" t="n"/>
      <c r="T521" s="10" t="n"/>
      <c r="U521" s="15" t="inlineStr">
        <is>
          <t>https://elith.connpass.com/event/405693/</t>
        </is>
      </c>
      <c r="V521" s="10" t="n"/>
      <c r="W521" s="10" t="inlineStr">
        <is>
          <t>タイトル一致</t>
        </is>
      </c>
      <c r="X521" s="10" t="n"/>
    </row>
    <row r="522">
      <c r="A522" s="10" t="n">
        <v>521</v>
      </c>
      <c r="B522" s="11" t="n">
        <v>46286</v>
      </c>
      <c r="C522" s="11" t="n">
        <v>46286</v>
      </c>
      <c r="D522" s="10">
        <f>MONTH(B522)&amp;"月"</f>
        <v/>
      </c>
      <c r="E522" s="12" t="n">
        <v>1</v>
      </c>
      <c r="F522" s="10" t="n"/>
      <c r="G522" s="10" t="inlineStr">
        <is>
          <t>営業DXが新局面へ──生成AIで営業生産性を最大化</t>
        </is>
      </c>
      <c r="H522" s="10" t="inlineStr">
        <is>
          <t>KOBUSHI MARKETING合同会社</t>
        </is>
      </c>
      <c r="I522" s="10" t="n"/>
      <c r="J522" s="10" t="inlineStr">
        <is>
          <t>個別調査（公式サイト・PR TIMES等）</t>
        </is>
      </c>
      <c r="K522" s="10" t="inlineStr">
        <is>
          <t>オンライン</t>
        </is>
      </c>
      <c r="L522" s="10" t="inlineStr">
        <is>
          <t>Peatix経由</t>
        </is>
      </c>
      <c r="M522" s="10" t="inlineStr">
        <is>
          <t>営業・マーケ・CS</t>
        </is>
      </c>
      <c r="N522" s="10" t="inlineStr">
        <is>
          <t>AIエージェント</t>
        </is>
      </c>
      <c r="O522" s="12" t="inlineStr">
        <is>
          <t>◎</t>
        </is>
      </c>
      <c r="P522" s="13" t="n"/>
      <c r="Q522" s="12" t="inlineStr">
        <is>
          <t>不明</t>
        </is>
      </c>
      <c r="R522" s="14" t="n"/>
      <c r="S522" s="10" t="n"/>
      <c r="T522" s="10" t="inlineStr">
        <is>
          <t>リスト生成から商談後のフォローメールまでをAIワークフローでつなぎ、5〜6体のAIエージェントを同時に動かす手法を紹介する。</t>
        </is>
      </c>
      <c r="U522" s="15" t="inlineStr">
        <is>
          <t>https://prtimes.jp/main/html/rd/p/000000443.000061977.html</t>
        </is>
      </c>
      <c r="V522" s="15" t="inlineStr">
        <is>
          <t>https://peatix.com/event/5123053</t>
        </is>
      </c>
      <c r="W522" s="10" t="inlineStr">
        <is>
          <t>個別確認</t>
        </is>
      </c>
      <c r="X522" s="10" t="inlineStr">
        <is>
          <t>開催年は曜日の一致とリリース番号から推定</t>
        </is>
      </c>
    </row>
    <row r="523">
      <c r="A523" s="10" t="n">
        <v>522</v>
      </c>
      <c r="B523" s="11" t="n">
        <v>46287</v>
      </c>
      <c r="C523" s="11" t="n">
        <v>46388</v>
      </c>
      <c r="D523" s="10">
        <f>MONTH(B523)&amp;"月"</f>
        <v/>
      </c>
      <c r="E523" s="12" t="n">
        <v>1</v>
      </c>
      <c r="F523" s="10" t="n"/>
      <c r="G523" s="10" t="inlineStr">
        <is>
          <t>【無料動画講座】お客様が「これ、私に必要」と思う リザスト×Codex「クリックされる講座バナー」3つの秘密</t>
        </is>
      </c>
      <c r="H523" s="10" t="inlineStr">
        <is>
          <t>杉山眞利 リザスト×AI活用事務局</t>
        </is>
      </c>
      <c r="I523" s="10" t="n"/>
      <c r="J523" s="10" t="inlineStr">
        <is>
          <t>こくちーずプロ</t>
        </is>
      </c>
      <c r="K523" s="10" t="inlineStr">
        <is>
          <t>オフライン（会場）</t>
        </is>
      </c>
      <c r="L523" s="10" t="inlineStr">
        <is>
          <t>オンデマンド 日本</t>
        </is>
      </c>
      <c r="M523" s="10" t="inlineStr">
        <is>
          <t>開発生産性</t>
        </is>
      </c>
      <c r="N523" s="10" t="inlineStr">
        <is>
          <t>AIエージェント</t>
        </is>
      </c>
      <c r="O523" s="12" t="inlineStr">
        <is>
          <t>○</t>
        </is>
      </c>
      <c r="P523" s="13" t="n"/>
      <c r="Q523" s="12" t="inlineStr">
        <is>
          <t>不明</t>
        </is>
      </c>
      <c r="R523" s="14" t="n"/>
      <c r="S523" s="10" t="n"/>
      <c r="T523" s="10" t="inlineStr">
        <is>
          <t>良い講座なのに、バナーで素通りされていませんか？ 講座の内容を一生懸命考え、案内ページも用意した。 でも、入口のバナーをクリックしてもらえなければ、その内容を読んでもらえません。 それは、とてももったいないことです。 大切なのは、きれいな画像を作ることだけではありません。 見た方が、 「これ、私のことだ」 「私もこうなりたい」 「もう少し詳しく知りたい」 と、ご自身のこととして受け取れるかどうかです。 この無料動画講座では、講座案から伝</t>
        </is>
      </c>
      <c r="U523" s="15" t="inlineStr">
        <is>
          <t>https://www.kokuchpro.com/event/5433b52e3a5ff68309d4dc926b3435cc/</t>
        </is>
      </c>
      <c r="V523" s="10" t="n"/>
      <c r="W523" s="10" t="inlineStr">
        <is>
          <t>タイトル一致</t>
        </is>
      </c>
      <c r="X523" s="10" t="n"/>
    </row>
    <row r="524">
      <c r="A524" s="10" t="n">
        <v>523</v>
      </c>
      <c r="B524" s="11" t="n">
        <v>46287</v>
      </c>
      <c r="C524" s="11" t="n">
        <v>46287</v>
      </c>
      <c r="D524" s="10">
        <f>MONTH(B524)&amp;"月"</f>
        <v/>
      </c>
      <c r="E524" s="12" t="n">
        <v>1</v>
      </c>
      <c r="F524" s="10" t="n"/>
      <c r="G524" s="10" t="inlineStr">
        <is>
          <t>【超初心者歓迎】指示を出したらあとはお任せ!?話題の「AIエージェント」完全無料勉強会(使用ツール:Codex) コピー</t>
        </is>
      </c>
      <c r="H524" s="10" t="inlineStr">
        <is>
          <t>（記載なし）</t>
        </is>
      </c>
      <c r="I524" s="10" t="n"/>
      <c r="J524" s="10" t="inlineStr">
        <is>
          <t>こくちーずプロ</t>
        </is>
      </c>
      <c r="K524" s="10" t="inlineStr">
        <is>
          <t>オフライン（会場）</t>
        </is>
      </c>
      <c r="L524" s="10" t="inlineStr">
        <is>
          <t>ドトールコーヒーショップ 北心斎橋店 大阪府大阪市中央区 南船場 3‐11‐2 3F</t>
        </is>
      </c>
      <c r="M524" s="10" t="inlineStr">
        <is>
          <t>開発生産性</t>
        </is>
      </c>
      <c r="N524" s="10" t="inlineStr">
        <is>
          <t>AIエージェント</t>
        </is>
      </c>
      <c r="O524" s="12" t="inlineStr">
        <is>
          <t>○</t>
        </is>
      </c>
      <c r="P524" s="13" t="n">
        <v>0</v>
      </c>
      <c r="Q524" s="12" t="inlineStr">
        <is>
          <t>イベント参加 0/5</t>
        </is>
      </c>
      <c r="R524" s="14" t="n">
        <v>5</v>
      </c>
      <c r="S524" s="10" t="n"/>
      <c r="T524" s="10" t="inlineStr">
        <is>
          <t>【心斎橋 開催】 AIエージェント知識ゼロの方歓迎！ 話題の「AIエージェント」無料の勉強会開催のお知らせ！ 「AIって便利そうだけど、何から学べばいいかわからない」 「AIエージェントって聞くけど、ChatGPTと何が違うの？」 そんな方に向けた、完全初心者向けの勉強会です。 少人数開催のため、参加者のペースに合わせて一緒に進めていきます！ ＊＊勉強会の内容＊＊ 話題のAIエージェントを使って、チャットで「〇〇をやって」と指示するだけ</t>
        </is>
      </c>
      <c r="U524" s="15" t="inlineStr">
        <is>
          <t>https://www.kokuchpro.com/event/0cb92436f50e5840713b264fcd1c2a15/</t>
        </is>
      </c>
      <c r="V524" s="10" t="n"/>
      <c r="W524" s="10" t="inlineStr">
        <is>
          <t>タイトル一致</t>
        </is>
      </c>
      <c r="X524" s="10" t="n"/>
    </row>
    <row r="525">
      <c r="A525" s="10" t="n">
        <v>524</v>
      </c>
      <c r="B525" s="11" t="n">
        <v>46288</v>
      </c>
      <c r="C525" s="11" t="n">
        <v>46288</v>
      </c>
      <c r="D525" s="10">
        <f>MONTH(B525)&amp;"月"</f>
        <v/>
      </c>
      <c r="E525" s="12" t="n">
        <v>1</v>
      </c>
      <c r="F525" s="10" t="n"/>
      <c r="G525" s="10" t="inlineStr">
        <is>
          <t>Codex/Claude Codeで、リサーチからDB構築、スライド作成まで仕組み化する｜MMS公開ワークショップ</t>
        </is>
      </c>
      <c r="H525" s="10" t="inlineStr">
        <is>
          <t>MMS(MIRAICHI Moon Shot)</t>
        </is>
      </c>
      <c r="I525" s="10" t="n"/>
      <c r="J525" s="10" t="inlineStr">
        <is>
          <t>Peatix</t>
        </is>
      </c>
      <c r="K525" s="10" t="inlineStr">
        <is>
          <t>オンライン</t>
        </is>
      </c>
      <c r="L525" s="10" t="n"/>
      <c r="M525" s="10" t="inlineStr">
        <is>
          <t>開発生産性</t>
        </is>
      </c>
      <c r="N525" s="10" t="inlineStr">
        <is>
          <t>AIエージェント</t>
        </is>
      </c>
      <c r="O525" s="12" t="inlineStr">
        <is>
          <t>○</t>
        </is>
      </c>
      <c r="P525" s="13" t="n"/>
      <c r="Q525" s="12" t="inlineStr">
        <is>
          <t>不明</t>
        </is>
      </c>
      <c r="R525" s="14" t="n"/>
      <c r="S525" s="10" t="n"/>
      <c r="T525" s="10" t="inlineStr">
        <is>
          <t>2026年9月23日(水)21:00-23:00 オンライン。Claude Code/Codexでリサーチ→Notion DB→Canvaスライドまで仕組み化</t>
        </is>
      </c>
      <c r="U525" s="15" t="inlineStr">
        <is>
          <t>https://miraichi260923.peatix.com/</t>
        </is>
      </c>
      <c r="V525" s="10" t="n"/>
      <c r="W525" s="10" t="inlineStr">
        <is>
          <t>タイトル一致</t>
        </is>
      </c>
      <c r="X525" s="10" t="n"/>
    </row>
    <row r="526">
      <c r="A526" s="10" t="n">
        <v>525</v>
      </c>
      <c r="B526" s="11" t="n">
        <v>46288</v>
      </c>
      <c r="C526" s="11" t="n">
        <v>46288</v>
      </c>
      <c r="D526" s="10">
        <f>MONTH(B526)&amp;"月"</f>
        <v/>
      </c>
      <c r="E526" s="12" t="n">
        <v>1</v>
      </c>
      <c r="F526" s="10" t="n"/>
      <c r="G526" s="10" t="inlineStr">
        <is>
          <t>【水曜のDX道場】非エンジニアでもここまで使える！オンライン秘書Claude Code仕事術・事例</t>
        </is>
      </c>
      <c r="H526" s="10" t="inlineStr">
        <is>
          <t>水曜のDX道場</t>
        </is>
      </c>
      <c r="I526" s="10" t="n"/>
      <c r="J526" s="10" t="inlineStr">
        <is>
          <t>connpass</t>
        </is>
      </c>
      <c r="K526" s="10" t="inlineStr">
        <is>
          <t>ハイブリッド</t>
        </is>
      </c>
      <c r="L526" s="10" t="inlineStr">
        <is>
          <t>大阪市北区本庄東１−１８−８</t>
        </is>
      </c>
      <c r="M526" s="10" t="inlineStr">
        <is>
          <t>生産性向上・業務効率化</t>
        </is>
      </c>
      <c r="N526" s="10" t="inlineStr">
        <is>
          <t>AIエージェント</t>
        </is>
      </c>
      <c r="O526" s="12" t="inlineStr">
        <is>
          <t>◎</t>
        </is>
      </c>
      <c r="P526" s="13" t="n">
        <v>26</v>
      </c>
      <c r="Q526" s="12" t="inlineStr">
        <is>
          <t>参加者数</t>
        </is>
      </c>
      <c r="R526" s="14" t="n">
        <v>29</v>
      </c>
      <c r="S526" s="10" t="n"/>
      <c r="T526" s="10" t="n"/>
      <c r="U526" s="15" t="inlineStr">
        <is>
          <t>https://dxdojo.connpass.com/event/406664/</t>
        </is>
      </c>
      <c r="V526" s="10" t="n"/>
      <c r="W526" s="10" t="inlineStr">
        <is>
          <t>タイトル一致</t>
        </is>
      </c>
      <c r="X526" s="10" t="n"/>
    </row>
    <row r="527">
      <c r="A527" s="10" t="n">
        <v>526</v>
      </c>
      <c r="B527" s="11" t="n">
        <v>46289</v>
      </c>
      <c r="C527" s="11" t="n">
        <v>46289</v>
      </c>
      <c r="D527" s="10">
        <f>MONTH(B527)&amp;"月"</f>
        <v/>
      </c>
      <c r="E527" s="12" t="n">
        <v>1</v>
      </c>
      <c r="F527" s="10" t="n"/>
      <c r="G527" s="10" t="inlineStr">
        <is>
          <t>AIエージェント「4つの壁」を越える、コンサル×プロダクト×OSの垂直統合</t>
        </is>
      </c>
      <c r="H527" s="10" t="inlineStr">
        <is>
          <t>株式会社ナレッジワーク</t>
        </is>
      </c>
      <c r="I527" s="10" t="n"/>
      <c r="J527" s="10" t="inlineStr">
        <is>
          <t>ビジネス+IT</t>
        </is>
      </c>
      <c r="K527" s="10" t="inlineStr">
        <is>
          <t>online</t>
        </is>
      </c>
      <c r="L527" s="10" t="inlineStr">
        <is>
          <t>オンライン</t>
        </is>
      </c>
      <c r="M527" s="10" t="inlineStr">
        <is>
          <t>営業・マーケ・CS</t>
        </is>
      </c>
      <c r="N527" s="10" t="inlineStr">
        <is>
          <t>AIエージェント</t>
        </is>
      </c>
      <c r="O527" s="12" t="inlineStr">
        <is>
          <t>◎</t>
        </is>
      </c>
      <c r="P527" s="13" t="n"/>
      <c r="Q527" s="12" t="inlineStr">
        <is>
          <t>不明</t>
        </is>
      </c>
      <c r="R527" s="14" t="n"/>
      <c r="S527" s="10" t="n"/>
      <c r="T527" s="10" t="inlineStr">
        <is>
          <t>企業における生成AIプロジェクトの95%は、ROIをもたらすことに失敗していると言われています。営業組織も例外ではありません。AIエージェントへの期待が高まる一方、「構想はあるが実装が進まない」「導入したが現場で使われない」という声が後を絶ちません。 原因は、AIエージェントの実現を阻む「4つの壁」にあります。営業業務を適切に設計できていない「業務の壁」、データやナレッジを集約・整理できていない「データの壁」、個別業務に合わせて実装でき</t>
        </is>
      </c>
      <c r="U527" s="15" t="inlineStr">
        <is>
          <t>https://www.sbbit.jp/eventinfo/90161</t>
        </is>
      </c>
      <c r="V527" s="10" t="n"/>
      <c r="W527" s="10" t="inlineStr">
        <is>
          <t>タイトル一致</t>
        </is>
      </c>
      <c r="X527" s="10" t="n"/>
    </row>
    <row r="528">
      <c r="A528" s="10" t="n">
        <v>527</v>
      </c>
      <c r="B528" s="11" t="n">
        <v>46289</v>
      </c>
      <c r="C528" s="11" t="n">
        <v>46289</v>
      </c>
      <c r="D528" s="10">
        <f>MONTH(B528)&amp;"月"</f>
        <v/>
      </c>
      <c r="E528" s="12" t="n">
        <v>1</v>
      </c>
      <c r="F528" s="10" t="n"/>
      <c r="G528" s="10" t="inlineStr">
        <is>
          <t>Antigravityで始めるAIエージェント駆動開発生活</t>
        </is>
      </c>
      <c r="H528" s="10" t="inlineStr">
        <is>
          <t>RPACommunity</t>
        </is>
      </c>
      <c r="I528" s="10" t="n"/>
      <c r="J528" s="10" t="inlineStr">
        <is>
          <t>connpass</t>
        </is>
      </c>
      <c r="K528" s="10" t="inlineStr">
        <is>
          <t>オンライン</t>
        </is>
      </c>
      <c r="L528" s="10" t="inlineStr">
        <is>
          <t>オンライン</t>
        </is>
      </c>
      <c r="M528" s="10" t="inlineStr">
        <is>
          <t>開発生産性</t>
        </is>
      </c>
      <c r="N528" s="10" t="inlineStr">
        <is>
          <t>AIエージェント</t>
        </is>
      </c>
      <c r="O528" s="12" t="inlineStr">
        <is>
          <t>○</t>
        </is>
      </c>
      <c r="P528" s="13" t="n">
        <v>72</v>
      </c>
      <c r="Q528" s="12" t="inlineStr">
        <is>
          <t>参加者数</t>
        </is>
      </c>
      <c r="R528" s="14" t="n"/>
      <c r="S528" s="10" t="n"/>
      <c r="T528" s="10" t="n"/>
      <c r="U528" s="15" t="inlineStr">
        <is>
          <t>https://rpacommunity.connpass.com/event/406507/</t>
        </is>
      </c>
      <c r="V528" s="10" t="n"/>
      <c r="W528" s="10" t="inlineStr">
        <is>
          <t>タイトル一致</t>
        </is>
      </c>
      <c r="X528" s="10" t="n"/>
    </row>
    <row r="529">
      <c r="A529" s="10" t="n">
        <v>528</v>
      </c>
      <c r="B529" s="11" t="n">
        <v>46289</v>
      </c>
      <c r="C529" s="11" t="n">
        <v>46289</v>
      </c>
      <c r="D529" s="10">
        <f>MONTH(B529)&amp;"月"</f>
        <v/>
      </c>
      <c r="E529" s="12" t="n">
        <v>1</v>
      </c>
      <c r="F529" s="10" t="n"/>
      <c r="G529" s="10" t="inlineStr">
        <is>
          <t>UiPath Friends ラスベガス ～ グローバルカンファレンス FUSION体験速報～</t>
        </is>
      </c>
      <c r="H529" s="10" t="inlineStr">
        <is>
          <t>uipath-friends</t>
        </is>
      </c>
      <c r="I529" s="10" t="n"/>
      <c r="J529" s="10" t="inlineStr">
        <is>
          <t>Doorkeeper</t>
        </is>
      </c>
      <c r="K529" s="10" t="inlineStr">
        <is>
          <t>不明</t>
        </is>
      </c>
      <c r="L529" s="10" t="n"/>
      <c r="M529" s="10" t="inlineStr">
        <is>
          <t>生産性向上・業務効率化</t>
        </is>
      </c>
      <c r="N529" s="10" t="inlineStr">
        <is>
          <t>AIエージェント</t>
        </is>
      </c>
      <c r="O529" s="12" t="inlineStr">
        <is>
          <t>○</t>
        </is>
      </c>
      <c r="P529" s="13" t="n">
        <v>39</v>
      </c>
      <c r="Q529" s="12" t="inlineStr">
        <is>
          <t>参加者数</t>
        </is>
      </c>
      <c r="R529" s="14" t="n"/>
      <c r="S529" s="10" t="n"/>
      <c r="T529" s="10" t="inlineStr">
        <is>
          <t xml:space="preserve"> オートメション業界最大のグローバルカンファレンス UiPath FUSION の参加者が語る！ ◆◆開催概要◆◆ 2026年9月22日～25日にかけて、米国ラスベガスにて開催される「 UiPath FUSION 」では、 80を超えるセッションが展開され、UiPath創業者兼CEOのダニエル・ディネスによる全社ビジョン・製品ロードマップの発表はもちろん、世界中のお客様によるビジネスオーケストレーション&amp;オートメーションの事例講演が多数</t>
        </is>
      </c>
      <c r="U529" s="15" t="inlineStr">
        <is>
          <t>https://uipath-friends.doorkeeper.jp/events/198918</t>
        </is>
      </c>
      <c r="V529" s="10" t="n"/>
      <c r="W529" s="10" t="inlineStr">
        <is>
          <t>本文一致</t>
        </is>
      </c>
      <c r="X529" s="10" t="n"/>
    </row>
    <row r="530">
      <c r="A530" s="10" t="n">
        <v>529</v>
      </c>
      <c r="B530" s="11" t="n">
        <v>46289</v>
      </c>
      <c r="C530" s="11" t="n">
        <v>46289</v>
      </c>
      <c r="D530" s="10">
        <f>MONTH(B530)&amp;"月"</f>
        <v/>
      </c>
      <c r="E530" s="12" t="n">
        <v>1</v>
      </c>
      <c r="F530" s="10" t="n"/>
      <c r="G530" s="10" t="inlineStr">
        <is>
          <t>【無料/オンライン】7年間で顧問実績60社。全ノウハウを公開します</t>
        </is>
      </c>
      <c r="H530" s="10" t="inlineStr">
        <is>
          <t>AIDMA Academy 事務局(株式会社アイドマ・ホールディングス)</t>
        </is>
      </c>
      <c r="I530" s="10" t="n"/>
      <c r="J530" s="10" t="inlineStr">
        <is>
          <t>こくちーずプロ</t>
        </is>
      </c>
      <c r="K530" s="10" t="inlineStr">
        <is>
          <t>オンライン</t>
        </is>
      </c>
      <c r="L530" s="10" t="inlineStr">
        <is>
          <t>オンライン 日本</t>
        </is>
      </c>
      <c r="M530" s="10" t="inlineStr">
        <is>
          <t>営業・マーケ・CS</t>
        </is>
      </c>
      <c r="N530" s="10" t="inlineStr">
        <is>
          <t>AIエージェント</t>
        </is>
      </c>
      <c r="O530" s="12" t="inlineStr">
        <is>
          <t>○</t>
        </is>
      </c>
      <c r="P530" s="13" t="n">
        <v>0</v>
      </c>
      <c r="Q530" s="12" t="inlineStr">
        <is>
          <t>イベント参加 0/97</t>
        </is>
      </c>
      <c r="R530" s="14" t="n">
        <v>97</v>
      </c>
      <c r="S530" s="10" t="n"/>
      <c r="T530" s="10" t="inlineStr">
        <is>
          <t>【重要】お申込みは公式サイトで受け付けています こくちーずプロ上でのチケット申込 だけでは、参加申込は完了しません。 お手数ですが、下記の公式サイトから改めてお申込みください。お申込み後、当日の視聴URLをメールでお送りします。 ▼ 公式サイトのお申込みページ（無料） https://academy.aidma-hd.jp/webinars/omori-komon-acquisition?utm_source=kokuchiz&amp;utm_</t>
        </is>
      </c>
      <c r="U530" s="15" t="inlineStr">
        <is>
          <t>https://www.kokuchpro.com/event/7fba817495126246845ada3befedff57/</t>
        </is>
      </c>
      <c r="V530" s="10" t="n"/>
      <c r="W530" s="10" t="inlineStr">
        <is>
          <t>本文一致</t>
        </is>
      </c>
      <c r="X530" s="10" t="n"/>
    </row>
    <row r="531">
      <c r="A531" s="10" t="n">
        <v>530</v>
      </c>
      <c r="B531" s="11" t="n">
        <v>46289</v>
      </c>
      <c r="C531" s="11" t="n">
        <v>46289</v>
      </c>
      <c r="D531" s="10">
        <f>MONTH(B531)&amp;"月"</f>
        <v/>
      </c>
      <c r="E531" s="12" t="n">
        <v>1</v>
      </c>
      <c r="F531" s="10" t="n"/>
      <c r="G531" s="10" t="inlineStr">
        <is>
          <t>なぜ、AI活用だけでは製造業の開発期間を短縮できないのか？ ～CAEの民主化とSPDMから始める、設計知識をAIエージェントにつなぐ開発基盤づくり～</t>
        </is>
      </c>
      <c r="H531" s="10" t="inlineStr">
        <is>
          <t>SCSK株式会社</t>
        </is>
      </c>
      <c r="I531" s="10" t="inlineStr">
        <is>
          <t>マジセミ株式会社</t>
        </is>
      </c>
      <c r="J531" s="10" t="inlineStr">
        <is>
          <t>Doorkeeper</t>
        </is>
      </c>
      <c r="K531" s="10" t="inlineStr">
        <is>
          <t>不明</t>
        </is>
      </c>
      <c r="L531" s="10" t="n"/>
      <c r="M531" s="10" t="inlineStr">
        <is>
          <t>生産管理・製造・SCM</t>
        </is>
      </c>
      <c r="N531" s="10" t="inlineStr">
        <is>
          <t>AIエージェント</t>
        </is>
      </c>
      <c r="O531" s="12" t="inlineStr">
        <is>
          <t>◎</t>
        </is>
      </c>
      <c r="P531" s="13" t="n">
        <v>0</v>
      </c>
      <c r="Q531" s="12" t="inlineStr">
        <is>
          <t>参加者数</t>
        </is>
      </c>
      <c r="R531" s="14" t="n"/>
      <c r="S531" s="10" t="n"/>
      <c r="T531"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本セミナーは、製造業に所属する方を対象としています。対象外の企業・団体に所属する方のお申し込みは、お断りする場合がございます。 製造業で求められる開発期間の短縮 市場ニーズの多様化や製品ライフサイクルの</t>
        </is>
      </c>
      <c r="U531" s="15" t="inlineStr">
        <is>
          <t>https://majisemi-manufacturing.doorkeeper.jp/events/199075</t>
        </is>
      </c>
      <c r="V531" s="10" t="n"/>
      <c r="W531" s="10" t="inlineStr">
        <is>
          <t>タイトル一致</t>
        </is>
      </c>
      <c r="X531" s="10" t="n"/>
    </row>
    <row r="532">
      <c r="A532" s="10" t="n">
        <v>531</v>
      </c>
      <c r="B532" s="11" t="n">
        <v>46289</v>
      </c>
      <c r="C532" s="11" t="n">
        <v>46294</v>
      </c>
      <c r="D532" s="10">
        <f>MONTH(B532)&amp;"月"</f>
        <v/>
      </c>
      <c r="E532" s="12" t="n">
        <v>1</v>
      </c>
      <c r="F532" s="10" t="n"/>
      <c r="G532" s="10" t="inlineStr">
        <is>
          <t>中堅企業の成長条件とAIネイティブ経営への推進ステップ～自社に即したAI実装モデルで現実を変える～【無料/※参加特典有※2日開催・期間限定の見逃し配信あり】</t>
        </is>
      </c>
      <c r="H532" s="10" t="inlineStr">
        <is>
          <t>株式会社タナベコンサルティング ウェビナー事務局</t>
        </is>
      </c>
      <c r="I532" s="10" t="n"/>
      <c r="J532" s="10" t="inlineStr">
        <is>
          <t>こくちーずプロ</t>
        </is>
      </c>
      <c r="K532" s="10" t="inlineStr">
        <is>
          <t>オンライン</t>
        </is>
      </c>
      <c r="L532" s="10" t="inlineStr">
        <is>
          <t>オンライン 日本</t>
        </is>
      </c>
      <c r="M532" s="10" t="inlineStr">
        <is>
          <t>生産性向上・業務効率化</t>
        </is>
      </c>
      <c r="N532" s="10" t="inlineStr">
        <is>
          <t>AIエージェント</t>
        </is>
      </c>
      <c r="O532" s="12" t="inlineStr">
        <is>
          <t>○</t>
        </is>
      </c>
      <c r="P532" s="13" t="n"/>
      <c r="Q532" s="12" t="inlineStr">
        <is>
          <t>不明</t>
        </is>
      </c>
      <c r="R532" s="14" t="n"/>
      <c r="S532" s="10" t="n"/>
      <c r="T532" s="10" t="inlineStr">
        <is>
          <t>AI導入は"ツール導入"で終わっていませんか？ 失敗しないAI活用の鍵は、経営・業務・人材・ガバナンスの再設計にあります。 ３人の専門家が解説！ 【無料/※参加特典有※2日開催・期間限定の見逃し配信あり】 中堅企業の成長条件とAIネイティブ経営への推進ステップ ～自社に即したAI実装モデルで現実を変える～ ～～～～～～～～～～～～～～～～～～～～～ 開催日 ①9月24日（木）15:30～16:55 ②9月29日（火）15:30～16:5</t>
        </is>
      </c>
      <c r="U532" s="15" t="inlineStr">
        <is>
          <t>https://www.kokuchpro.com/event/d8764ae1e00ae91e3196cc13efa5fcc6/</t>
        </is>
      </c>
      <c r="V532" s="10" t="n"/>
      <c r="W532" s="10" t="inlineStr">
        <is>
          <t>本文一致</t>
        </is>
      </c>
      <c r="X532" s="10" t="n"/>
    </row>
    <row r="533">
      <c r="A533" s="10" t="n">
        <v>532</v>
      </c>
      <c r="B533" s="11" t="n">
        <v>46289</v>
      </c>
      <c r="C533" s="11" t="n">
        <v>46289</v>
      </c>
      <c r="D533" s="10">
        <f>MONTH(B533)&amp;"月"</f>
        <v/>
      </c>
      <c r="E533" s="12" t="n">
        <v>1</v>
      </c>
      <c r="F533" s="10" t="n"/>
      <c r="G533" s="10" t="inlineStr">
        <is>
          <t>月末の請求書30枚がAIで5分で終わる仕組みを完全公開【ライブ実演セミナー】</t>
        </is>
      </c>
      <c r="H533" s="10" t="inlineStr">
        <is>
          <t>株式会社ノヴァリス</t>
        </is>
      </c>
      <c r="I533" s="10" t="n"/>
      <c r="J533" s="10" t="inlineStr">
        <is>
          <t>こくちーずプロ</t>
        </is>
      </c>
      <c r="K533" s="10" t="inlineStr">
        <is>
          <t>オンライン</t>
        </is>
      </c>
      <c r="L533" s="10" t="inlineStr">
        <is>
          <t>オンライン 日本</t>
        </is>
      </c>
      <c r="M533" s="10" t="inlineStr">
        <is>
          <t>営業・マーケ・CS</t>
        </is>
      </c>
      <c r="N533" s="10" t="inlineStr">
        <is>
          <t>AIエージェント</t>
        </is>
      </c>
      <c r="O533" s="12" t="inlineStr">
        <is>
          <t>○</t>
        </is>
      </c>
      <c r="P533" s="13" t="n">
        <v>1</v>
      </c>
      <c r="Q533" s="12" t="inlineStr">
        <is>
          <t>イベント参加 1/10</t>
        </is>
      </c>
      <c r="R533" s="14" t="n">
        <v>10</v>
      </c>
      <c r="S533" s="10" t="n"/>
      <c r="T533" s="10" t="inlineStr">
        <is>
          <t>月末の請求書30枚がAIで5分で終わる仕組みを完全公開【ライブ実演セミナー】 参加無料 / オンライン / 60分（お昼休みに参加できます） ※ご参加特典あり：現場で使われている自動化事例をまとめた『Claude Code / Codex 自動化活用事例集 30選』（全82ページ）を、当日ご参加の方全員に無料でお渡しします。 ■ 毎月末、同じ光景になっていませんか 25日を過ぎると、そわそわし始める。顧客リストとにらめっこしながら、請求</t>
        </is>
      </c>
      <c r="U533" s="15" t="inlineStr">
        <is>
          <t>https://www.kokuchpro.com/event/6257b3db62d52665c0761e2492ccabac/</t>
        </is>
      </c>
      <c r="V533" s="10" t="n"/>
      <c r="W533" s="10" t="inlineStr">
        <is>
          <t>本文一致</t>
        </is>
      </c>
      <c r="X533" s="10" t="n"/>
    </row>
    <row r="534">
      <c r="A534" s="10" t="n">
        <v>533</v>
      </c>
      <c r="B534" s="11" t="n">
        <v>46290</v>
      </c>
      <c r="C534" s="11" t="n">
        <v>46290</v>
      </c>
      <c r="D534" s="10">
        <f>MONTH(B534)&amp;"月"</f>
        <v/>
      </c>
      <c r="E534" s="12" t="n">
        <v>1</v>
      </c>
      <c r="F534" s="10" t="n"/>
      <c r="G534" s="10" t="inlineStr">
        <is>
          <t>AIを導入したのに成果が出ない理由と"本当の自動化"の始め方を完全公開【ライブ実演セミナー】</t>
        </is>
      </c>
      <c r="H534" s="10" t="inlineStr">
        <is>
          <t>株式会社ノヴァリス</t>
        </is>
      </c>
      <c r="I534" s="10" t="n"/>
      <c r="J534" s="10" t="inlineStr">
        <is>
          <t>こくちーずプロ</t>
        </is>
      </c>
      <c r="K534" s="10" t="inlineStr">
        <is>
          <t>オンライン</t>
        </is>
      </c>
      <c r="L534" s="10" t="inlineStr">
        <is>
          <t>オンライン 日本</t>
        </is>
      </c>
      <c r="M534" s="10" t="inlineStr">
        <is>
          <t>生産性向上・業務効率化</t>
        </is>
      </c>
      <c r="N534" s="10" t="inlineStr">
        <is>
          <t>AIエージェント</t>
        </is>
      </c>
      <c r="O534" s="12" t="inlineStr">
        <is>
          <t>○</t>
        </is>
      </c>
      <c r="P534" s="13" t="n">
        <v>1</v>
      </c>
      <c r="Q534" s="12" t="inlineStr">
        <is>
          <t>イベント参加 1/10</t>
        </is>
      </c>
      <c r="R534" s="14" t="n">
        <v>10</v>
      </c>
      <c r="S534" s="10" t="n"/>
      <c r="T534" s="10" t="inlineStr">
        <is>
          <t>AIを導入したのに成果が出ない理由と"本当の自動化"の始め方を完全公開【ライブ実演セミナー】 参加無料 / オンライン / 60分（お昼休みに参加できます） ※ご参加特典あり：現場で使われている自動化事例をまとめた『Claude Code / Codex 自動化活用事例集 30選』（全82ページ）を、当日ご参加の方全員に無料でお渡しします。 ■ AIを入れた。なのに、何も変わらない。 ChatGPT、Copilot、Gemini。会社に</t>
        </is>
      </c>
      <c r="U534" s="15" t="inlineStr">
        <is>
          <t>https://www.kokuchpro.com/event/ad10dbfea797553d0d14b6cbb19eeff7/</t>
        </is>
      </c>
      <c r="V534" s="10" t="n"/>
      <c r="W534" s="10" t="inlineStr">
        <is>
          <t>本文一致</t>
        </is>
      </c>
      <c r="X534" s="10" t="n"/>
    </row>
    <row r="535">
      <c r="A535" s="10" t="n">
        <v>534</v>
      </c>
      <c r="B535" s="11" t="n">
        <v>46290</v>
      </c>
      <c r="C535" s="11" t="n">
        <v>46290</v>
      </c>
      <c r="D535" s="10">
        <f>MONTH(B535)&amp;"月"</f>
        <v/>
      </c>
      <c r="E535" s="12" t="n">
        <v>1</v>
      </c>
      <c r="F535" s="10" t="n"/>
      <c r="G535" s="10" t="inlineStr">
        <is>
          <t>Zoholics Japan 2026「AI-Powered DX with Zoho」</t>
        </is>
      </c>
      <c r="H535" s="10" t="inlineStr">
        <is>
          <t>ゾーホージャパン株式会社</t>
        </is>
      </c>
      <c r="I535" s="10" t="n"/>
      <c r="J535" s="10" t="inlineStr">
        <is>
          <t>個別調査（公式サイト・PR TIMES等）</t>
        </is>
      </c>
      <c r="K535" s="10" t="inlineStr">
        <is>
          <t>ハイブリッド</t>
        </is>
      </c>
      <c r="L535" s="10" t="inlineStr">
        <is>
          <t>JPタワー ホール&amp;カンファレンス＋オンライン</t>
        </is>
      </c>
      <c r="M535" s="10" t="inlineStr">
        <is>
          <t>営業・マーケ・CS</t>
        </is>
      </c>
      <c r="N535" s="10" t="inlineStr">
        <is>
          <t>AIエージェント</t>
        </is>
      </c>
      <c r="O535" s="12" t="inlineStr">
        <is>
          <t>◎</t>
        </is>
      </c>
      <c r="P535" s="13" t="n">
        <v>700</v>
      </c>
      <c r="Q535" s="12" t="inlineStr">
        <is>
          <t>定員</t>
        </is>
      </c>
      <c r="R535" s="14" t="n">
        <v>700</v>
      </c>
      <c r="S535" s="10" t="inlineStr">
        <is>
          <t>先着順</t>
        </is>
      </c>
      <c r="T535" s="10" t="inlineStr">
        <is>
          <t>Zohoの年次ユーザーイベント。Ziaエージェントの実績（約9,000社・約19,000エージェント）や、AIによる業務DXの事例を紹介する。</t>
        </is>
      </c>
      <c r="U535" s="15" t="inlineStr">
        <is>
          <t>https://prtimes.jp/main/html/rd/p/000000133.000101685.html</t>
        </is>
      </c>
      <c r="V535" s="10" t="n"/>
      <c r="W535" s="10" t="inlineStr">
        <is>
          <t>個別確認</t>
        </is>
      </c>
      <c r="X535" s="10" t="inlineStr">
        <is>
          <t>MCPのセッションは検索要約にのみ記載があり、未確認</t>
        </is>
      </c>
    </row>
    <row r="536">
      <c r="A536" s="10" t="n">
        <v>535</v>
      </c>
      <c r="B536" s="11" t="n">
        <v>46290</v>
      </c>
      <c r="C536" s="11" t="n">
        <v>46290</v>
      </c>
      <c r="D536" s="10">
        <f>MONTH(B536)&amp;"月"</f>
        <v/>
      </c>
      <c r="E536" s="12" t="n">
        <v>1</v>
      </c>
      <c r="F536" s="10" t="n"/>
      <c r="G536" s="10" t="inlineStr">
        <is>
          <t>【CeeBeeDee】macOS環境の効率化について話し合う会 #15／サイトウマサカズ、赤間 公太郎、岡田 陽一、鷹野 雅弘</t>
        </is>
      </c>
      <c r="H536" s="10" t="inlineStr">
        <is>
          <t>CeeBeeDee</t>
        </is>
      </c>
      <c r="I536" s="10" t="n"/>
      <c r="J536" s="10" t="inlineStr">
        <is>
          <t>Doorkeeper</t>
        </is>
      </c>
      <c r="K536" s="10" t="inlineStr">
        <is>
          <t>不明</t>
        </is>
      </c>
      <c r="L536" s="10" t="n"/>
      <c r="M536" s="10" t="inlineStr">
        <is>
          <t>生産性向上・業務効率化</t>
        </is>
      </c>
      <c r="N536" s="10" t="inlineStr">
        <is>
          <t>AIエージェント</t>
        </is>
      </c>
      <c r="O536" s="12" t="inlineStr">
        <is>
          <t>○</t>
        </is>
      </c>
      <c r="P536" s="13" t="n">
        <v>108</v>
      </c>
      <c r="Q536" s="12" t="inlineStr">
        <is>
          <t>参加者数</t>
        </is>
      </c>
      <c r="R536" s="14" t="n"/>
      <c r="S536" s="10" t="n"/>
      <c r="T536" s="10" t="inlineStr">
        <is>
          <t xml:space="preserve"> macOS環境の効率化をテーマに、さまざまなアイデアを共有し合うオンラインイベント。OS標準機能およびアプリ、関連ユーティリティを通して、macOS環境の効率化のアレコレについて話します。 「リアルタイム視聴は無料」スタイルで開催しますが、アーカイブチケット購入やサブスク登録でサポートくださいますと助かります！ 2台使いの環境で、設定を同じ状態に揃える／赤間 公太郎（マジカルリミックス） iOSやiPadOSも効率化！ショートカット.</t>
        </is>
      </c>
      <c r="U536" s="15" t="inlineStr">
        <is>
          <t>https://dtptransit.doorkeeper.jp/events/199228</t>
        </is>
      </c>
      <c r="V536" s="10" t="n"/>
      <c r="W536" s="10" t="inlineStr">
        <is>
          <t>本文一致</t>
        </is>
      </c>
      <c r="X536" s="10" t="n"/>
    </row>
    <row r="537">
      <c r="A537" s="10" t="n">
        <v>536</v>
      </c>
      <c r="B537" s="11" t="n">
        <v>46290</v>
      </c>
      <c r="C537" s="11" t="n">
        <v>46290</v>
      </c>
      <c r="D537" s="10">
        <f>MONTH(B537)&amp;"月"</f>
        <v/>
      </c>
      <c r="E537" s="12" t="n">
        <v>1</v>
      </c>
      <c r="F537" s="10" t="n"/>
      <c r="G537" s="10" t="inlineStr">
        <is>
          <t>【大企業向け】みずほ証券に聞く、大規模組織でDevinは効果が出るのか？ 〜Devinがハマる領域・ハマらない領域と、導入効果・運用課題〜</t>
        </is>
      </c>
      <c r="H537" s="10" t="inlineStr">
        <is>
          <t>ULSコンサルティング株式会社</t>
        </is>
      </c>
      <c r="I537" s="10" t="inlineStr">
        <is>
          <t>みずほ証券株式会社 マジセミ株式会社</t>
        </is>
      </c>
      <c r="J537" s="10" t="inlineStr">
        <is>
          <t>Doorkeeper</t>
        </is>
      </c>
      <c r="K537" s="10" t="inlineStr">
        <is>
          <t>不明</t>
        </is>
      </c>
      <c r="L537" s="10" t="n"/>
      <c r="M537" s="10" t="inlineStr">
        <is>
          <t>開発生産性</t>
        </is>
      </c>
      <c r="N537" s="10" t="inlineStr">
        <is>
          <t>AIエージェント</t>
        </is>
      </c>
      <c r="O537" s="12" t="inlineStr">
        <is>
          <t>○</t>
        </is>
      </c>
      <c r="P537" s="13" t="n">
        <v>2</v>
      </c>
      <c r="Q537" s="12" t="inlineStr">
        <is>
          <t>参加者数</t>
        </is>
      </c>
      <c r="R537" s="14" t="n">
        <v>2</v>
      </c>
      <c r="S537" s="10" t="n"/>
      <c r="T537"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PoCから大規模開発へ、AI駆動開発の活用が本格化 AI駆動開発の活用は、PoCにとどまらず、実際のシステム開発に組み込む本格導入のフェーズへと移りつつあります。 中でもDevinのようなAI駆動開発ツ</t>
        </is>
      </c>
      <c r="U537" s="15" t="inlineStr">
        <is>
          <t>https://majisemi-technology.doorkeeper.jp/events/199134</t>
        </is>
      </c>
      <c r="V537" s="10" t="n"/>
      <c r="W537" s="10" t="inlineStr">
        <is>
          <t>タイトル一致</t>
        </is>
      </c>
      <c r="X537" s="10" t="n"/>
    </row>
    <row r="538">
      <c r="A538" s="10" t="n">
        <v>537</v>
      </c>
      <c r="B538" s="11" t="n">
        <v>46290</v>
      </c>
      <c r="C538" s="11" t="n">
        <v>46290</v>
      </c>
      <c r="D538" s="10">
        <f>MONTH(B538)&amp;"月"</f>
        <v/>
      </c>
      <c r="E538" s="12" t="n">
        <v>1</v>
      </c>
      <c r="F538" s="10" t="n"/>
      <c r="G538" s="10" t="inlineStr">
        <is>
          <t>【大阪・梅田】AIバイブコーディング講義＆AIエージェント活用LT会</t>
        </is>
      </c>
      <c r="H538" s="10" t="inlineStr">
        <is>
          <t>AI ハックラボ</t>
        </is>
      </c>
      <c r="I538" s="10" t="n"/>
      <c r="J538" s="10" t="inlineStr">
        <is>
          <t>connpass</t>
        </is>
      </c>
      <c r="K538" s="10" t="inlineStr">
        <is>
          <t>会場</t>
        </is>
      </c>
      <c r="L538" s="10" t="inlineStr">
        <is>
          <t>大阪府大阪市北区芝田2丁目621PMO梅田4F</t>
        </is>
      </c>
      <c r="M538" s="10" t="inlineStr">
        <is>
          <t>開発生産性</t>
        </is>
      </c>
      <c r="N538" s="10" t="inlineStr">
        <is>
          <t>AIエージェント</t>
        </is>
      </c>
      <c r="O538" s="12" t="inlineStr">
        <is>
          <t>○</t>
        </is>
      </c>
      <c r="P538" s="13" t="n">
        <v>15</v>
      </c>
      <c r="Q538" s="12" t="inlineStr">
        <is>
          <t>参加者数</t>
        </is>
      </c>
      <c r="R538" s="14" t="n">
        <v>23</v>
      </c>
      <c r="S538" s="10" t="n"/>
      <c r="T538" s="10" t="n"/>
      <c r="U538" s="15" t="inlineStr">
        <is>
          <t>https://aihacklabo.connpass.com/event/405311/</t>
        </is>
      </c>
      <c r="V538" s="10" t="n"/>
      <c r="W538" s="10" t="inlineStr">
        <is>
          <t>タイトル一致</t>
        </is>
      </c>
      <c r="X538" s="10" t="n"/>
    </row>
    <row r="539">
      <c r="A539" s="10" t="n">
        <v>538</v>
      </c>
      <c r="B539" s="11" t="n">
        <v>46290</v>
      </c>
      <c r="C539" s="11" t="n">
        <v>46290</v>
      </c>
      <c r="D539" s="10">
        <f>MONTH(B539)&amp;"月"</f>
        <v/>
      </c>
      <c r="E539" s="12" t="n">
        <v>1</v>
      </c>
      <c r="F539" s="10" t="n"/>
      <c r="G539" s="10" t="inlineStr">
        <is>
          <t>【無料オンライン/9月〜11月開催】回答するAIから、業務を進めるAIへ！Agentforceで実現する「問い合わせ対応・受発注一元化」セミナー</t>
        </is>
      </c>
      <c r="H539" s="10" t="inlineStr">
        <is>
          <t>フロッグウェル株式会社</t>
        </is>
      </c>
      <c r="I539" s="10" t="n"/>
      <c r="J539" s="10" t="inlineStr">
        <is>
          <t>PR TIMES</t>
        </is>
      </c>
      <c r="K539" s="10" t="inlineStr">
        <is>
          <t>online</t>
        </is>
      </c>
      <c r="L539" s="10" t="inlineStr">
        <is>
          <t>オンライン</t>
        </is>
      </c>
      <c r="M539" s="10" t="inlineStr">
        <is>
          <t>営業・マーケ・CS</t>
        </is>
      </c>
      <c r="N539" s="10" t="inlineStr">
        <is>
          <t>AIエージェント</t>
        </is>
      </c>
      <c r="O539" s="12" t="inlineStr">
        <is>
          <t>◎</t>
        </is>
      </c>
      <c r="P539" s="13" t="n"/>
      <c r="Q539" s="12" t="inlineStr">
        <is>
          <t>不明</t>
        </is>
      </c>
      <c r="R539" s="14" t="n"/>
      <c r="S539" s="10" t="n"/>
      <c r="T539" s="10" t="inlineStr">
        <is>
          <t>2026年9月25日(金)17:00～18:00（10月27日にも開催）。近年、生成AIを活用したチャットボットの導入が進み、質問への回答や文章作成の効率化が期待される一方で、実際の業務現場では「AIが回答を生成するだけでは不十分」「問い合わせ内容の確認や不足情報のヒアリング、Salesforceへの手動登録や担当者への引き継ぎに手間がかかる」といった課題が残されています。 また、受発注業務においても、FAX、メール、電話、Webなど複</t>
        </is>
      </c>
      <c r="U539" s="15" t="inlineStr">
        <is>
          <t>https://prtimes.jp/main/html/rd/p/000000365.000078896.html</t>
        </is>
      </c>
      <c r="V539" s="10" t="n"/>
      <c r="W539" s="10" t="inlineStr">
        <is>
          <t>タイトル一致</t>
        </is>
      </c>
      <c r="X539" s="10" t="n"/>
    </row>
    <row r="540">
      <c r="A540" s="10" t="n">
        <v>539</v>
      </c>
      <c r="B540" s="11" t="n">
        <v>46290</v>
      </c>
      <c r="C540" s="11" t="n">
        <v>46290</v>
      </c>
      <c r="D540" s="10">
        <f>MONTH(B540)&amp;"月"</f>
        <v/>
      </c>
      <c r="E540" s="12" t="n">
        <v>1</v>
      </c>
      <c r="F540" s="10" t="n"/>
      <c r="G540" s="10" t="inlineStr">
        <is>
          <t>【第12回】FIC「創業してAIエージェントで会社を動かしてる話」</t>
        </is>
      </c>
      <c r="H540" s="10" t="inlineStr">
        <is>
          <t>Fukuoka Innovation Community</t>
        </is>
      </c>
      <c r="I540" s="10" t="n"/>
      <c r="J540" s="10" t="inlineStr">
        <is>
          <t>connpass</t>
        </is>
      </c>
      <c r="K540" s="10" t="inlineStr">
        <is>
          <t>会場</t>
        </is>
      </c>
      <c r="L540" s="10" t="inlineStr">
        <is>
          <t>福岡市博多区博多駅東１丁目１８−３３ 博多イーストテラス 1F</t>
        </is>
      </c>
      <c r="M540" s="10" t="inlineStr">
        <is>
          <t>技術・AI全般</t>
        </is>
      </c>
      <c r="N540" s="10" t="inlineStr">
        <is>
          <t>AIエージェント</t>
        </is>
      </c>
      <c r="O540" s="12" t="inlineStr">
        <is>
          <t>○</t>
        </is>
      </c>
      <c r="P540" s="13" t="n">
        <v>44</v>
      </c>
      <c r="Q540" s="12" t="inlineStr">
        <is>
          <t>参加者数</t>
        </is>
      </c>
      <c r="R540" s="14" t="n">
        <v>55</v>
      </c>
      <c r="S540" s="10" t="n"/>
      <c r="T540" s="10" t="n"/>
      <c r="U540" s="15" t="inlineStr">
        <is>
          <t>https://fix.connpass.com/event/403196/</t>
        </is>
      </c>
      <c r="V540" s="10" t="n"/>
      <c r="W540" s="10" t="inlineStr">
        <is>
          <t>タイトル一致</t>
        </is>
      </c>
      <c r="X540" s="10" t="n"/>
    </row>
    <row r="541">
      <c r="A541" s="10" t="n">
        <v>540</v>
      </c>
      <c r="B541" s="11" t="n">
        <v>46290</v>
      </c>
      <c r="C541" s="11" t="n">
        <v>46290</v>
      </c>
      <c r="D541" s="10">
        <f>MONTH(B541)&amp;"月"</f>
        <v/>
      </c>
      <c r="E541" s="12" t="n">
        <v>1</v>
      </c>
      <c r="F541" s="10" t="n"/>
      <c r="G541" s="10" t="inlineStr">
        <is>
          <t>いまさら聞けないシリーズ「Microsoft Copilot」Copilot・エージェント・Studioの違いと、業務での使い分け</t>
        </is>
      </c>
      <c r="H541" s="10" t="inlineStr">
        <is>
          <t>ヒューマンリソシア株式会社 DXセミナー事務局</t>
        </is>
      </c>
      <c r="I541" s="10" t="n"/>
      <c r="J541" s="10" t="inlineStr">
        <is>
          <t>こくちーずプロ</t>
        </is>
      </c>
      <c r="K541" s="10" t="inlineStr">
        <is>
          <t>オンライン</t>
        </is>
      </c>
      <c r="L541" s="10" t="inlineStr">
        <is>
          <t>オンライン 日本</t>
        </is>
      </c>
      <c r="M541" s="10" t="inlineStr">
        <is>
          <t>生産性向上・業務効率化</t>
        </is>
      </c>
      <c r="N541" s="10" t="inlineStr">
        <is>
          <t>AIエージェント</t>
        </is>
      </c>
      <c r="O541" s="12" t="inlineStr">
        <is>
          <t>◎</t>
        </is>
      </c>
      <c r="P541" s="13" t="n"/>
      <c r="Q541" s="12" t="inlineStr">
        <is>
          <t>不明</t>
        </is>
      </c>
      <c r="R541" s="14" t="n"/>
      <c r="S541" s="10" t="n"/>
      <c r="T541" s="10" t="inlineStr">
        <is>
          <t>「Microsoft 365 Copilotを導入したものの、 メール要約や資料作成など個人利用に とどまり、 次に何をすべきか分からない」と感じていませんか。 Microsoft 365の各アプリや社内説明で「Copilot」という名称を目にするものの Copilot、Copilotエージェント、Copilot Studioの違い が曖昧なままでは、 社内問い合わせやナレッジ検索など、全社的な業務改善につながるテーマを選べず、 PoC</t>
        </is>
      </c>
      <c r="U541" s="15" t="inlineStr">
        <is>
          <t>https://www.kokuchpro.com/event/ms_260925/</t>
        </is>
      </c>
      <c r="V541" s="10" t="n"/>
      <c r="W541" s="10" t="inlineStr">
        <is>
          <t>タイトル一致</t>
        </is>
      </c>
      <c r="X541" s="10" t="n"/>
    </row>
    <row r="542">
      <c r="A542" s="10" t="n">
        <v>541</v>
      </c>
      <c r="B542" s="11" t="n">
        <v>46290</v>
      </c>
      <c r="C542" s="11" t="n">
        <v>46290</v>
      </c>
      <c r="D542" s="10">
        <f>MONTH(B542)&amp;"月"</f>
        <v/>
      </c>
      <c r="E542" s="12" t="n">
        <v>1</v>
      </c>
      <c r="F542" s="10" t="n"/>
      <c r="G542" s="10" t="inlineStr">
        <is>
          <t>やさしい Claude Code インストール挑戦会</t>
        </is>
      </c>
      <c r="H542" s="10" t="inlineStr">
        <is>
          <t>やさしいAI駆動社会クリエイターズ</t>
        </is>
      </c>
      <c r="I542" s="10" t="n"/>
      <c r="J542" s="10" t="inlineStr">
        <is>
          <t>connpass</t>
        </is>
      </c>
      <c r="K542" s="10" t="inlineStr">
        <is>
          <t>オンライン</t>
        </is>
      </c>
      <c r="L542" s="10" t="inlineStr">
        <is>
          <t>オンライン</t>
        </is>
      </c>
      <c r="M542" s="10" t="inlineStr">
        <is>
          <t>開発生産性</t>
        </is>
      </c>
      <c r="N542" s="10" t="inlineStr">
        <is>
          <t>AIエージェント</t>
        </is>
      </c>
      <c r="O542" s="12" t="inlineStr">
        <is>
          <t>○</t>
        </is>
      </c>
      <c r="P542" s="13" t="n">
        <v>27</v>
      </c>
      <c r="Q542" s="12" t="inlineStr">
        <is>
          <t>参加者数</t>
        </is>
      </c>
      <c r="R542" s="14" t="n"/>
      <c r="S542" s="10" t="n"/>
      <c r="T542" s="10" t="n"/>
      <c r="U542" s="15" t="inlineStr">
        <is>
          <t>https://biosbootcamp.connpass.com/event/404660/</t>
        </is>
      </c>
      <c r="V542" s="10" t="n"/>
      <c r="W542" s="10" t="inlineStr">
        <is>
          <t>タイトル一致</t>
        </is>
      </c>
      <c r="X542" s="10" t="n"/>
    </row>
    <row r="543">
      <c r="A543" s="10" t="n">
        <v>542</v>
      </c>
      <c r="B543" s="11" t="n">
        <v>46290</v>
      </c>
      <c r="C543" s="11" t="n">
        <v>46290</v>
      </c>
      <c r="D543" s="10">
        <f>MONTH(B543)&amp;"月"</f>
        <v/>
      </c>
      <c r="E543" s="12" t="n">
        <v>1</v>
      </c>
      <c r="F543" s="10" t="n"/>
      <c r="G543" s="10" t="inlineStr">
        <is>
          <t>広島開催|ひとり社長・創業予定者向けCodex活用無料セミナー</t>
        </is>
      </c>
      <c r="H543" s="10" t="inlineStr">
        <is>
          <t>Prompthing株式会社</t>
        </is>
      </c>
      <c r="I543" s="10" t="n"/>
      <c r="J543" s="10" t="inlineStr">
        <is>
          <t>こくちーずプロ</t>
        </is>
      </c>
      <c r="K543" s="10" t="inlineStr">
        <is>
          <t>オフライン（会場）</t>
        </is>
      </c>
      <c r="L543" s="10" t="inlineStr">
        <is>
          <t>コジマホールディングス西区民文化センター 小会議室1(予定) 広島県広島市西区横川新町6番1号</t>
        </is>
      </c>
      <c r="M543" s="10" t="inlineStr">
        <is>
          <t>開発生産性</t>
        </is>
      </c>
      <c r="N543" s="10" t="inlineStr">
        <is>
          <t>AIエージェント</t>
        </is>
      </c>
      <c r="O543" s="12" t="inlineStr">
        <is>
          <t>○</t>
        </is>
      </c>
      <c r="P543" s="13" t="n">
        <v>2</v>
      </c>
      <c r="Q543" s="12" t="inlineStr">
        <is>
          <t>イベント参加 2/10</t>
        </is>
      </c>
      <c r="R543" s="14" t="n">
        <v>10</v>
      </c>
      <c r="S543" s="10" t="n"/>
      <c r="T543" s="10" t="inlineStr">
        <is>
          <t>ChatGPTを文章作成や相談以外にも活用したい方へ、Codexを業務へ取り入れる考え方から扱います。 Codexの基本、ChatGPTとの違い、調査・資料作成・複数ファイルの扱い、業務を分解してAIへ依頼する考え方を扱います。プログラミング経験は必要ありません。 2026年9月25日（金）18:00〜20:00に、コジマホールディングス西区民文化センター 小会議室1（予定）（広島県広島市西区横川新町6番1号）で開催します。本媒体での募</t>
        </is>
      </c>
      <c r="U543" s="15" t="inlineStr">
        <is>
          <t>https://www.kokuchpro.com/event/aeed43ec3de034d7431e335e7dd8c807/</t>
        </is>
      </c>
      <c r="V543" s="10" t="n"/>
      <c r="W543" s="10" t="inlineStr">
        <is>
          <t>タイトル一致</t>
        </is>
      </c>
      <c r="X543" s="10" t="n"/>
    </row>
    <row r="544">
      <c r="A544" s="10" t="n">
        <v>543</v>
      </c>
      <c r="B544" s="11" t="n">
        <v>46291</v>
      </c>
      <c r="C544" s="11" t="n">
        <v>46291</v>
      </c>
      <c r="D544" s="10">
        <f>MONTH(B544)&amp;"月"</f>
        <v/>
      </c>
      <c r="E544" s="12" t="n">
        <v>1</v>
      </c>
      <c r="F544" s="10" t="n"/>
      <c r="G544" s="10" t="inlineStr">
        <is>
          <t>【刈谷開催・第5回】Claude Code、Pythonで工場向けWebアプリを作るハンズオン</t>
        </is>
      </c>
      <c r="H544" s="10" t="inlineStr">
        <is>
          <t>【刈谷開催】IoTクレーンゲームで体感する工場DX</t>
        </is>
      </c>
      <c r="I544" s="10" t="n"/>
      <c r="J544" s="10" t="inlineStr">
        <is>
          <t>connpass</t>
        </is>
      </c>
      <c r="K544" s="10" t="inlineStr">
        <is>
          <t>会場</t>
        </is>
      </c>
      <c r="L544" s="10" t="inlineStr">
        <is>
          <t>〒448-0027 愛知県刈谷市相生町２丁目20−番地 パークホテル刈谷 QS２階</t>
        </is>
      </c>
      <c r="M544" s="10" t="inlineStr">
        <is>
          <t>生産管理・製造・SCM</t>
        </is>
      </c>
      <c r="N544" s="10" t="inlineStr">
        <is>
          <t>AIエージェント</t>
        </is>
      </c>
      <c r="O544" s="12" t="inlineStr">
        <is>
          <t>◎</t>
        </is>
      </c>
      <c r="P544" s="13" t="n"/>
      <c r="Q544" s="12" t="inlineStr">
        <is>
          <t>不明</t>
        </is>
      </c>
      <c r="R544" s="14" t="n"/>
      <c r="S544" s="10" t="n"/>
      <c r="T544" s="10" t="n"/>
      <c r="U544" s="15" t="inlineStr">
        <is>
          <t>https://crane-game.connpass.com/event/405625/</t>
        </is>
      </c>
      <c r="V544" s="10" t="n"/>
      <c r="W544" s="10" t="inlineStr">
        <is>
          <t>タイトル一致</t>
        </is>
      </c>
      <c r="X544" s="10" t="n"/>
    </row>
    <row r="545">
      <c r="A545" s="10" t="n">
        <v>544</v>
      </c>
      <c r="B545" s="11" t="n">
        <v>46291</v>
      </c>
      <c r="C545" s="11" t="n">
        <v>46291</v>
      </c>
      <c r="D545" s="10">
        <f>MONTH(B545)&amp;"月"</f>
        <v/>
      </c>
      <c r="E545" s="12" t="n">
        <v>1</v>
      </c>
      <c r="F545" s="10" t="n"/>
      <c r="G545" s="10" t="inlineStr">
        <is>
          <t>【石川DX実践会議】AIエージェントの「スキル」入門</t>
        </is>
      </c>
      <c r="H545" s="10" t="inlineStr">
        <is>
          <t>石川DX実践会議</t>
        </is>
      </c>
      <c r="I545" s="10" t="n"/>
      <c r="J545" s="10" t="inlineStr">
        <is>
          <t>こくちーずプロ</t>
        </is>
      </c>
      <c r="K545" s="10" t="inlineStr">
        <is>
          <t>オフライン（会場）</t>
        </is>
      </c>
      <c r="L545" s="10" t="inlineStr">
        <is>
          <t>AnnChai 石川県石川県金沢市東山2丁目9-14</t>
        </is>
      </c>
      <c r="M545" s="10" t="inlineStr">
        <is>
          <t>生産性向上・業務効率化</t>
        </is>
      </c>
      <c r="N545" s="10" t="inlineStr">
        <is>
          <t>AIエージェント</t>
        </is>
      </c>
      <c r="O545" s="12" t="inlineStr">
        <is>
          <t>◎</t>
        </is>
      </c>
      <c r="P545" s="13" t="n">
        <v>7</v>
      </c>
      <c r="Q545" s="12" t="inlineStr">
        <is>
          <t>イベント参加 7/15</t>
        </is>
      </c>
      <c r="R545" s="14" t="n">
        <v>15</v>
      </c>
      <c r="S545" s="10" t="n"/>
      <c r="T545" s="10" t="inlineStr">
        <is>
          <t>■ いま、AIの使い方が変わりつつあります ChatGPT にも、Claude にも、Gemini にも、「スキル」という同じ名前の機能が入りました。 これまでのGPTsやGemが「AIの着せ替え」だったとすると、スキルは「うちのやり方を書いた手順書」です。一度渡しておけば、次からは呼び出すだけ。毎回おなじ長い指示を打ち込む必要がなくなります。 そして Gemini では、Gem について「10月20日で終了」という案内がアプリ上に表示</t>
        </is>
      </c>
      <c r="U545" s="15" t="inlineStr">
        <is>
          <t>https://www.kokuchpro.com/event/3fef373fb2dcfe255ffe0532d9e1253a/</t>
        </is>
      </c>
      <c r="V545" s="10" t="n"/>
      <c r="W545" s="10" t="inlineStr">
        <is>
          <t>タイトル一致</t>
        </is>
      </c>
      <c r="X545" s="10" t="n"/>
    </row>
    <row r="546">
      <c r="A546" s="10" t="n">
        <v>545</v>
      </c>
      <c r="B546" s="11" t="n">
        <v>46291</v>
      </c>
      <c r="C546" s="11" t="n">
        <v>46291</v>
      </c>
      <c r="D546" s="10">
        <f>MONTH(B546)&amp;"月"</f>
        <v/>
      </c>
      <c r="E546" s="12" t="n">
        <v>1</v>
      </c>
      <c r="F546" s="10" t="n"/>
      <c r="G546" s="10" t="inlineStr">
        <is>
          <t>第5回ハンズオン勉強会 Claude Code でつくる はじめての業務ツール</t>
        </is>
      </c>
      <c r="H546" s="10" t="inlineStr">
        <is>
          <t>CDLE熊本</t>
        </is>
      </c>
      <c r="I546" s="10" t="n"/>
      <c r="J546" s="10" t="inlineStr">
        <is>
          <t>connpass</t>
        </is>
      </c>
      <c r="K546" s="10" t="inlineStr">
        <is>
          <t>会場</t>
        </is>
      </c>
      <c r="L546" s="10" t="inlineStr">
        <is>
          <t>熊本県熊本市西区春日1丁目14-1</t>
        </is>
      </c>
      <c r="M546" s="10" t="inlineStr">
        <is>
          <t>生産性向上・業務効率化</t>
        </is>
      </c>
      <c r="N546" s="10" t="inlineStr">
        <is>
          <t>AIエージェント</t>
        </is>
      </c>
      <c r="O546" s="12" t="inlineStr">
        <is>
          <t>◎</t>
        </is>
      </c>
      <c r="P546" s="13" t="n">
        <v>14</v>
      </c>
      <c r="Q546" s="12" t="inlineStr">
        <is>
          <t>参加者数</t>
        </is>
      </c>
      <c r="R546" s="14" t="n">
        <v>23</v>
      </c>
      <c r="S546" s="10" t="n"/>
      <c r="T546" s="10" t="n"/>
      <c r="U546" s="15" t="inlineStr">
        <is>
          <t>https://cdle-kumamoto.connpass.com/event/404168/</t>
        </is>
      </c>
      <c r="V546" s="10" t="n"/>
      <c r="W546" s="10" t="inlineStr">
        <is>
          <t>タイトル一致</t>
        </is>
      </c>
      <c r="X546" s="10" t="n"/>
    </row>
    <row r="547">
      <c r="A547" s="10" t="n">
        <v>546</v>
      </c>
      <c r="B547" s="11" t="n">
        <v>46292</v>
      </c>
      <c r="C547" s="11" t="n">
        <v>46292</v>
      </c>
      <c r="D547" s="10">
        <f>MONTH(B547)&amp;"月"</f>
        <v/>
      </c>
      <c r="E547" s="12" t="n">
        <v>1</v>
      </c>
      <c r="F547" s="10" t="n"/>
      <c r="G547" s="10" t="inlineStr">
        <is>
          <t>AIエージェント相手に商売する — x402ではじめるAgentic Payments</t>
        </is>
      </c>
      <c r="H547" s="10" t="inlineStr">
        <is>
          <t>nishinomiya.dev</t>
        </is>
      </c>
      <c r="I547" s="10" t="n"/>
      <c r="J547" s="10" t="inlineStr">
        <is>
          <t>connpass</t>
        </is>
      </c>
      <c r="K547" s="10" t="inlineStr">
        <is>
          <t>会場</t>
        </is>
      </c>
      <c r="L547" s="10" t="inlineStr">
        <is>
          <t>兵庫県西宮市千歳町6番16号</t>
        </is>
      </c>
      <c r="M547" s="10" t="inlineStr">
        <is>
          <t>技術・AI全般</t>
        </is>
      </c>
      <c r="N547" s="10" t="inlineStr">
        <is>
          <t>AIエージェント</t>
        </is>
      </c>
      <c r="O547" s="12" t="inlineStr">
        <is>
          <t>○</t>
        </is>
      </c>
      <c r="P547" s="13" t="n">
        <v>6</v>
      </c>
      <c r="Q547" s="12" t="inlineStr">
        <is>
          <t>参加者数</t>
        </is>
      </c>
      <c r="R547" s="14" t="n">
        <v>10</v>
      </c>
      <c r="S547" s="10" t="n"/>
      <c r="T547" s="10" t="n"/>
      <c r="U547" s="15" t="inlineStr">
        <is>
          <t>https://nishinomiya.connpass.com/event/404867/</t>
        </is>
      </c>
      <c r="V547" s="10" t="n"/>
      <c r="W547" s="10" t="inlineStr">
        <is>
          <t>タイトル一致</t>
        </is>
      </c>
      <c r="X547" s="10" t="n"/>
    </row>
    <row r="548">
      <c r="A548" s="10" t="n">
        <v>547</v>
      </c>
      <c r="B548" s="11" t="n">
        <v>46293</v>
      </c>
      <c r="C548" s="11" t="n">
        <v>46293</v>
      </c>
      <c r="D548" s="10">
        <f>MONTH(B548)&amp;"月"</f>
        <v/>
      </c>
      <c r="E548" s="12" t="n">
        <v>1</v>
      </c>
      <c r="F548" s="10" t="n"/>
      <c r="G548" s="10" t="inlineStr">
        <is>
          <t>AICX協会「AIエージェント・ストラテジスト資格 公式ケース演習講座」</t>
        </is>
      </c>
      <c r="H548" s="10" t="inlineStr">
        <is>
          <t>一般社団法人AICX協会</t>
        </is>
      </c>
      <c r="I548" s="10" t="n"/>
      <c r="J548" s="10" t="inlineStr">
        <is>
          <t>PR TIMES</t>
        </is>
      </c>
      <c r="K548" s="10" t="inlineStr">
        <is>
          <t>online</t>
        </is>
      </c>
      <c r="L548" s="10" t="inlineStr">
        <is>
          <t>オンライン（Zoom）</t>
        </is>
      </c>
      <c r="M548" s="10" t="inlineStr">
        <is>
          <t>営業・マーケ・CS</t>
        </is>
      </c>
      <c r="N548" s="10" t="inlineStr">
        <is>
          <t>AIエージェント</t>
        </is>
      </c>
      <c r="O548" s="12" t="inlineStr">
        <is>
          <t>◎</t>
        </is>
      </c>
      <c r="P548" s="13" t="n"/>
      <c r="Q548" s="12" t="inlineStr">
        <is>
          <t>不明</t>
        </is>
      </c>
      <c r="R548" s="14" t="n"/>
      <c r="S548" s="10" t="n"/>
      <c r="T548" s="10" t="inlineStr">
        <is>
          <t>一般社団法人AICX協会（所在地：東京都新宿区、代表理事：小栗 伸／小澤 健祐、以下「AICX協会」）は、2026年9月28日（月）9:00～13:00にオンラインで開催する「AICX認定｜AIエージェント・ストラテジスト資格 公式ケース演習講座」について、個人向けの申込受付を開始しました。 本講座は、法人向け研修として先行案内していた4時間の実践型プログラムです。第1回資格試験の受験者から、ケースを使って考える学習機会を求める声が多く</t>
        </is>
      </c>
      <c r="U548" s="15" t="inlineStr">
        <is>
          <t>https://prtimes.jp/main/html/rd/p/000000163.000155740.html</t>
        </is>
      </c>
      <c r="V548" s="10" t="n"/>
      <c r="W548" s="10" t="inlineStr">
        <is>
          <t>タイトル一致</t>
        </is>
      </c>
      <c r="X548" s="10" t="n"/>
    </row>
    <row r="549">
      <c r="A549" s="10" t="n">
        <v>548</v>
      </c>
      <c r="B549" s="11" t="n">
        <v>46293</v>
      </c>
      <c r="C549" s="11" t="n">
        <v>46293</v>
      </c>
      <c r="D549" s="10">
        <f>MONTH(B549)&amp;"月"</f>
        <v/>
      </c>
      <c r="E549" s="12" t="n">
        <v>1</v>
      </c>
      <c r="F549" s="10" t="n"/>
      <c r="G549" s="10" t="inlineStr">
        <is>
          <t>「5本の柱」× AI で “稼ぎ” を安定させる 〜 企業顧問・スポット相談・セミナー・デジタルコンテンツ・個人コンサル、そしてAIで“成約”まで 〜</t>
        </is>
      </c>
      <c r="H549" s="10" t="inlineStr">
        <is>
          <t>ランマッチ</t>
        </is>
      </c>
      <c r="I549" s="10" t="n"/>
      <c r="J549" s="10" t="inlineStr">
        <is>
          <t>こくちーずプロ</t>
        </is>
      </c>
      <c r="K549" s="10" t="inlineStr">
        <is>
          <t>オンライン</t>
        </is>
      </c>
      <c r="L549" s="10" t="inlineStr">
        <is>
          <t>オンライン 日本</t>
        </is>
      </c>
      <c r="M549" s="10" t="inlineStr">
        <is>
          <t>営業・マーケ・CS</t>
        </is>
      </c>
      <c r="N549" s="10" t="inlineStr">
        <is>
          <t>AIエージェント</t>
        </is>
      </c>
      <c r="O549" s="12" t="inlineStr">
        <is>
          <t>○</t>
        </is>
      </c>
      <c r="P549" s="13" t="n">
        <v>0</v>
      </c>
      <c r="Q549" s="12" t="inlineStr">
        <is>
          <t>イベント参加 0/10</t>
        </is>
      </c>
      <c r="R549" s="14" t="n">
        <v>10</v>
      </c>
      <c r="S549" s="10" t="n"/>
      <c r="T549" s="10" t="inlineStr">
        <is>
          <t>会社員からの新しい働き方【総集編】 「5本の柱」× AI で “稼ぎ” を安定させる 〜 企業顧問・スポット相談・セミナー・デジタルコンテンツ・個人コンサル、そしてAIで“成約”まで 〜 「頑張って働いているのに、収入がひとつの仕事に依存していて不安」——そんな方へ。 パナソニックで35年、独立後7年で60社以上を支援してきた私（大森）が、 会社員時代の経験を“複数の収入の柱”に変える方法を、総集編としてお話しします。 柱は5つ。①企業</t>
        </is>
      </c>
      <c r="U549" s="15" t="inlineStr">
        <is>
          <t>https://www.kokuchpro.com/event/8bb495e72d432108f0c6a294e0475eeb/</t>
        </is>
      </c>
      <c r="V549" s="10" t="n"/>
      <c r="W549" s="10" t="inlineStr">
        <is>
          <t>本文一致</t>
        </is>
      </c>
      <c r="X549" s="10" t="n"/>
    </row>
    <row r="550">
      <c r="A550" s="10" t="n">
        <v>549</v>
      </c>
      <c r="B550" s="11" t="n">
        <v>46293</v>
      </c>
      <c r="C550" s="11" t="n">
        <v>46293</v>
      </c>
      <c r="D550" s="10">
        <f>MONTH(B550)&amp;"月"</f>
        <v/>
      </c>
      <c r="E550" s="12" t="n">
        <v>1</v>
      </c>
      <c r="F550" s="10" t="n"/>
      <c r="G550" s="10" t="inlineStr">
        <is>
          <t>【6席以上のコールセンター向け】AIオペレータ導入で失敗しないために、何を確認すべきか？ 〜AI SaaSで3,600社の導入支援から分かった3つのポイント〜</t>
        </is>
      </c>
      <c r="H550" s="10" t="inlineStr">
        <is>
          <t>株式会社 PKSHA Technology</t>
        </is>
      </c>
      <c r="I550" s="10" t="inlineStr">
        <is>
          <t>マジセミ株式会社</t>
        </is>
      </c>
      <c r="J550" s="10" t="inlineStr">
        <is>
          <t>Doorkeeper</t>
        </is>
      </c>
      <c r="K550" s="10" t="inlineStr">
        <is>
          <t>不明</t>
        </is>
      </c>
      <c r="L550" s="10" t="n"/>
      <c r="M550" s="10" t="inlineStr">
        <is>
          <t>営業・マーケ・CS</t>
        </is>
      </c>
      <c r="N550" s="10" t="inlineStr">
        <is>
          <t>AIエージェント</t>
        </is>
      </c>
      <c r="O550" s="12" t="inlineStr">
        <is>
          <t>○</t>
        </is>
      </c>
      <c r="P550" s="13" t="n">
        <v>0</v>
      </c>
      <c r="Q550" s="12" t="inlineStr">
        <is>
          <t>参加者数</t>
        </is>
      </c>
      <c r="R550" s="14" t="n"/>
      <c r="S550" s="10" t="n"/>
      <c r="T550"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電話対応の自動化は進んだが、思ったより入電が減らないという声 人手不足と応対品質の維持を背景に、コールセンターへのAI音声対応（AIオペレータ／ボイスボット）の導入が急速に進んでいます。 問い合わせ対応</t>
        </is>
      </c>
      <c r="U550" s="15" t="inlineStr">
        <is>
          <t>https://majisemi-business.doorkeeper.jp/events/199241</t>
        </is>
      </c>
      <c r="V550" s="10" t="n"/>
      <c r="W550" s="10" t="inlineStr">
        <is>
          <t>本文一致</t>
        </is>
      </c>
      <c r="X550" s="10" t="n"/>
    </row>
    <row r="551">
      <c r="A551" s="10" t="n">
        <v>550</v>
      </c>
      <c r="B551" s="11" t="n">
        <v>46293</v>
      </c>
      <c r="C551" s="11" t="n">
        <v>46293</v>
      </c>
      <c r="D551" s="10">
        <f>MONTH(B551)&amp;"月"</f>
        <v/>
      </c>
      <c r="E551" s="12" t="n">
        <v>1</v>
      </c>
      <c r="F551" s="10" t="n"/>
      <c r="G551" s="10" t="inlineStr">
        <is>
          <t>【ウェブ解析士会員向けオフィスアワー9月】第一線のプロが語る、実践に役立つウェブ解析</t>
        </is>
      </c>
      <c r="H551" s="10" t="inlineStr">
        <is>
          <t>web-mining</t>
        </is>
      </c>
      <c r="I551" s="10" t="n"/>
      <c r="J551" s="10" t="inlineStr">
        <is>
          <t>Doorkeeper</t>
        </is>
      </c>
      <c r="K551" s="10" t="inlineStr">
        <is>
          <t>不明</t>
        </is>
      </c>
      <c r="L551" s="10" t="n"/>
      <c r="M551" s="10" t="inlineStr">
        <is>
          <t>営業・マーケ・CS</t>
        </is>
      </c>
      <c r="N551" s="10" t="inlineStr">
        <is>
          <t>AIエージェント</t>
        </is>
      </c>
      <c r="O551" s="12" t="inlineStr">
        <is>
          <t>○</t>
        </is>
      </c>
      <c r="P551" s="13" t="n">
        <v>39</v>
      </c>
      <c r="Q551" s="12" t="inlineStr">
        <is>
          <t>参加者数</t>
        </is>
      </c>
      <c r="R551" s="14" t="n"/>
      <c r="S551" s="10" t="n"/>
      <c r="T551" s="10" t="inlineStr">
        <is>
          <t xml:space="preserve"> こちらのセミナーは「参加要件」がございます。 必ずお読みください。 講座概要 ウェブ解析士マスターとウェブ解析士マスター資格取得にチャレンジ中の受講生が、各自20分の持ち時間の中で、専門分野の事例や研究成果、最新のトレンドなど、多彩なテーマを凝縮して発表します。 第一線で活躍するプロフェッショナルたちの様々な知見に触れることができる絶好の機会です。 ウェブ解析の知識を深めたい方、新たな学びを得たい方、ご自身の業務や仕事へのヒントを得た</t>
        </is>
      </c>
      <c r="U551" s="15" t="inlineStr">
        <is>
          <t>https://web-mining.doorkeeper.jp/events/198725</t>
        </is>
      </c>
      <c r="V551" s="10" t="n"/>
      <c r="W551" s="10" t="inlineStr">
        <is>
          <t>本文一致</t>
        </is>
      </c>
      <c r="X551" s="10" t="n"/>
    </row>
    <row r="552">
      <c r="A552" s="10" t="n">
        <v>551</v>
      </c>
      <c r="B552" s="11" t="n">
        <v>46293</v>
      </c>
      <c r="C552" s="11" t="n">
        <v>46293</v>
      </c>
      <c r="D552" s="10">
        <f>MONTH(B552)&amp;"月"</f>
        <v/>
      </c>
      <c r="E552" s="12" t="n">
        <v>1</v>
      </c>
      <c r="F552" s="10" t="n"/>
      <c r="G552" s="10" t="inlineStr">
        <is>
          <t>リクルート流データ基盤塾 第4弾～鶴谷と学ぶ、AIエージェント開発と活用の裏側～</t>
        </is>
      </c>
      <c r="H552" s="10" t="inlineStr">
        <is>
          <t>株式会社リクルート</t>
        </is>
      </c>
      <c r="I552" s="10" t="n"/>
      <c r="J552" s="10" t="inlineStr">
        <is>
          <t>connpass</t>
        </is>
      </c>
      <c r="K552" s="10" t="inlineStr">
        <is>
          <t>オンライン</t>
        </is>
      </c>
      <c r="L552" s="10" t="inlineStr">
        <is>
          <t>オンライン</t>
        </is>
      </c>
      <c r="M552" s="10" t="inlineStr">
        <is>
          <t>開発生産性</t>
        </is>
      </c>
      <c r="N552" s="10" t="inlineStr">
        <is>
          <t>AIエージェント</t>
        </is>
      </c>
      <c r="O552" s="12" t="inlineStr">
        <is>
          <t>○</t>
        </is>
      </c>
      <c r="P552" s="13" t="n">
        <v>229</v>
      </c>
      <c r="Q552" s="12" t="inlineStr">
        <is>
          <t>参加者数</t>
        </is>
      </c>
      <c r="R552" s="14" t="n"/>
      <c r="S552" s="10" t="n"/>
      <c r="T552" s="10" t="n"/>
      <c r="U552" s="15" t="inlineStr">
        <is>
          <t>https://recruit-event.connpass.com/event/402030/</t>
        </is>
      </c>
      <c r="V552" s="10" t="n"/>
      <c r="W552" s="10" t="inlineStr">
        <is>
          <t>タイトル一致</t>
        </is>
      </c>
      <c r="X552" s="10" t="n"/>
    </row>
    <row r="553">
      <c r="A553" s="10" t="n">
        <v>552</v>
      </c>
      <c r="B553" s="11" t="n">
        <v>46293</v>
      </c>
      <c r="C553" s="11" t="n">
        <v>46293</v>
      </c>
      <c r="D553" s="10">
        <f>MONTH(B553)&amp;"月"</f>
        <v/>
      </c>
      <c r="E553" s="12" t="n">
        <v>1</v>
      </c>
      <c r="F553" s="10" t="n"/>
      <c r="G553" s="10" t="inlineStr">
        <is>
          <t>第4回 関西AIエージェント研究会: 活用事例LT ＆ 3分間・作品発表リレー</t>
        </is>
      </c>
      <c r="H553" s="10" t="inlineStr">
        <is>
          <t>関西AIエージェント研究会</t>
        </is>
      </c>
      <c r="I553" s="10" t="n"/>
      <c r="J553" s="10" t="inlineStr">
        <is>
          <t>connpass</t>
        </is>
      </c>
      <c r="K553" s="10" t="inlineStr">
        <is>
          <t>会場</t>
        </is>
      </c>
      <c r="L553" s="10" t="inlineStr">
        <is>
          <t>大阪府大阪市北区天満橋3-3-5 ＴＥＮＭＡ ＩＮＣＵＢＡＴＩＯＮ ＬＡＢ ＴｉＬ</t>
        </is>
      </c>
      <c r="M553" s="10" t="inlineStr">
        <is>
          <t>技術・AI全般</t>
        </is>
      </c>
      <c r="N553" s="10" t="inlineStr">
        <is>
          <t>AIエージェント</t>
        </is>
      </c>
      <c r="O553" s="12" t="inlineStr">
        <is>
          <t>○</t>
        </is>
      </c>
      <c r="P553" s="13" t="n">
        <v>21</v>
      </c>
      <c r="Q553" s="12" t="inlineStr">
        <is>
          <t>参加者数</t>
        </is>
      </c>
      <c r="R553" s="14" t="n">
        <v>33</v>
      </c>
      <c r="S553" s="10" t="n"/>
      <c r="T553" s="10" t="n"/>
      <c r="U553" s="15" t="inlineStr">
        <is>
          <t>https://kansai-aiagent.connpass.com/event/404525/</t>
        </is>
      </c>
      <c r="V553" s="10" t="n"/>
      <c r="W553" s="10" t="inlineStr">
        <is>
          <t>タイトル一致</t>
        </is>
      </c>
      <c r="X553" s="10" t="n"/>
    </row>
    <row r="554">
      <c r="A554" s="10" t="n">
        <v>553</v>
      </c>
      <c r="B554" s="11" t="n">
        <v>46294</v>
      </c>
      <c r="C554" s="11" t="n">
        <v>46294</v>
      </c>
      <c r="D554" s="10">
        <f>MONTH(B554)&amp;"月"</f>
        <v/>
      </c>
      <c r="E554" s="12" t="n">
        <v>1</v>
      </c>
      <c r="F554" s="10" t="n"/>
      <c r="G554" s="10" t="inlineStr">
        <is>
          <t>AIエージェント最前線：何を任せ、どう価値につなげるか</t>
        </is>
      </c>
      <c r="H554" s="10" t="inlineStr">
        <is>
          <t>Microsoft AI Co-Innovation Lab</t>
        </is>
      </c>
      <c r="I554" s="10" t="n"/>
      <c r="J554" s="10" t="inlineStr">
        <is>
          <t>connpass</t>
        </is>
      </c>
      <c r="K554" s="10" t="inlineStr">
        <is>
          <t>会場</t>
        </is>
      </c>
      <c r="L554" s="10" t="inlineStr">
        <is>
          <t>兵庫県神戸市中央区浜辺通5丁目1-14 神戸商工貿易センタービル24F</t>
        </is>
      </c>
      <c r="M554" s="10" t="inlineStr">
        <is>
          <t>技術・AI全般</t>
        </is>
      </c>
      <c r="N554" s="10" t="inlineStr">
        <is>
          <t>AIエージェント</t>
        </is>
      </c>
      <c r="O554" s="12" t="inlineStr">
        <is>
          <t>○</t>
        </is>
      </c>
      <c r="P554" s="13" t="n">
        <v>34</v>
      </c>
      <c r="Q554" s="12" t="inlineStr">
        <is>
          <t>参加者数</t>
        </is>
      </c>
      <c r="R554" s="14" t="n">
        <v>53</v>
      </c>
      <c r="S554" s="10" t="n"/>
      <c r="T554" s="10" t="n"/>
      <c r="U554" s="15" t="inlineStr">
        <is>
          <t>https://kobelab.connpass.com/event/404326/</t>
        </is>
      </c>
      <c r="V554" s="10" t="n"/>
      <c r="W554" s="10" t="inlineStr">
        <is>
          <t>タイトル一致</t>
        </is>
      </c>
      <c r="X554" s="10" t="n"/>
    </row>
    <row r="555">
      <c r="A555" s="10" t="n">
        <v>554</v>
      </c>
      <c r="B555" s="11" t="n">
        <v>46294</v>
      </c>
      <c r="C555" s="11" t="n">
        <v>46294</v>
      </c>
      <c r="D555" s="10">
        <f>MONTH(B555)&amp;"月"</f>
        <v/>
      </c>
      <c r="E555" s="12" t="n">
        <v>1</v>
      </c>
      <c r="F555" s="10" t="n"/>
      <c r="G555" s="10" t="inlineStr">
        <is>
          <t>CAIOのための「AI時代のBPR」Vol.2【カスタマーサービス編】</t>
        </is>
      </c>
      <c r="H555" s="10" t="inlineStr">
        <is>
          <t>株式会社セールスフォース・ジャパン</t>
        </is>
      </c>
      <c r="I555" s="10" t="n"/>
      <c r="J555" s="10" t="inlineStr">
        <is>
          <t>個別調査（公式サイト・PR TIMES等）</t>
        </is>
      </c>
      <c r="K555" s="10" t="inlineStr">
        <is>
          <t>オンライン</t>
        </is>
      </c>
      <c r="L555" s="10" t="inlineStr">
        <is>
          <t>オンデマンド配信あり</t>
        </is>
      </c>
      <c r="M555" s="10" t="inlineStr">
        <is>
          <t>営業・マーケ・CS</t>
        </is>
      </c>
      <c r="N555" s="10" t="inlineStr">
        <is>
          <t>AIエージェント</t>
        </is>
      </c>
      <c r="O555" s="12" t="inlineStr">
        <is>
          <t>◎</t>
        </is>
      </c>
      <c r="P555" s="13" t="n"/>
      <c r="Q555" s="12" t="inlineStr">
        <is>
          <t>不明</t>
        </is>
      </c>
      <c r="R555" s="14" t="n"/>
      <c r="S555" s="10" t="n"/>
      <c r="T555" s="10" t="inlineStr">
        <is>
          <t>自社サポートで420万回を超えるAIエージェントの会話を行った実績をもとに、カスタマーサービスの組織と業務の再設計を解説する。</t>
        </is>
      </c>
      <c r="U555" s="15" t="inlineStr">
        <is>
          <t>https://www.salesforce.com/jp/events/webinars/ai-bpr-vol2/</t>
        </is>
      </c>
      <c r="V555" s="10" t="n"/>
      <c r="W555" s="10" t="inlineStr">
        <is>
          <t>個別確認</t>
        </is>
      </c>
      <c r="X555" s="10" t="n"/>
    </row>
    <row r="556">
      <c r="A556" s="10" t="n">
        <v>555</v>
      </c>
      <c r="B556" s="11" t="n">
        <v>46294</v>
      </c>
      <c r="C556" s="11" t="n">
        <v>46294</v>
      </c>
      <c r="D556" s="10">
        <f>MONTH(B556)&amp;"月"</f>
        <v/>
      </c>
      <c r="E556" s="12" t="n">
        <v>1</v>
      </c>
      <c r="F556" s="10" t="n"/>
      <c r="G556" s="10" t="inlineStr">
        <is>
          <t>「全社DX」実践ロードマップウェビナー〜外観検査AIの複数拠点展開×機密データを守る生成AI活用〜</t>
        </is>
      </c>
      <c r="H556" s="10" t="inlineStr">
        <is>
          <t>株式会社アイスマイリー</t>
        </is>
      </c>
      <c r="I556" s="10" t="inlineStr">
        <is>
          <t>Superb AI Japan・SCREENアドバンストシステムソリューションズ</t>
        </is>
      </c>
      <c r="J556" s="10" t="inlineStr">
        <is>
          <t>個別調査（公式サイト・PR TIMES等）</t>
        </is>
      </c>
      <c r="K556" s="10" t="inlineStr">
        <is>
          <t>オンライン</t>
        </is>
      </c>
      <c r="L556" s="10" t="n"/>
      <c r="M556" s="10" t="inlineStr">
        <is>
          <t>生産管理・製造・SCM</t>
        </is>
      </c>
      <c r="N556" s="10" t="inlineStr">
        <is>
          <t>AIエージェント</t>
        </is>
      </c>
      <c r="O556" s="12" t="inlineStr">
        <is>
          <t>◎</t>
        </is>
      </c>
      <c r="P556" s="13" t="n"/>
      <c r="Q556" s="12" t="inlineStr">
        <is>
          <t>不明</t>
        </is>
      </c>
      <c r="R556" s="14" t="n"/>
      <c r="S556" s="10" t="n"/>
      <c r="T556" s="10" t="inlineStr">
        <is>
          <t>外観検査AIを全社に広げる方法と、安全な生成AI・AIエージェントの活用による品質改善を解説する。</t>
        </is>
      </c>
      <c r="U556" s="15" t="inlineStr">
        <is>
          <t>https://aismiley.co.jp/ai_news/20260929webinar/</t>
        </is>
      </c>
      <c r="V556" s="10" t="n"/>
      <c r="W556" s="10" t="inlineStr">
        <is>
          <t>個別確認</t>
        </is>
      </c>
      <c r="X556" s="10" t="inlineStr">
        <is>
          <t>品質管理</t>
        </is>
      </c>
    </row>
    <row r="557">
      <c r="A557" s="10" t="n">
        <v>556</v>
      </c>
      <c r="B557" s="11" t="n">
        <v>46294</v>
      </c>
      <c r="C557" s="11" t="n">
        <v>46294</v>
      </c>
      <c r="D557" s="10">
        <f>MONTH(B557)&amp;"月"</f>
        <v/>
      </c>
      <c r="E557" s="12" t="n">
        <v>1</v>
      </c>
      <c r="F557" s="10" t="n"/>
      <c r="G557" s="10" t="inlineStr">
        <is>
          <t>「広告運用人材が足りない。だからAIと働く。」 〜複雑な手作業から現場を解放し、営業利益率を最大化する『伴走型AIエージェント』活用術〜</t>
        </is>
      </c>
      <c r="H557" s="10" t="inlineStr">
        <is>
          <t>（記載なし）</t>
        </is>
      </c>
      <c r="I557" s="10" t="n"/>
      <c r="J557" s="10" t="inlineStr">
        <is>
          <t>こくちーずプロ</t>
        </is>
      </c>
      <c r="K557" s="10" t="inlineStr">
        <is>
          <t>オンライン</t>
        </is>
      </c>
      <c r="L557" s="10" t="inlineStr">
        <is>
          <t>オンライン 日本</t>
        </is>
      </c>
      <c r="M557" s="10" t="inlineStr">
        <is>
          <t>営業・マーケ・CS</t>
        </is>
      </c>
      <c r="N557" s="10" t="inlineStr">
        <is>
          <t>AIエージェント</t>
        </is>
      </c>
      <c r="O557" s="12" t="inlineStr">
        <is>
          <t>◎</t>
        </is>
      </c>
      <c r="P557" s="13" t="n"/>
      <c r="Q557" s="12" t="inlineStr">
        <is>
          <t>不明</t>
        </is>
      </c>
      <c r="R557" s="14" t="n"/>
      <c r="S557" s="10" t="n"/>
      <c r="T557" s="10" t="inlineStr">
        <is>
          <t>「専門人材が採用できない」 「手作業に追われ、運用ノウハウが個人に閉じてしまう」 デジタル広告の需要が高まる一方で、多くの現場がこのような「運用の共通課題」に頭を悩ませています。 また最近では、 「AIを使って自社で運用を自動化できないか？」 「自社開発でインハウス化を進められないか？」 というご相談も増えています。 しかし実際には、各媒体の頻繁な仕様変更・APIアップデートへの対応や膨大な保守コストが壁となり、途中で頓挫してしまうケー</t>
        </is>
      </c>
      <c r="U557" s="15" t="inlineStr">
        <is>
          <t>https://www.kokuchpro.com/event/49f135c83a1c054ace14efaa59a6f0e7/</t>
        </is>
      </c>
      <c r="V557" s="10" t="n"/>
      <c r="W557" s="10" t="inlineStr">
        <is>
          <t>タイトル一致</t>
        </is>
      </c>
      <c r="X557" s="10" t="n"/>
    </row>
    <row r="558">
      <c r="A558" s="10" t="n">
        <v>557</v>
      </c>
      <c r="B558" s="11" t="n">
        <v>46294</v>
      </c>
      <c r="C558" s="11" t="n">
        <v>46294</v>
      </c>
      <c r="D558" s="10">
        <f>MONTH(B558)&amp;"月"</f>
        <v/>
      </c>
      <c r="E558" s="12" t="n">
        <v>1</v>
      </c>
      <c r="F558" s="10" t="n"/>
      <c r="G558" s="10" t="inlineStr">
        <is>
          <t>【9/29(火)18:00】もうキーボードは打たない? — 話した内容がPowerPointになる、音声AI時代の資料作成術</t>
        </is>
      </c>
      <c r="H558" s="10" t="inlineStr">
        <is>
          <t>AIビジネスフォーラム事務局</t>
        </is>
      </c>
      <c r="I558" s="10" t="n"/>
      <c r="J558" s="10" t="inlineStr">
        <is>
          <t>こくちーずプロ</t>
        </is>
      </c>
      <c r="K558" s="10" t="inlineStr">
        <is>
          <t>オンライン</t>
        </is>
      </c>
      <c r="L558" s="10" t="inlineStr">
        <is>
          <t>オンライン 日本</t>
        </is>
      </c>
      <c r="M558" s="10" t="inlineStr">
        <is>
          <t>生産性向上・業務効率化</t>
        </is>
      </c>
      <c r="N558" s="10" t="inlineStr">
        <is>
          <t>AIエージェント</t>
        </is>
      </c>
      <c r="O558" s="12" t="inlineStr">
        <is>
          <t>○</t>
        </is>
      </c>
      <c r="P558" s="13" t="n">
        <v>0</v>
      </c>
      <c r="Q558" s="12" t="inlineStr">
        <is>
          <t>イベント参加 0/30</t>
        </is>
      </c>
      <c r="R558" s="14" t="n">
        <v>30</v>
      </c>
      <c r="S558" s="10" t="n"/>
      <c r="T558" s="10" t="inlineStr">
        <is>
          <t>もうキーボードは打たない？ 話した内容がPowerPointになる、音声AI時代の資料作成術 今回の勉強会では、キーボードをほとんど使わず、AIと話しながら仕事を形にする方法を紹介します。 話した内容をObsidianに整理し、そこからPowerPoint資料と1ページのホームページを作る流れを、実際のデモでお見せします。難しいプログラミングは使いません。AIに何を伝え、どこを人が確認すればよいのかを、やさしく説明します。 音声AIを会</t>
        </is>
      </c>
      <c r="U558" s="15" t="inlineStr">
        <is>
          <t>https://www.kokuchpro.com/event/333d9bbca58b4985a0eebc72654c7130/</t>
        </is>
      </c>
      <c r="V558" s="10" t="n"/>
      <c r="W558" s="10" t="inlineStr">
        <is>
          <t>本文一致</t>
        </is>
      </c>
      <c r="X558" s="10" t="n"/>
    </row>
    <row r="559">
      <c r="A559" s="10" t="n">
        <v>558</v>
      </c>
      <c r="B559" s="11" t="n">
        <v>46294</v>
      </c>
      <c r="C559" s="11" t="n">
        <v>46294</v>
      </c>
      <c r="D559" s="10">
        <f>MONTH(B559)&amp;"月"</f>
        <v/>
      </c>
      <c r="E559" s="12" t="n">
        <v>1</v>
      </c>
      <c r="F559" s="10" t="n"/>
      <c r="G559" s="10" t="inlineStr">
        <is>
          <t>【9/29・無料】生成AIを個人の道具で終わらせない|ワークフロー型AIエージェント</t>
        </is>
      </c>
      <c r="H559" s="10" t="inlineStr">
        <is>
          <t>サイオニックエーアイ株式会社</t>
        </is>
      </c>
      <c r="I559" s="10" t="n"/>
      <c r="J559" s="10" t="inlineStr">
        <is>
          <t>こくちーずプロ</t>
        </is>
      </c>
      <c r="K559" s="10" t="inlineStr">
        <is>
          <t>オフライン（会場）</t>
        </is>
      </c>
      <c r="L559" s="10" t="inlineStr">
        <is>
          <t>東京国際フォーラム/セミナー会場5 東京都東京都千代田区丸の内3丁目5番1号 東京国際フォーラム</t>
        </is>
      </c>
      <c r="M559" s="10" t="inlineStr">
        <is>
          <t>生産管理・製造・SCM</t>
        </is>
      </c>
      <c r="N559" s="10" t="inlineStr">
        <is>
          <t>AIエージェント</t>
        </is>
      </c>
      <c r="O559" s="12" t="inlineStr">
        <is>
          <t>◎</t>
        </is>
      </c>
      <c r="P559" s="13" t="n"/>
      <c r="Q559" s="12" t="inlineStr">
        <is>
          <t>不明</t>
        </is>
      </c>
      <c r="R559" s="14" t="n"/>
      <c r="S559" s="10" t="n"/>
      <c r="T559" s="10" t="inlineStr">
        <is>
          <t xml:space="preserve">※受講には、日経BP公式サイトでのセミナー登録が必要です。 ChatGPTやGeminiなどの生成AIは、多くの企業で使われるようになりました。一方で、活用が個人の文章作成や情報収集にとどまり、組織の業務プロセスには十分に組み込めていないケースも少なくありません。 本セミナーでは、生成AIを「個人の便利な道具」で終わらせず、企業のシステムとして運用するための「ワークフロー型AIエージェント」について解説します。 あわせて、Sionic </t>
        </is>
      </c>
      <c r="U559" s="15" t="inlineStr">
        <is>
          <t>https://www.kokuchpro.com/event/e4f755292e1dc2a7953505423d6caac5/</t>
        </is>
      </c>
      <c r="V559" s="10" t="n"/>
      <c r="W559" s="10" t="inlineStr">
        <is>
          <t>タイトル一致</t>
        </is>
      </c>
      <c r="X559" s="10" t="n"/>
    </row>
    <row r="560">
      <c r="A560" s="10" t="n">
        <v>559</v>
      </c>
      <c r="B560" s="11" t="n">
        <v>46294</v>
      </c>
      <c r="C560" s="11" t="n">
        <v>46294</v>
      </c>
      <c r="D560" s="10">
        <f>MONTH(B560)&amp;"月"</f>
        <v/>
      </c>
      <c r="E560" s="12" t="n">
        <v>1</v>
      </c>
      <c r="F560" s="10" t="n"/>
      <c r="G560" s="10" t="inlineStr">
        <is>
          <t>【Claude Code】世界のスタートアップが必死に求める「GTMエンジニア」とは</t>
        </is>
      </c>
      <c r="H560" s="10" t="inlineStr">
        <is>
          <t>#Offers_DeepDive / オファーズ</t>
        </is>
      </c>
      <c r="I560" s="10" t="n"/>
      <c r="J560" s="10" t="inlineStr">
        <is>
          <t>connpass</t>
        </is>
      </c>
      <c r="K560" s="10" t="inlineStr">
        <is>
          <t>オンライン</t>
        </is>
      </c>
      <c r="L560" s="10" t="inlineStr">
        <is>
          <t>オンライン</t>
        </is>
      </c>
      <c r="M560" s="10" t="inlineStr">
        <is>
          <t>開発生産性</t>
        </is>
      </c>
      <c r="N560" s="10" t="inlineStr">
        <is>
          <t>AIエージェント</t>
        </is>
      </c>
      <c r="O560" s="12" t="inlineStr">
        <is>
          <t>○</t>
        </is>
      </c>
      <c r="P560" s="13" t="n">
        <v>112</v>
      </c>
      <c r="Q560" s="12" t="inlineStr">
        <is>
          <t>参加者数</t>
        </is>
      </c>
      <c r="R560" s="14" t="n"/>
      <c r="S560" s="10" t="n"/>
      <c r="T560" s="10" t="n"/>
      <c r="U560" s="15" t="inlineStr">
        <is>
          <t>https://offers-jp.connpass.com/event/405148/</t>
        </is>
      </c>
      <c r="V560" s="10" t="n"/>
      <c r="W560" s="10" t="inlineStr">
        <is>
          <t>タイトル一致</t>
        </is>
      </c>
      <c r="X560" s="10" t="n"/>
    </row>
    <row r="561">
      <c r="A561" s="10" t="n">
        <v>560</v>
      </c>
      <c r="B561" s="11" t="n">
        <v>46294</v>
      </c>
      <c r="C561" s="11" t="n">
        <v>46294</v>
      </c>
      <c r="D561" s="10">
        <f>MONTH(B561)&amp;"月"</f>
        <v/>
      </c>
      <c r="E561" s="12" t="n">
        <v>1</v>
      </c>
      <c r="F561" s="10" t="n"/>
      <c r="G561" s="10" t="inlineStr">
        <is>
          <t>【IBM i ユーザー必見】kozokaAI、「コゾカAI 受注AIエージェント×IBM i 連携」無料ウェビナーを9月29日(火)に開催〜塩漬けデータを開放する、AIエージェント活用のロードマップ〜</t>
        </is>
      </c>
      <c r="H561" s="10" t="inlineStr">
        <is>
          <t>株式会社kozokaAI</t>
        </is>
      </c>
      <c r="I561" s="10" t="n"/>
      <c r="J561" s="10" t="inlineStr">
        <is>
          <t>PR TIMES</t>
        </is>
      </c>
      <c r="K561" s="10" t="inlineStr">
        <is>
          <t>online</t>
        </is>
      </c>
      <c r="L561" s="10" t="inlineStr">
        <is>
          <t>オンライン形式（Zoom）</t>
        </is>
      </c>
      <c r="M561" s="10" t="inlineStr">
        <is>
          <t>生産性向上・業務効率化</t>
        </is>
      </c>
      <c r="N561" s="10" t="inlineStr">
        <is>
          <t>AIエージェント</t>
        </is>
      </c>
      <c r="O561" s="12" t="inlineStr">
        <is>
          <t>◎</t>
        </is>
      </c>
      <c r="P561" s="13" t="n"/>
      <c r="Q561" s="12" t="inlineStr">
        <is>
          <t>不明</t>
        </is>
      </c>
      <c r="R561" s="14" t="n"/>
      <c r="S561" s="10" t="n"/>
      <c r="T561" s="10" t="inlineStr">
        <is>
          <t>株式会社kozokaAI（本社：東京都渋谷区、代表取締役：藤井 星多、以下「当社」）は、2026年9月29日（火）14:00より、受注業務自動化AIソリューション「コゾカAI 受注AIエージェント」と基幹システム「IBM i（AS/400等）」の連携に焦点を当てた無料オンラインセミナーを開催いたします。 ■ ウェビナー開催の背景 FAXやPDFなど多様なフォーマットで届く注文書の処理や、基幹システムへの手入力作業は、多くの企業においてい</t>
        </is>
      </c>
      <c r="U561" s="15" t="inlineStr">
        <is>
          <t>https://prtimes.jp/main/html/rd/p/000000026.000175889.html</t>
        </is>
      </c>
      <c r="V561" s="10" t="n"/>
      <c r="W561" s="10" t="inlineStr">
        <is>
          <t>タイトル一致</t>
        </is>
      </c>
      <c r="X561" s="10" t="n"/>
    </row>
    <row r="562">
      <c r="A562" s="10" t="n">
        <v>561</v>
      </c>
      <c r="B562" s="11" t="n">
        <v>46294</v>
      </c>
      <c r="C562" s="11" t="n">
        <v>46294</v>
      </c>
      <c r="D562" s="10">
        <f>MONTH(B562)&amp;"月"</f>
        <v/>
      </c>
      <c r="E562" s="12" t="n">
        <v>1</v>
      </c>
      <c r="F562" s="10" t="n"/>
      <c r="G562" s="10" t="inlineStr">
        <is>
          <t>コンテキストとエージェントの記憶 ーAIが組織で働くための設計</t>
        </is>
      </c>
      <c r="H562" s="10" t="inlineStr">
        <is>
          <t>データ横丁</t>
        </is>
      </c>
      <c r="I562" s="10" t="n"/>
      <c r="J562" s="10" t="inlineStr">
        <is>
          <t>connpass</t>
        </is>
      </c>
      <c r="K562" s="10" t="inlineStr">
        <is>
          <t>オンライン</t>
        </is>
      </c>
      <c r="L562" s="10" t="inlineStr">
        <is>
          <t>オンライン</t>
        </is>
      </c>
      <c r="M562" s="10" t="inlineStr">
        <is>
          <t>技術・AI全般</t>
        </is>
      </c>
      <c r="N562" s="10" t="inlineStr">
        <is>
          <t>AIエージェント</t>
        </is>
      </c>
      <c r="O562" s="12" t="inlineStr">
        <is>
          <t>○</t>
        </is>
      </c>
      <c r="P562" s="13" t="n">
        <v>113</v>
      </c>
      <c r="Q562" s="12" t="inlineStr">
        <is>
          <t>参加者数</t>
        </is>
      </c>
      <c r="R562" s="14" t="n"/>
      <c r="S562" s="10" t="n"/>
      <c r="T562" s="10" t="n"/>
      <c r="U562" s="15" t="inlineStr">
        <is>
          <t>https://datayokocho.connpass.com/event/404893/</t>
        </is>
      </c>
      <c r="V562" s="10" t="n"/>
      <c r="W562" s="10" t="inlineStr">
        <is>
          <t>タイトル一致</t>
        </is>
      </c>
      <c r="X562" s="10" t="n"/>
    </row>
    <row r="563">
      <c r="A563" s="10" t="n">
        <v>562</v>
      </c>
      <c r="B563" s="11" t="n">
        <v>46294</v>
      </c>
      <c r="C563" s="11" t="n">
        <v>46294</v>
      </c>
      <c r="D563" s="10">
        <f>MONTH(B563)&amp;"月"</f>
        <v/>
      </c>
      <c r="E563" s="12" t="n">
        <v>1</v>
      </c>
      <c r="F563" s="10" t="n"/>
      <c r="G563" s="10" t="inlineStr">
        <is>
          <t>中堅企業の成長条件とAIネイティブ経営への推進ステップ ～自社に即したAI実装モデルで現実を変える～</t>
        </is>
      </c>
      <c r="H563" s="10" t="inlineStr">
        <is>
          <t>株式会社タナベコンサルティング</t>
        </is>
      </c>
      <c r="I563" s="10" t="inlineStr">
        <is>
          <t>マジセミ株式会社</t>
        </is>
      </c>
      <c r="J563" s="10" t="inlineStr">
        <is>
          <t>Doorkeeper</t>
        </is>
      </c>
      <c r="K563" s="10" t="inlineStr">
        <is>
          <t>オンライン</t>
        </is>
      </c>
      <c r="L563" s="10" t="inlineStr">
        <is>
          <t>Webセミナー（URLは主催企業からメールでお知らせします） オンライン</t>
        </is>
      </c>
      <c r="M563" s="10" t="inlineStr">
        <is>
          <t>生産性向上・業務効率化</t>
        </is>
      </c>
      <c r="N563" s="10" t="inlineStr">
        <is>
          <t>AIエージェント</t>
        </is>
      </c>
      <c r="O563" s="12" t="inlineStr">
        <is>
          <t>○</t>
        </is>
      </c>
      <c r="P563" s="13" t="n">
        <v>7</v>
      </c>
      <c r="Q563" s="12" t="inlineStr">
        <is>
          <t>参加者数</t>
        </is>
      </c>
      <c r="R563" s="14" t="n">
        <v>7</v>
      </c>
      <c r="S563" s="10" t="n"/>
      <c r="T563" s="10" t="inlineStr">
        <is>
          <t xml:space="preserve"> 本セミナーはWebセミナーです 参加方法（URL）は主催企業より直接メールにてご連絡いたします。 「tanabeconsulting.co.jp」「osslabo.com」「majisemi.com」からのメールが迷惑メールとならないよう、メールの設定をご確認下さい。 概要 AIを"使ってみる"段階から、AIで"経営を変える"段階へ。中堅企業を取り巻く成長条件を整理したうえで、自社に合ったAI導入アプローチの選び方・推進ステップを、当</t>
        </is>
      </c>
      <c r="U563" s="15" t="inlineStr">
        <is>
          <t>https://majisemi-technology.doorkeeper.jp/events/199055</t>
        </is>
      </c>
      <c r="V563" s="10" t="n"/>
      <c r="W563" s="10" t="inlineStr">
        <is>
          <t>本文一致</t>
        </is>
      </c>
      <c r="X563" s="10" t="n"/>
    </row>
    <row r="564">
      <c r="A564" s="10" t="n">
        <v>563</v>
      </c>
      <c r="B564" s="11" t="n">
        <v>46294</v>
      </c>
      <c r="C564" s="11" t="n">
        <v>46294</v>
      </c>
      <c r="D564" s="10">
        <f>MONTH(B564)&amp;"月"</f>
        <v/>
      </c>
      <c r="E564" s="12" t="n">
        <v>1</v>
      </c>
      <c r="F564" s="10" t="n"/>
      <c r="G564" s="10" t="inlineStr">
        <is>
          <t>問い合わせ対応をAIで自動化!自社専用LINE Bot作成実践研修</t>
        </is>
      </c>
      <c r="H564" s="10" t="inlineStr">
        <is>
          <t>AI経営ビジネスサミット事務局</t>
        </is>
      </c>
      <c r="I564" s="10" t="n"/>
      <c r="J564" s="10" t="inlineStr">
        <is>
          <t>こくちーずプロ</t>
        </is>
      </c>
      <c r="K564" s="10" t="inlineStr">
        <is>
          <t>オフライン（会場）</t>
        </is>
      </c>
      <c r="L564" s="10" t="inlineStr">
        <is>
          <t>モティベーション大学 愛知県名古屋市中村区名駅5-31-10 リンクス名駅ビル12階</t>
        </is>
      </c>
      <c r="M564" s="10" t="inlineStr">
        <is>
          <t>営業・マーケ・CS</t>
        </is>
      </c>
      <c r="N564" s="10" t="inlineStr">
        <is>
          <t>AIエージェント</t>
        </is>
      </c>
      <c r="O564" s="12" t="inlineStr">
        <is>
          <t>○</t>
        </is>
      </c>
      <c r="P564" s="13" t="n"/>
      <c r="Q564" s="12" t="inlineStr">
        <is>
          <t>不明</t>
        </is>
      </c>
      <c r="R564" s="14" t="n"/>
      <c r="S564" s="10" t="n"/>
      <c r="T564" s="10" t="inlineStr">
        <is>
          <t>問い合わせ対応をAIで自動化！自社専用LINE Bot作成実践研修 毎日の対応業務を、もっとラクに。 自社の商品・サービスについて答える LINE Bot を、その場で作って持ち帰る実践研修。 「営業時間は？」 「料金はいくらですか？」 「このサービスについて詳しく教えてください」 毎日のように繰り返される、お客様からの問い合わせ。 一つひとつは短い対応でも、積み重なると大きな時間になります。 今回の研修では、 自社の商品・サービスにつ</t>
        </is>
      </c>
      <c r="U564" s="15" t="inlineStr">
        <is>
          <t>https://www.kokuchpro.com/event/51805aaf1e5cde60cdac193db0ddb06b/</t>
        </is>
      </c>
      <c r="V564" s="10" t="n"/>
      <c r="W564" s="10" t="inlineStr">
        <is>
          <t>本文一致</t>
        </is>
      </c>
      <c r="X564" s="10" t="n"/>
    </row>
    <row r="565">
      <c r="A565" s="10" t="n">
        <v>564</v>
      </c>
      <c r="B565" s="11" t="n">
        <v>46294</v>
      </c>
      <c r="C565" s="11" t="n">
        <v>46295</v>
      </c>
      <c r="D565" s="10">
        <f>MONTH(B565)&amp;"月"</f>
        <v/>
      </c>
      <c r="E565" s="12" t="n">
        <v>1</v>
      </c>
      <c r="F565" s="10" t="n"/>
      <c r="G565" s="10" t="inlineStr">
        <is>
          <t>未来をつくるテクノロジー展 日経クロステックNEXT 東京 2026</t>
        </is>
      </c>
      <c r="H565" s="10" t="inlineStr">
        <is>
          <t>日経BP</t>
        </is>
      </c>
      <c r="I565" s="10" t="n"/>
      <c r="J565" s="10" t="inlineStr">
        <is>
          <t>個別調査（公式サイト・PR TIMES等）</t>
        </is>
      </c>
      <c r="K565" s="10" t="inlineStr">
        <is>
          <t>会場</t>
        </is>
      </c>
      <c r="L565" s="10" t="inlineStr">
        <is>
          <t>東京国際フォーラム</t>
        </is>
      </c>
      <c r="M565" s="10" t="inlineStr">
        <is>
          <t>大型カンファレンス・展示会</t>
        </is>
      </c>
      <c r="N565" s="10" t="inlineStr">
        <is>
          <t>AIエージェント</t>
        </is>
      </c>
      <c r="O565" s="12" t="inlineStr">
        <is>
          <t>◎</t>
        </is>
      </c>
      <c r="P565" s="13" t="n"/>
      <c r="Q565" s="12" t="inlineStr">
        <is>
          <t>不明</t>
        </is>
      </c>
      <c r="R565" s="14" t="n"/>
      <c r="S565" s="10" t="inlineStr">
        <is>
          <t>開催直後のため、数値は未発表</t>
        </is>
      </c>
      <c r="T565" s="10" t="inlineStr">
        <is>
          <t>「AIエージェントによる業務変革」を主要テーマのひとつとする展示と講演。製造業へのフィジカルAIの実装も扱う。</t>
        </is>
      </c>
      <c r="U565" s="15" t="inlineStr">
        <is>
          <t>https://www.nikkeibp.co.jp/atcl/newsrelease/corp/20260820_2/</t>
        </is>
      </c>
      <c r="V565" s="15" t="inlineStr">
        <is>
          <t>https://xtech.nikkei.com/atcl/nxt/column/18/03745/092800023/</t>
        </is>
      </c>
      <c r="W565" s="10" t="inlineStr">
        <is>
          <t>個別確認</t>
        </is>
      </c>
      <c r="X565" s="10" t="n"/>
    </row>
    <row r="566">
      <c r="A566" s="10" t="n">
        <v>565</v>
      </c>
      <c r="B566" s="11" t="n">
        <v>46294</v>
      </c>
      <c r="C566" s="11" t="n">
        <v>46294</v>
      </c>
      <c r="D566" s="10">
        <f>MONTH(B566)&amp;"月"</f>
        <v/>
      </c>
      <c r="E566" s="12" t="n">
        <v>1</v>
      </c>
      <c r="F566" s="10" t="n"/>
      <c r="G566" s="10" t="inlineStr">
        <is>
          <t>生成AIを「使う」から「使いこなす」へ全社教育できていますか？ ～生成AI活用の理解からハンズオンによる育成、現場定着まで一気通貫で伴走支援～</t>
        </is>
      </c>
      <c r="H566" s="10" t="inlineStr">
        <is>
          <t>テクノプロ・ホールディングス株式会社 株式会社テクノプロ コンサルティング・パートナーズ社</t>
        </is>
      </c>
      <c r="I566" s="10" t="inlineStr">
        <is>
          <t>テクノプロ・ホールディングス株式会社 株式会社テクノプロ コンサルティング・パートナーズ社</t>
        </is>
      </c>
      <c r="J566" s="10" t="inlineStr">
        <is>
          <t>Doorkeeper</t>
        </is>
      </c>
      <c r="K566" s="10" t="inlineStr">
        <is>
          <t>不明</t>
        </is>
      </c>
      <c r="L566" s="10" t="n"/>
      <c r="M566" s="10" t="inlineStr">
        <is>
          <t>生産管理・製造・SCM</t>
        </is>
      </c>
      <c r="N566" s="10" t="inlineStr">
        <is>
          <t>AIエージェント</t>
        </is>
      </c>
      <c r="O566" s="12" t="inlineStr">
        <is>
          <t>○</t>
        </is>
      </c>
      <c r="P566" s="13" t="n">
        <v>3</v>
      </c>
      <c r="Q566" s="12" t="inlineStr">
        <is>
          <t>参加者数</t>
        </is>
      </c>
      <c r="R566" s="14" t="n">
        <v>3</v>
      </c>
      <c r="S566" s="10" t="n"/>
      <c r="T566" s="10" t="inlineStr">
        <is>
          <t xml:space="preserve"> 本セミナーはWebセミナーです ツールはZoomを使います。URLは直前にメールにてご連絡いたします。 なお、「osslabo.com」「majisemi.com」からのメールが迷惑メールとならないよう、メールの設定をご確認ください。 本セミナーは、生成AIの研修や導入を一通り終えたものの、実務での定着や全社展開に課題を感じている企業様に向けた内容です。個人利用にとどまらず、組織全体の成果につなげたい方はぜひご覧ください。 現場でよく</t>
        </is>
      </c>
      <c r="U566" s="15" t="inlineStr">
        <is>
          <t>https://majisemi-technology.doorkeeper.jp/events/199233</t>
        </is>
      </c>
      <c r="V566" s="10" t="n"/>
      <c r="W566" s="10" t="inlineStr">
        <is>
          <t>本文一致</t>
        </is>
      </c>
      <c r="X566" s="10" t="n"/>
    </row>
    <row r="567">
      <c r="A567" s="10" t="n">
        <v>566</v>
      </c>
      <c r="B567" s="11" t="n">
        <v>46295</v>
      </c>
      <c r="C567" s="11" t="n">
        <v>46295</v>
      </c>
      <c r="D567" s="10">
        <f>MONTH(B567)&amp;"月"</f>
        <v/>
      </c>
      <c r="E567" s="12" t="n">
        <v>1</v>
      </c>
      <c r="F567" s="10" t="n"/>
      <c r="G567" s="10" t="inlineStr">
        <is>
          <t>9/30(水) 16:00-【見逃し配信】オンラインカンファレンス_日本郵船が挑む、1,000件の塩漬けデータから始めるAIエージェント実装</t>
        </is>
      </c>
      <c r="H567" s="10" t="inlineStr">
        <is>
          <t>skillupai</t>
        </is>
      </c>
      <c r="I567" s="10" t="n"/>
      <c r="J567" s="10" t="inlineStr">
        <is>
          <t>Doorkeeper</t>
        </is>
      </c>
      <c r="K567" s="10" t="inlineStr">
        <is>
          <t>オンライン</t>
        </is>
      </c>
      <c r="L567" s="10" t="n"/>
      <c r="M567" s="10" t="inlineStr">
        <is>
          <t>開発生産性</t>
        </is>
      </c>
      <c r="N567" s="10" t="inlineStr">
        <is>
          <t>AIエージェント</t>
        </is>
      </c>
      <c r="O567" s="12" t="inlineStr">
        <is>
          <t>○</t>
        </is>
      </c>
      <c r="P567" s="13" t="n">
        <v>2</v>
      </c>
      <c r="Q567" s="12" t="inlineStr">
        <is>
          <t>参加者数</t>
        </is>
      </c>
      <c r="R567" s="14" t="n">
        <v>30</v>
      </c>
      <c r="S567" s="10" t="n"/>
      <c r="T567" s="10" t="inlineStr">
        <is>
          <t xml:space="preserve"> ■ プログラム概要 2026年8月に開催されたオンラインカンファレンス「Agentic AI Transformation Day 2026｜「Microsoft Copilot」活用の現在地と、次なるアプローチ」の見逃し配信に、当日いただいたご質問を加えた再配信セミナーです。 【ご視聴特典】 本セミナーにご参加いただいた方に、オンラインカンファレンス当日に参加者から寄せられたご質問と回答をまとめた「Q&amp;A回答集（日本郵船パート）」を</t>
        </is>
      </c>
      <c r="U567" s="15" t="inlineStr">
        <is>
          <t>https://skillupai.doorkeeper.jp/events/199413</t>
        </is>
      </c>
      <c r="V567" s="10" t="n"/>
      <c r="W567" s="10" t="inlineStr">
        <is>
          <t>タイトル一致</t>
        </is>
      </c>
      <c r="X567" s="10" t="n"/>
    </row>
    <row r="568">
      <c r="A568" s="10" t="n">
        <v>567</v>
      </c>
      <c r="B568" s="11" t="n">
        <v>46295</v>
      </c>
      <c r="C568" s="11" t="n">
        <v>46295</v>
      </c>
      <c r="D568" s="10">
        <f>MONTH(B568)&amp;"月"</f>
        <v/>
      </c>
      <c r="E568" s="12" t="n">
        <v>1</v>
      </c>
      <c r="F568" s="10" t="n"/>
      <c r="G568" s="10" t="inlineStr">
        <is>
          <t>AIコーディングエージェント知見共有会</t>
        </is>
      </c>
      <c r="H568" s="10" t="inlineStr">
        <is>
          <t>FFFFF</t>
        </is>
      </c>
      <c r="I568" s="10" t="n"/>
      <c r="J568" s="10" t="inlineStr">
        <is>
          <t>connpass</t>
        </is>
      </c>
      <c r="K568" s="10" t="inlineStr">
        <is>
          <t>会場</t>
        </is>
      </c>
      <c r="L568" s="10" t="inlineStr">
        <is>
          <t>東京都千代田区神田佐久間町3-37-1 山茂登ビル 3階 FFFFF Cafe</t>
        </is>
      </c>
      <c r="M568" s="10" t="inlineStr">
        <is>
          <t>開発生産性</t>
        </is>
      </c>
      <c r="N568" s="10" t="inlineStr">
        <is>
          <t>AIエージェント</t>
        </is>
      </c>
      <c r="O568" s="12" t="inlineStr">
        <is>
          <t>○</t>
        </is>
      </c>
      <c r="P568" s="13" t="n">
        <v>4</v>
      </c>
      <c r="Q568" s="12" t="inlineStr">
        <is>
          <t>参加者数</t>
        </is>
      </c>
      <c r="R568" s="14" t="n">
        <v>15</v>
      </c>
      <c r="S568" s="10" t="n"/>
      <c r="T568" s="10" t="n"/>
      <c r="U568" s="15" t="inlineStr">
        <is>
          <t>https://fffff.connpass.com/event/403077/</t>
        </is>
      </c>
      <c r="V568" s="10" t="n"/>
      <c r="W568" s="10" t="inlineStr">
        <is>
          <t>タイトル一致</t>
        </is>
      </c>
      <c r="X568" s="10" t="n"/>
    </row>
    <row r="569">
      <c r="A569" s="10" t="n">
        <v>568</v>
      </c>
      <c r="B569" s="11" t="n">
        <v>46295</v>
      </c>
      <c r="C569" s="11" t="n">
        <v>46295</v>
      </c>
      <c r="D569" s="10">
        <f>MONTH(B569)&amp;"月"</f>
        <v/>
      </c>
      <c r="E569" s="12" t="n">
        <v>1</v>
      </c>
      <c r="F569" s="10" t="n"/>
      <c r="G569" s="10" t="inlineStr">
        <is>
          <t>ChatGPT 6(Astra)が画面を見て操作する。連携できない業務アプリを動かすライブ実演セミナー</t>
        </is>
      </c>
      <c r="H569" s="10" t="inlineStr">
        <is>
          <t>株式会社ノヴァリス</t>
        </is>
      </c>
      <c r="I569" s="10" t="n"/>
      <c r="J569" s="10" t="inlineStr">
        <is>
          <t>こくちーずプロ</t>
        </is>
      </c>
      <c r="K569" s="10" t="inlineStr">
        <is>
          <t>オンライン</t>
        </is>
      </c>
      <c r="L569" s="10" t="inlineStr">
        <is>
          <t>オンライン 日本</t>
        </is>
      </c>
      <c r="M569" s="10" t="inlineStr">
        <is>
          <t>生産性向上・業務効率化</t>
        </is>
      </c>
      <c r="N569" s="10" t="inlineStr">
        <is>
          <t>AIエージェント</t>
        </is>
      </c>
      <c r="O569" s="12" t="inlineStr">
        <is>
          <t>○</t>
        </is>
      </c>
      <c r="P569" s="13" t="n">
        <v>1</v>
      </c>
      <c r="Q569" s="12" t="inlineStr">
        <is>
          <t>イベント参加 1/10</t>
        </is>
      </c>
      <c r="R569" s="14" t="n">
        <v>10</v>
      </c>
      <c r="S569" s="10" t="n"/>
      <c r="T569" s="10" t="inlineStr">
        <is>
          <t>ChatGPT 6（Astra）が画面を見て操作する。連携できない業務アプリを動かすライブ実演セミナー 参加無料 / オンライン / 60分 ※ご参加特典あり：現場で使われている自動化事例をまとめた『Claude Code / Codex 自動化活用事例集 30選』（全82ページ）を、当日ご参加の方全員に無料でお渡しします。 ■ 「うちのシステムは連携できないので」で、止まっていませんか 自動化の話は、いつも同じところで止まります。メー</t>
        </is>
      </c>
      <c r="U569" s="15" t="inlineStr">
        <is>
          <t>https://www.kokuchpro.com/event/8ad9c09c952a35508343f8ef3832c5ef/</t>
        </is>
      </c>
      <c r="V569" s="10" t="n"/>
      <c r="W569" s="10" t="inlineStr">
        <is>
          <t>本文一致</t>
        </is>
      </c>
      <c r="X569" s="10" t="n"/>
    </row>
    <row r="570">
      <c r="A570" s="10" t="n">
        <v>569</v>
      </c>
      <c r="B570" s="11" t="n">
        <v>46295</v>
      </c>
      <c r="C570" s="11" t="n">
        <v>46295</v>
      </c>
      <c r="D570" s="10">
        <f>MONTH(B570)&amp;"月"</f>
        <v/>
      </c>
      <c r="E570" s="12" t="n">
        <v>1</v>
      </c>
      <c r="F570" s="10" t="n"/>
      <c r="G570" s="10" t="inlineStr">
        <is>
          <t>Sansan Tech Talk @関西 vol.6～AIエージェント実践～</t>
        </is>
      </c>
      <c r="H570" s="10" t="inlineStr">
        <is>
          <t>Sansan株式会社</t>
        </is>
      </c>
      <c r="I570" s="10" t="n"/>
      <c r="J570" s="10" t="inlineStr">
        <is>
          <t>connpass</t>
        </is>
      </c>
      <c r="K570" s="10" t="inlineStr">
        <is>
          <t>会場</t>
        </is>
      </c>
      <c r="L570" s="10" t="inlineStr">
        <is>
          <t>大阪府大阪市北区堂島浜1-4-19 (関電不動産堂島浜ビル 3F)</t>
        </is>
      </c>
      <c r="M570" s="10" t="inlineStr">
        <is>
          <t>営業・マーケ・CS</t>
        </is>
      </c>
      <c r="N570" s="10" t="inlineStr">
        <is>
          <t>AIエージェント</t>
        </is>
      </c>
      <c r="O570" s="12" t="inlineStr">
        <is>
          <t>◎</t>
        </is>
      </c>
      <c r="P570" s="13" t="n">
        <v>27</v>
      </c>
      <c r="Q570" s="12" t="inlineStr">
        <is>
          <t>参加者数</t>
        </is>
      </c>
      <c r="R570" s="14" t="n">
        <v>32</v>
      </c>
      <c r="S570" s="10" t="n"/>
      <c r="T570" s="10" t="n"/>
      <c r="U570" s="15" t="inlineStr">
        <is>
          <t>https://sansan.connpass.com/event/404019/</t>
        </is>
      </c>
      <c r="V570" s="10" t="n"/>
      <c r="W570" s="10" t="inlineStr">
        <is>
          <t>タイトル一致</t>
        </is>
      </c>
      <c r="X570" s="10" t="n"/>
    </row>
    <row r="571">
      <c r="A571" s="10" t="n">
        <v>570</v>
      </c>
      <c r="B571" s="11" t="n">
        <v>46295</v>
      </c>
      <c r="C571" s="11" t="n">
        <v>46295</v>
      </c>
      <c r="D571" s="10">
        <f>MONTH(B571)&amp;"月"</f>
        <v/>
      </c>
      <c r="E571" s="12" t="n">
        <v>1</v>
      </c>
      <c r="F571" s="10" t="n"/>
      <c r="G571" s="10" t="inlineStr">
        <is>
          <t>【9月～11月/Webセミナー】はじめてのMicrosoft 365 Copilot Agent Builderを開催いたします</t>
        </is>
      </c>
      <c r="H571" s="10" t="inlineStr">
        <is>
          <t>テクバン株式会社</t>
        </is>
      </c>
      <c r="I571" s="10" t="n"/>
      <c r="J571" s="10" t="inlineStr">
        <is>
          <t>PR TIMES</t>
        </is>
      </c>
      <c r="K571" s="10" t="inlineStr">
        <is>
          <t>online</t>
        </is>
      </c>
      <c r="L571" s="10" t="inlineStr">
        <is>
          <t>オンライン</t>
        </is>
      </c>
      <c r="M571" s="10" t="inlineStr">
        <is>
          <t>生産性向上・業務効率化</t>
        </is>
      </c>
      <c r="N571" s="10" t="inlineStr">
        <is>
          <t>AIエージェント</t>
        </is>
      </c>
      <c r="O571" s="12" t="inlineStr">
        <is>
          <t>◎</t>
        </is>
      </c>
      <c r="P571" s="13" t="n"/>
      <c r="Q571" s="12" t="inlineStr">
        <is>
          <t>不明</t>
        </is>
      </c>
      <c r="R571" s="14" t="n"/>
      <c r="S571" s="10" t="n"/>
      <c r="T571" s="10" t="inlineStr">
        <is>
          <t>2026年9月30日(水)初回、以降10/9・10/23・11/6にも開催。テクバン株式会社（本社：東京都港区、代表取締役 社長執行役員：高松 睦夫※、以下テクバン）は、Webセミナー「はじめてのMicrosoft 365 Copilot Agent Builder」を開催いたします。 ■セミナー概要 本セミナーでは、情報システム部門およびDX推進部門の担当者を対象に、Microsoft 365 CopilotのAgent Builde</t>
        </is>
      </c>
      <c r="U571" s="15" t="inlineStr">
        <is>
          <t>https://prtimes.jp/main/html/rd/p/000000507.000031612.html</t>
        </is>
      </c>
      <c r="V571" s="10" t="n"/>
      <c r="W571" s="10" t="inlineStr">
        <is>
          <t>タイトル一致</t>
        </is>
      </c>
      <c r="X571" s="10" t="n"/>
    </row>
    <row r="572">
      <c r="A572" s="10" t="n">
        <v>571</v>
      </c>
      <c r="B572" s="11" t="n">
        <v>46295</v>
      </c>
      <c r="C572" s="11" t="n">
        <v>46295</v>
      </c>
      <c r="D572" s="10">
        <f>MONTH(B572)&amp;"月"</f>
        <v/>
      </c>
      <c r="E572" s="12" t="n">
        <v>1</v>
      </c>
      <c r="F572" s="10" t="n"/>
      <c r="G572" s="10" t="inlineStr">
        <is>
          <t>【AI活用相談会】</t>
        </is>
      </c>
      <c r="H572" s="10" t="inlineStr">
        <is>
          <t>株式会社BTM</t>
        </is>
      </c>
      <c r="I572" s="10" t="n"/>
      <c r="J572" s="10" t="inlineStr">
        <is>
          <t>こくちーずプロ</t>
        </is>
      </c>
      <c r="K572" s="10" t="inlineStr">
        <is>
          <t>オンライン</t>
        </is>
      </c>
      <c r="L572" s="10" t="inlineStr">
        <is>
          <t>オンライン 日本</t>
        </is>
      </c>
      <c r="M572" s="10" t="inlineStr">
        <is>
          <t>営業・マーケ・CS</t>
        </is>
      </c>
      <c r="N572" s="10" t="inlineStr">
        <is>
          <t>AIエージェント</t>
        </is>
      </c>
      <c r="O572" s="12" t="inlineStr">
        <is>
          <t>○</t>
        </is>
      </c>
      <c r="P572" s="13" t="n">
        <v>0</v>
      </c>
      <c r="Q572" s="12" t="inlineStr">
        <is>
          <t>イベント参加 0/10</t>
        </is>
      </c>
      <c r="R572" s="14" t="n">
        <v>10</v>
      </c>
      <c r="S572" s="10" t="n"/>
      <c r="T572" s="10" t="inlineStr">
        <is>
          <t>システム障害や問い合わせが発生するたびに、特定のエンジニアへ調査が集中していませんか？ 障害調査には、ログの確認、関連情報の収集、原因の切り分けなど、専門的な知識と多くの時間が必要です。 その結果、対応できる人が限られ、調査の属人化や対応遅延が発生しやすくなります。 本ウェビナーでは、AIエージェント「Tracis AI」を活用し、障害調査を自動化する方法をご紹介します。 調査工数を最大95％削減し、非エンジニアでも迷わず原因を特定でき</t>
        </is>
      </c>
      <c r="U572" s="15" t="inlineStr">
        <is>
          <t>https://www.kokuchpro.com/event/7632b95976d010e5aa3c71637cb53d0a/</t>
        </is>
      </c>
      <c r="V572" s="10" t="n"/>
      <c r="W572" s="10" t="inlineStr">
        <is>
          <t>本文一致</t>
        </is>
      </c>
      <c r="X572" s="10" t="n"/>
    </row>
    <row r="573">
      <c r="A573" s="10" t="n">
        <v>572</v>
      </c>
      <c r="B573" s="11" t="n">
        <v>46295</v>
      </c>
      <c r="C573" s="11" t="n">
        <v>46295</v>
      </c>
      <c r="D573" s="10">
        <f>MONTH(B573)&amp;"月"</f>
        <v/>
      </c>
      <c r="E573" s="12" t="n">
        <v>1</v>
      </c>
      <c r="F573" s="10" t="n"/>
      <c r="G573" s="10" t="inlineStr">
        <is>
          <t>【リアル開催】AIエージェントが「買う」時代へ、エージェンティックコマースの最前線 〜AIエージェントが商品を評価し、取引を開始し、決済を完了する時代へ〜</t>
        </is>
      </c>
      <c r="H573" s="10" t="inlineStr">
        <is>
          <t>ストライプジャパン株式会社</t>
        </is>
      </c>
      <c r="I573" s="10" t="inlineStr">
        <is>
          <t>マジセミ株式会社</t>
        </is>
      </c>
      <c r="J573" s="10" t="inlineStr">
        <is>
          <t>Doorkeeper</t>
        </is>
      </c>
      <c r="K573" s="10" t="inlineStr">
        <is>
          <t>会場</t>
        </is>
      </c>
      <c r="L573" s="10" t="inlineStr">
        <is>
          <t>ザ・プリンス パークタワー東京 東京都港区芝公園 4-8-1</t>
        </is>
      </c>
      <c r="M573" s="10" t="inlineStr">
        <is>
          <t>営業・マーケ・CS</t>
        </is>
      </c>
      <c r="N573" s="10" t="inlineStr">
        <is>
          <t>AIエージェント</t>
        </is>
      </c>
      <c r="O573" s="12" t="inlineStr">
        <is>
          <t>◎</t>
        </is>
      </c>
      <c r="P573" s="13" t="n">
        <v>0</v>
      </c>
      <c r="Q573" s="12" t="inlineStr">
        <is>
          <t>参加者数</t>
        </is>
      </c>
      <c r="R573" s="14" t="n"/>
      <c r="S573" s="10" t="n"/>
      <c r="T573" s="10" t="inlineStr">
        <is>
          <t xml:space="preserve"> 本セミナーはオンサイト開催です 参加に関する詳細は主催企業より直接メールにてご連絡いたします。 「stripetour.com 」「osslabo.com」「majisemi.com」からのメールが迷惑メールとならないよう、メールの設定をご確認ください。 会場：ザ・プリンス パークタワー東京 〒105-8563 東京都港区芝公園 4-8-1 AIエージェントが「買う」時代へ 生成AIの進化により、ECは「人が検索し、比較し、購入する」</t>
        </is>
      </c>
      <c r="U573" s="15" t="inlineStr">
        <is>
          <t>https://majisemi-business.doorkeeper.jp/events/198698</t>
        </is>
      </c>
      <c r="V573" s="10" t="n"/>
      <c r="W573" s="10" t="inlineStr">
        <is>
          <t>タイトル一致</t>
        </is>
      </c>
      <c r="X573" s="10" t="n"/>
    </row>
    <row r="574">
      <c r="A574" s="10" t="n">
        <v>573</v>
      </c>
      <c r="B574" s="11" t="n">
        <v>46295</v>
      </c>
      <c r="C574" s="11" t="n">
        <v>46295</v>
      </c>
      <c r="D574" s="10">
        <f>MONTH(B574)&amp;"月"</f>
        <v/>
      </c>
      <c r="E574" s="12" t="n">
        <v>1</v>
      </c>
      <c r="F574" s="10" t="n"/>
      <c r="G574" s="10" t="inlineStr">
        <is>
          <t>【事例＆トーク】生成AIとAsanaをどう組み合わせる？〜はじめの一歩からClaude連携・最新AWMを語り合おう〜</t>
        </is>
      </c>
      <c r="H574" s="10" t="inlineStr">
        <is>
          <t>（記載なし）</t>
        </is>
      </c>
      <c r="I574" s="10" t="n"/>
      <c r="J574" s="10" t="inlineStr">
        <is>
          <t>Doorkeeper</t>
        </is>
      </c>
      <c r="K574" s="10" t="inlineStr">
        <is>
          <t>会場</t>
        </is>
      </c>
      <c r="L574" s="10" t="inlineStr">
        <is>
          <t>Asana Japanオフィス内会議室 東京都千代田区丸の内２丁目６番１号 丸の内パークビルディング８階</t>
        </is>
      </c>
      <c r="M574" s="10" t="inlineStr">
        <is>
          <t>生産性向上・業務効率化</t>
        </is>
      </c>
      <c r="N574" s="10" t="inlineStr">
        <is>
          <t>AIエージェント</t>
        </is>
      </c>
      <c r="O574" s="12" t="inlineStr">
        <is>
          <t>○</t>
        </is>
      </c>
      <c r="P574" s="13" t="n">
        <v>29</v>
      </c>
      <c r="Q574" s="12" t="inlineStr">
        <is>
          <t>参加者数</t>
        </is>
      </c>
      <c r="R574" s="14" t="n">
        <v>30</v>
      </c>
      <c r="S574" s="10" t="n"/>
      <c r="T574" s="10" t="inlineStr">
        <is>
          <t xml:space="preserve"> こんにちは、Asana東京コミュニティです🗼 生成AIの進化が目覚ましい昨今、「業務効率化のためにAIを活用したいけれど、日々のタスクやプロジェクト管理（Asana）とどう組み合わせればいいのかわからない」「実際の活用事例を知りたい」と感じている方も多いのではないでしょうか？ 今回は、業務における生成AIとAsanaの連携・活用をテーマにしたイベントを開催します！ 「はじめの一歩」として使いこなすコツから、話題の「Claude連携」や</t>
        </is>
      </c>
      <c r="U574" s="15" t="inlineStr">
        <is>
          <t>https://asanatogether-jp.doorkeeper.jp/events/199026</t>
        </is>
      </c>
      <c r="V574" s="10" t="n"/>
      <c r="W574" s="10" t="inlineStr">
        <is>
          <t>本文一致</t>
        </is>
      </c>
      <c r="X574" s="10" t="n"/>
    </row>
    <row r="575">
      <c r="A575" s="10" t="n">
        <v>574</v>
      </c>
      <c r="B575" s="11" t="n">
        <v>46295</v>
      </c>
      <c r="C575" s="11" t="n">
        <v>46295</v>
      </c>
      <c r="D575" s="10">
        <f>MONTH(B575)&amp;"月"</f>
        <v/>
      </c>
      <c r="E575" s="12" t="n">
        <v>1</v>
      </c>
      <c r="F575" s="10" t="n"/>
      <c r="G575" s="10" t="inlineStr">
        <is>
          <t>【岐阜市主催・参加無料】Claude Cowork ハンズオン実践セミナー</t>
        </is>
      </c>
      <c r="H575" s="10" t="inlineStr">
        <is>
          <t>みんなシステムズ セミナー担当</t>
        </is>
      </c>
      <c r="I575" s="10" t="n"/>
      <c r="J575" s="10" t="inlineStr">
        <is>
          <t>こくちーずプロ</t>
        </is>
      </c>
      <c r="K575" s="10" t="inlineStr">
        <is>
          <t>オフライン（会場）</t>
        </is>
      </c>
      <c r="L575" s="10" t="inlineStr">
        <is>
          <t>Neo work-Gifu 岐阜県岐阜市高砂町1-17 岐阜イーストライジング24 2F</t>
        </is>
      </c>
      <c r="M575" s="10" t="inlineStr">
        <is>
          <t>生産性向上・業務効率化</t>
        </is>
      </c>
      <c r="N575" s="10" t="inlineStr">
        <is>
          <t>AIエージェント</t>
        </is>
      </c>
      <c r="O575" s="12" t="inlineStr">
        <is>
          <t>◎</t>
        </is>
      </c>
      <c r="P575" s="13" t="n">
        <v>0</v>
      </c>
      <c r="Q575" s="12" t="inlineStr">
        <is>
          <t>イベント参加 0/20</t>
        </is>
      </c>
      <c r="R575" s="14" t="n">
        <v>20</v>
      </c>
      <c r="S575" s="10" t="n"/>
      <c r="T575" s="10" t="inlineStr">
        <is>
          <t>【お申し込みについて】 本セミナーのお申し込みは、主催者（Neo work-Gifu）の専用フォームで受け付けています。 お手数ですが、下記フォームからお申し込みください。 ▶ 申込フォーム： https://forms.gle/Enyf2NY3WyuWHEaQA 申込期限：2026年9月29日（火）／定員20名（先着順） AIを“知る”から、“使える”へ。 岐阜市主催の無料セミナーで、Claude Coworkを実際に触りながら業務へ</t>
        </is>
      </c>
      <c r="U575" s="15" t="inlineStr">
        <is>
          <t>https://www.kokuchpro.com/event/406519751d2a2724220ebfe818934657/</t>
        </is>
      </c>
      <c r="V575" s="10" t="n"/>
      <c r="W575" s="10" t="inlineStr">
        <is>
          <t>タイトル一致</t>
        </is>
      </c>
      <c r="X575" s="10" t="n"/>
    </row>
    <row r="576">
      <c r="A576" s="10" t="n">
        <v>575</v>
      </c>
      <c r="B576" s="11" t="n">
        <v>46295</v>
      </c>
      <c r="C576" s="11" t="n">
        <v>46295</v>
      </c>
      <c r="D576" s="10">
        <f>MONTH(B576)&amp;"月"</f>
        <v/>
      </c>
      <c r="E576" s="12" t="n">
        <v>1</v>
      </c>
      <c r="F576" s="10" t="n"/>
      <c r="G576" s="10" t="inlineStr">
        <is>
          <t>【神戸・三宮】エンジニアAI交流会｜みんな何使ってる？AIエージェント＆話題のGPT-6 Astra</t>
        </is>
      </c>
      <c r="H576" s="10" t="inlineStr">
        <is>
          <t>AI ハックラボ</t>
        </is>
      </c>
      <c r="I576" s="10" t="n"/>
      <c r="J576" s="10" t="inlineStr">
        <is>
          <t>connpass</t>
        </is>
      </c>
      <c r="K576" s="10" t="inlineStr">
        <is>
          <t>会場</t>
        </is>
      </c>
      <c r="L576" s="10" t="inlineStr">
        <is>
          <t>兵庫県神戸市中央区加納町４丁目９−２９ 神戸真亜BLDG 505号</t>
        </is>
      </c>
      <c r="M576" s="10" t="inlineStr">
        <is>
          <t>開発生産性</t>
        </is>
      </c>
      <c r="N576" s="10" t="inlineStr">
        <is>
          <t>AIエージェント</t>
        </is>
      </c>
      <c r="O576" s="12" t="inlineStr">
        <is>
          <t>○</t>
        </is>
      </c>
      <c r="P576" s="13" t="n">
        <v>3</v>
      </c>
      <c r="Q576" s="12" t="inlineStr">
        <is>
          <t>参加者数</t>
        </is>
      </c>
      <c r="R576" s="14" t="n">
        <v>10</v>
      </c>
      <c r="S576" s="10" t="n"/>
      <c r="T576" s="10" t="n"/>
      <c r="U576" s="15" t="inlineStr">
        <is>
          <t>https://aihacklabo.connpass.com/event/406182/</t>
        </is>
      </c>
      <c r="V576" s="10" t="n"/>
      <c r="W576" s="10" t="inlineStr">
        <is>
          <t>タイトル一致</t>
        </is>
      </c>
      <c r="X576" s="10" t="n"/>
    </row>
    <row r="577">
      <c r="A577" s="10" t="n">
        <v>576</v>
      </c>
      <c r="B577" s="11" t="n">
        <v>46295</v>
      </c>
      <c r="C577" s="11" t="n">
        <v>46295</v>
      </c>
      <c r="D577" s="10">
        <f>MONTH(B577)&amp;"月"</f>
        <v/>
      </c>
      <c r="E577" s="12" t="n">
        <v>1</v>
      </c>
      <c r="F577" s="10" t="n"/>
      <c r="G577" s="10" t="inlineStr">
        <is>
          <t>なごやクラメソゆる勉強会 #5 Claude Codeの現在地をつかむ：基礎から活用まで</t>
        </is>
      </c>
      <c r="H577" s="10" t="inlineStr">
        <is>
          <t>クラスメソッド株式会社</t>
        </is>
      </c>
      <c r="I577" s="10" t="n"/>
      <c r="J577" s="10" t="inlineStr">
        <is>
          <t>connpass</t>
        </is>
      </c>
      <c r="K577" s="10" t="inlineStr">
        <is>
          <t>会場</t>
        </is>
      </c>
      <c r="L577" s="10" t="inlineStr">
        <is>
          <t>愛知県名古屋市中区錦1-17-26（ラウンドテラス伏見8階）</t>
        </is>
      </c>
      <c r="M577" s="10" t="inlineStr">
        <is>
          <t>開発生産性</t>
        </is>
      </c>
      <c r="N577" s="10" t="inlineStr">
        <is>
          <t>AIエージェント</t>
        </is>
      </c>
      <c r="O577" s="12" t="inlineStr">
        <is>
          <t>○</t>
        </is>
      </c>
      <c r="P577" s="13" t="n">
        <v>11</v>
      </c>
      <c r="Q577" s="12" t="inlineStr">
        <is>
          <t>参加者数</t>
        </is>
      </c>
      <c r="R577" s="14" t="n">
        <v>15</v>
      </c>
      <c r="S577" s="10" t="n"/>
      <c r="T577" s="10" t="n"/>
      <c r="U577" s="15" t="inlineStr">
        <is>
          <t>https://classmethod.connpass.com/event/405790/</t>
        </is>
      </c>
      <c r="V577" s="10" t="n"/>
      <c r="W577" s="10" t="inlineStr">
        <is>
          <t>タイトル一致</t>
        </is>
      </c>
      <c r="X577" s="10" t="n"/>
    </row>
    <row r="578">
      <c r="A578" s="10" t="n">
        <v>577</v>
      </c>
      <c r="B578" s="11" t="n">
        <v>46295</v>
      </c>
      <c r="C578" s="11" t="n">
        <v>46295</v>
      </c>
      <c r="D578" s="10">
        <f>MONTH(B578)&amp;"月"</f>
        <v/>
      </c>
      <c r="E578" s="12" t="n">
        <v>1</v>
      </c>
      <c r="F578" s="10" t="n"/>
      <c r="G578" s="10" t="inlineStr">
        <is>
          <t>一人社長・個人事業主のための「AI社員」構築セミナー</t>
        </is>
      </c>
      <c r="H578" s="10" t="inlineStr">
        <is>
          <t>まなびアップ(株式会社Giver Asset)</t>
        </is>
      </c>
      <c r="I578" s="10" t="n"/>
      <c r="J578" s="10" t="inlineStr">
        <is>
          <t>こくちーずプロ</t>
        </is>
      </c>
      <c r="K578" s="10" t="inlineStr">
        <is>
          <t>オンライン</t>
        </is>
      </c>
      <c r="L578" s="10" t="inlineStr">
        <is>
          <t>オンライン 日本</t>
        </is>
      </c>
      <c r="M578" s="10" t="inlineStr">
        <is>
          <t>生産性向上・業務効率化</t>
        </is>
      </c>
      <c r="N578" s="10" t="inlineStr">
        <is>
          <t>AIエージェント</t>
        </is>
      </c>
      <c r="O578" s="12" t="inlineStr">
        <is>
          <t>○</t>
        </is>
      </c>
      <c r="P578" s="13" t="n">
        <v>0</v>
      </c>
      <c r="Q578" s="12" t="inlineStr">
        <is>
          <t>イベント参加 0/2</t>
        </is>
      </c>
      <c r="R578" s="14" t="n">
        <v>2</v>
      </c>
      <c r="S578" s="10" t="n"/>
      <c r="T578" s="10" t="inlineStr">
        <is>
          <t xml:space="preserve">「人を雇えたら楽になる…。 でも、お金もかかるし、教える時間もないし… 結局、自分でやるしかない…。」 そんな悩みを持つ一人社長・個人事業主の方こそ 「AIエージェント」を使ってみてください。 弊社はClaude Code（クロード・コード）によって10の仕事をAIに振り分けることができました！ AIの2つの使い方 AIの使い方は大きく分けて2つあります。 ①質問して答えてもらう。 ②仕事そのものを任せる。 今回扱うのは、2つ目です。 </t>
        </is>
      </c>
      <c r="U578" s="15" t="inlineStr">
        <is>
          <t>https://www.kokuchpro.com/event/96b2ae414e48de8a30d3542c61fb130e/3882838/</t>
        </is>
      </c>
      <c r="V578" s="10" t="n"/>
      <c r="W578" s="10" t="inlineStr">
        <is>
          <t>本文一致</t>
        </is>
      </c>
      <c r="X578" s="10" t="n"/>
    </row>
    <row r="579">
      <c r="A579" s="10" t="n">
        <v>578</v>
      </c>
      <c r="B579" s="11" t="n">
        <v>46295</v>
      </c>
      <c r="C579" s="11" t="n">
        <v>46295</v>
      </c>
      <c r="D579" s="10">
        <f>MONTH(B579)&amp;"月"</f>
        <v/>
      </c>
      <c r="E579" s="12" t="n">
        <v>1</v>
      </c>
      <c r="F579" s="10" t="n"/>
      <c r="G579" s="10" t="inlineStr">
        <is>
          <t>非エンジニア社長のための Claude Code 実演会|実際の画面を60分ライブ</t>
        </is>
      </c>
      <c r="H579" s="10" t="inlineStr">
        <is>
          <t>GrowthFix(石井 伸幸)</t>
        </is>
      </c>
      <c r="I579" s="10" t="n"/>
      <c r="J579" s="10" t="inlineStr">
        <is>
          <t>こくちーずプロ</t>
        </is>
      </c>
      <c r="K579" s="10" t="inlineStr">
        <is>
          <t>オンライン</t>
        </is>
      </c>
      <c r="L579" s="10" t="inlineStr">
        <is>
          <t>オンライン 日本</t>
        </is>
      </c>
      <c r="M579" s="10" t="inlineStr">
        <is>
          <t>生産性向上・業務効率化</t>
        </is>
      </c>
      <c r="N579" s="10" t="inlineStr">
        <is>
          <t>AIエージェント</t>
        </is>
      </c>
      <c r="O579" s="12" t="inlineStr">
        <is>
          <t>◎</t>
        </is>
      </c>
      <c r="P579" s="13" t="n">
        <v>0</v>
      </c>
      <c r="Q579" s="12" t="inlineStr">
        <is>
          <t>イベント参加 0/20</t>
        </is>
      </c>
      <c r="R579" s="14" t="n">
        <v>20</v>
      </c>
      <c r="S579" s="10" t="n"/>
      <c r="T579" s="10" t="inlineStr">
        <is>
          <t>議事録、請求書、数字の集計、採用メール、毎朝の段取り。 気づけば一日が「作業」で終わって、本当にやりたかった仕事は夜に少しだけ。 会社を経営していると、だいたいこうなります。私もそうでした。 この会でお見せするのは、Claude Code というAIの道具です。 むずかしい説明は要りません。文章で頼むと、書類づくりや集計を代わりに進めてくれる——だいたい、そういう道具です。私はエンジニアではありません。それでも、この道具で会社の仕事の流</t>
        </is>
      </c>
      <c r="U579" s="15" t="inlineStr">
        <is>
          <t>https://www.kokuchpro.com/event/8ee5b83fb00daef5ace1b3b337a6f02f/</t>
        </is>
      </c>
      <c r="V579" s="10" t="n"/>
      <c r="W579" s="10" t="inlineStr">
        <is>
          <t>タイトル一致</t>
        </is>
      </c>
      <c r="X579" s="10" t="n"/>
    </row>
    <row r="580">
      <c r="A580" s="10" t="n">
        <v>579</v>
      </c>
      <c r="B580" s="11" t="n">
        <v>46295</v>
      </c>
      <c r="C580" s="11" t="n">
        <v>46295</v>
      </c>
      <c r="D580" s="10">
        <f>MONTH(B580)&amp;"月"</f>
        <v/>
      </c>
      <c r="E580" s="12" t="n">
        <v>1</v>
      </c>
      <c r="F580" s="10" t="n"/>
      <c r="G580" s="10" t="inlineStr">
        <is>
          <t>［みのるん式］ビジネスパーソンのためのClaude Code仕事術 - FL#134</t>
        </is>
      </c>
      <c r="H580" s="10" t="inlineStr">
        <is>
          <t>Forkwell Community</t>
        </is>
      </c>
      <c r="I580" s="10" t="n"/>
      <c r="J580" s="10" t="inlineStr">
        <is>
          <t>connpass</t>
        </is>
      </c>
      <c r="K580" s="10" t="inlineStr">
        <is>
          <t>オンライン</t>
        </is>
      </c>
      <c r="L580" s="10" t="inlineStr">
        <is>
          <t>オンライン</t>
        </is>
      </c>
      <c r="M580" s="10" t="inlineStr">
        <is>
          <t>生産性向上・業務効率化</t>
        </is>
      </c>
      <c r="N580" s="10" t="inlineStr">
        <is>
          <t>AIエージェント</t>
        </is>
      </c>
      <c r="O580" s="12" t="inlineStr">
        <is>
          <t>◎</t>
        </is>
      </c>
      <c r="P580" s="13" t="n">
        <v>252</v>
      </c>
      <c r="Q580" s="12" t="inlineStr">
        <is>
          <t>参加者数</t>
        </is>
      </c>
      <c r="R580" s="14" t="n"/>
      <c r="S580" s="10" t="n"/>
      <c r="T580" s="10" t="n"/>
      <c r="U580" s="15" t="inlineStr">
        <is>
          <t>https://forkwell.connpass.com/event/406993/</t>
        </is>
      </c>
      <c r="V580" s="10" t="n"/>
      <c r="W580" s="10" t="inlineStr">
        <is>
          <t>タイトル一致</t>
        </is>
      </c>
      <c r="X580" s="10" t="n"/>
    </row>
  </sheetData>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V73" r:id="rId73"/>
    <hyperlink xmlns:r="http://schemas.openxmlformats.org/officeDocument/2006/relationships" ref="U74" r:id="rId74"/>
    <hyperlink xmlns:r="http://schemas.openxmlformats.org/officeDocument/2006/relationships" ref="U75" r:id="rId75"/>
    <hyperlink xmlns:r="http://schemas.openxmlformats.org/officeDocument/2006/relationships" ref="U76" r:id="rId76"/>
    <hyperlink xmlns:r="http://schemas.openxmlformats.org/officeDocument/2006/relationships" ref="U77" r:id="rId77"/>
    <hyperlink xmlns:r="http://schemas.openxmlformats.org/officeDocument/2006/relationships" ref="U78" r:id="rId78"/>
    <hyperlink xmlns:r="http://schemas.openxmlformats.org/officeDocument/2006/relationships" ref="U79" r:id="rId79"/>
    <hyperlink xmlns:r="http://schemas.openxmlformats.org/officeDocument/2006/relationships" ref="U80" r:id="rId80"/>
    <hyperlink xmlns:r="http://schemas.openxmlformats.org/officeDocument/2006/relationships" ref="U81" r:id="rId81"/>
    <hyperlink xmlns:r="http://schemas.openxmlformats.org/officeDocument/2006/relationships" ref="U82" r:id="rId82"/>
    <hyperlink xmlns:r="http://schemas.openxmlformats.org/officeDocument/2006/relationships" ref="U83" r:id="rId83"/>
    <hyperlink xmlns:r="http://schemas.openxmlformats.org/officeDocument/2006/relationships" ref="U84" r:id="rId84"/>
    <hyperlink xmlns:r="http://schemas.openxmlformats.org/officeDocument/2006/relationships" ref="U85" r:id="rId85"/>
    <hyperlink xmlns:r="http://schemas.openxmlformats.org/officeDocument/2006/relationships" ref="U86" r:id="rId86"/>
    <hyperlink xmlns:r="http://schemas.openxmlformats.org/officeDocument/2006/relationships" ref="U87" r:id="rId87"/>
    <hyperlink xmlns:r="http://schemas.openxmlformats.org/officeDocument/2006/relationships" ref="U88" r:id="rId88"/>
    <hyperlink xmlns:r="http://schemas.openxmlformats.org/officeDocument/2006/relationships" ref="U89" r:id="rId89"/>
    <hyperlink xmlns:r="http://schemas.openxmlformats.org/officeDocument/2006/relationships" ref="U90" r:id="rId90"/>
    <hyperlink xmlns:r="http://schemas.openxmlformats.org/officeDocument/2006/relationships" ref="U91" r:id="rId91"/>
    <hyperlink xmlns:r="http://schemas.openxmlformats.org/officeDocument/2006/relationships" ref="U92" r:id="rId92"/>
    <hyperlink xmlns:r="http://schemas.openxmlformats.org/officeDocument/2006/relationships" ref="U93" r:id="rId93"/>
    <hyperlink xmlns:r="http://schemas.openxmlformats.org/officeDocument/2006/relationships" ref="U94" r:id="rId94"/>
    <hyperlink xmlns:r="http://schemas.openxmlformats.org/officeDocument/2006/relationships" ref="U95" r:id="rId95"/>
    <hyperlink xmlns:r="http://schemas.openxmlformats.org/officeDocument/2006/relationships" ref="U96" r:id="rId96"/>
    <hyperlink xmlns:r="http://schemas.openxmlformats.org/officeDocument/2006/relationships" ref="U97" r:id="rId97"/>
    <hyperlink xmlns:r="http://schemas.openxmlformats.org/officeDocument/2006/relationships" ref="U98" r:id="rId98"/>
    <hyperlink xmlns:r="http://schemas.openxmlformats.org/officeDocument/2006/relationships" ref="U99" r:id="rId99"/>
    <hyperlink xmlns:r="http://schemas.openxmlformats.org/officeDocument/2006/relationships" ref="U100" r:id="rId100"/>
    <hyperlink xmlns:r="http://schemas.openxmlformats.org/officeDocument/2006/relationships" ref="U101" r:id="rId101"/>
    <hyperlink xmlns:r="http://schemas.openxmlformats.org/officeDocument/2006/relationships" ref="U102" r:id="rId102"/>
    <hyperlink xmlns:r="http://schemas.openxmlformats.org/officeDocument/2006/relationships" ref="U103" r:id="rId103"/>
    <hyperlink xmlns:r="http://schemas.openxmlformats.org/officeDocument/2006/relationships" ref="U104" r:id="rId104"/>
    <hyperlink xmlns:r="http://schemas.openxmlformats.org/officeDocument/2006/relationships" ref="V104" r:id="rId105"/>
    <hyperlink xmlns:r="http://schemas.openxmlformats.org/officeDocument/2006/relationships" ref="U105" r:id="rId106"/>
    <hyperlink xmlns:r="http://schemas.openxmlformats.org/officeDocument/2006/relationships" ref="U106" r:id="rId107"/>
    <hyperlink xmlns:r="http://schemas.openxmlformats.org/officeDocument/2006/relationships" ref="U107" r:id="rId108"/>
    <hyperlink xmlns:r="http://schemas.openxmlformats.org/officeDocument/2006/relationships" ref="U108" r:id="rId109"/>
    <hyperlink xmlns:r="http://schemas.openxmlformats.org/officeDocument/2006/relationships" ref="U109" r:id="rId110"/>
    <hyperlink xmlns:r="http://schemas.openxmlformats.org/officeDocument/2006/relationships" ref="U110" r:id="rId111"/>
    <hyperlink xmlns:r="http://schemas.openxmlformats.org/officeDocument/2006/relationships" ref="U111" r:id="rId112"/>
    <hyperlink xmlns:r="http://schemas.openxmlformats.org/officeDocument/2006/relationships" ref="U112" r:id="rId113"/>
    <hyperlink xmlns:r="http://schemas.openxmlformats.org/officeDocument/2006/relationships" ref="U113" r:id="rId114"/>
    <hyperlink xmlns:r="http://schemas.openxmlformats.org/officeDocument/2006/relationships" ref="U114" r:id="rId115"/>
    <hyperlink xmlns:r="http://schemas.openxmlformats.org/officeDocument/2006/relationships" ref="U115" r:id="rId116"/>
    <hyperlink xmlns:r="http://schemas.openxmlformats.org/officeDocument/2006/relationships" ref="U116" r:id="rId117"/>
    <hyperlink xmlns:r="http://schemas.openxmlformats.org/officeDocument/2006/relationships" ref="U117" r:id="rId118"/>
    <hyperlink xmlns:r="http://schemas.openxmlformats.org/officeDocument/2006/relationships" ref="U118" r:id="rId119"/>
    <hyperlink xmlns:r="http://schemas.openxmlformats.org/officeDocument/2006/relationships" ref="U119" r:id="rId120"/>
    <hyperlink xmlns:r="http://schemas.openxmlformats.org/officeDocument/2006/relationships" ref="U120" r:id="rId121"/>
    <hyperlink xmlns:r="http://schemas.openxmlformats.org/officeDocument/2006/relationships" ref="U121" r:id="rId122"/>
    <hyperlink xmlns:r="http://schemas.openxmlformats.org/officeDocument/2006/relationships" ref="U122" r:id="rId123"/>
    <hyperlink xmlns:r="http://schemas.openxmlformats.org/officeDocument/2006/relationships" ref="U123" r:id="rId124"/>
    <hyperlink xmlns:r="http://schemas.openxmlformats.org/officeDocument/2006/relationships" ref="U124" r:id="rId125"/>
    <hyperlink xmlns:r="http://schemas.openxmlformats.org/officeDocument/2006/relationships" ref="U125" r:id="rId126"/>
    <hyperlink xmlns:r="http://schemas.openxmlformats.org/officeDocument/2006/relationships" ref="U126" r:id="rId127"/>
    <hyperlink xmlns:r="http://schemas.openxmlformats.org/officeDocument/2006/relationships" ref="U127" r:id="rId128"/>
    <hyperlink xmlns:r="http://schemas.openxmlformats.org/officeDocument/2006/relationships" ref="U128" r:id="rId129"/>
    <hyperlink xmlns:r="http://schemas.openxmlformats.org/officeDocument/2006/relationships" ref="V128" r:id="rId130"/>
    <hyperlink xmlns:r="http://schemas.openxmlformats.org/officeDocument/2006/relationships" ref="U129" r:id="rId131"/>
    <hyperlink xmlns:r="http://schemas.openxmlformats.org/officeDocument/2006/relationships" ref="U130" r:id="rId132"/>
    <hyperlink xmlns:r="http://schemas.openxmlformats.org/officeDocument/2006/relationships" ref="U131" r:id="rId133"/>
    <hyperlink xmlns:r="http://schemas.openxmlformats.org/officeDocument/2006/relationships" ref="U132" r:id="rId134"/>
    <hyperlink xmlns:r="http://schemas.openxmlformats.org/officeDocument/2006/relationships" ref="U133" r:id="rId135"/>
    <hyperlink xmlns:r="http://schemas.openxmlformats.org/officeDocument/2006/relationships" ref="U134" r:id="rId136"/>
    <hyperlink xmlns:r="http://schemas.openxmlformats.org/officeDocument/2006/relationships" ref="U135" r:id="rId137"/>
    <hyperlink xmlns:r="http://schemas.openxmlformats.org/officeDocument/2006/relationships" ref="U136" r:id="rId138"/>
    <hyperlink xmlns:r="http://schemas.openxmlformats.org/officeDocument/2006/relationships" ref="U137" r:id="rId139"/>
    <hyperlink xmlns:r="http://schemas.openxmlformats.org/officeDocument/2006/relationships" ref="U138" r:id="rId140"/>
    <hyperlink xmlns:r="http://schemas.openxmlformats.org/officeDocument/2006/relationships" ref="U139" r:id="rId141"/>
    <hyperlink xmlns:r="http://schemas.openxmlformats.org/officeDocument/2006/relationships" ref="U140" r:id="rId142"/>
    <hyperlink xmlns:r="http://schemas.openxmlformats.org/officeDocument/2006/relationships" ref="U141" r:id="rId143"/>
    <hyperlink xmlns:r="http://schemas.openxmlformats.org/officeDocument/2006/relationships" ref="U142" r:id="rId144"/>
    <hyperlink xmlns:r="http://schemas.openxmlformats.org/officeDocument/2006/relationships" ref="U143" r:id="rId145"/>
    <hyperlink xmlns:r="http://schemas.openxmlformats.org/officeDocument/2006/relationships" ref="U144" r:id="rId146"/>
    <hyperlink xmlns:r="http://schemas.openxmlformats.org/officeDocument/2006/relationships" ref="U145" r:id="rId147"/>
    <hyperlink xmlns:r="http://schemas.openxmlformats.org/officeDocument/2006/relationships" ref="U146" r:id="rId148"/>
    <hyperlink xmlns:r="http://schemas.openxmlformats.org/officeDocument/2006/relationships" ref="U147" r:id="rId149"/>
    <hyperlink xmlns:r="http://schemas.openxmlformats.org/officeDocument/2006/relationships" ref="U148" r:id="rId150"/>
    <hyperlink xmlns:r="http://schemas.openxmlformats.org/officeDocument/2006/relationships" ref="U149" r:id="rId151"/>
    <hyperlink xmlns:r="http://schemas.openxmlformats.org/officeDocument/2006/relationships" ref="U150" r:id="rId152"/>
    <hyperlink xmlns:r="http://schemas.openxmlformats.org/officeDocument/2006/relationships" ref="U151" r:id="rId153"/>
    <hyperlink xmlns:r="http://schemas.openxmlformats.org/officeDocument/2006/relationships" ref="U152" r:id="rId154"/>
    <hyperlink xmlns:r="http://schemas.openxmlformats.org/officeDocument/2006/relationships" ref="U153" r:id="rId155"/>
    <hyperlink xmlns:r="http://schemas.openxmlformats.org/officeDocument/2006/relationships" ref="U154" r:id="rId156"/>
    <hyperlink xmlns:r="http://schemas.openxmlformats.org/officeDocument/2006/relationships" ref="U155" r:id="rId157"/>
    <hyperlink xmlns:r="http://schemas.openxmlformats.org/officeDocument/2006/relationships" ref="U156" r:id="rId158"/>
    <hyperlink xmlns:r="http://schemas.openxmlformats.org/officeDocument/2006/relationships" ref="U157" r:id="rId159"/>
    <hyperlink xmlns:r="http://schemas.openxmlformats.org/officeDocument/2006/relationships" ref="U158" r:id="rId160"/>
    <hyperlink xmlns:r="http://schemas.openxmlformats.org/officeDocument/2006/relationships" ref="U159" r:id="rId161"/>
    <hyperlink xmlns:r="http://schemas.openxmlformats.org/officeDocument/2006/relationships" ref="U160" r:id="rId162"/>
    <hyperlink xmlns:r="http://schemas.openxmlformats.org/officeDocument/2006/relationships" ref="U161" r:id="rId163"/>
    <hyperlink xmlns:r="http://schemas.openxmlformats.org/officeDocument/2006/relationships" ref="U162" r:id="rId164"/>
    <hyperlink xmlns:r="http://schemas.openxmlformats.org/officeDocument/2006/relationships" ref="U163" r:id="rId165"/>
    <hyperlink xmlns:r="http://schemas.openxmlformats.org/officeDocument/2006/relationships" ref="U164" r:id="rId166"/>
    <hyperlink xmlns:r="http://schemas.openxmlformats.org/officeDocument/2006/relationships" ref="U165" r:id="rId167"/>
    <hyperlink xmlns:r="http://schemas.openxmlformats.org/officeDocument/2006/relationships" ref="U166" r:id="rId168"/>
    <hyperlink xmlns:r="http://schemas.openxmlformats.org/officeDocument/2006/relationships" ref="U167" r:id="rId169"/>
    <hyperlink xmlns:r="http://schemas.openxmlformats.org/officeDocument/2006/relationships" ref="U168" r:id="rId170"/>
    <hyperlink xmlns:r="http://schemas.openxmlformats.org/officeDocument/2006/relationships" ref="U169" r:id="rId171"/>
    <hyperlink xmlns:r="http://schemas.openxmlformats.org/officeDocument/2006/relationships" ref="U170" r:id="rId172"/>
    <hyperlink xmlns:r="http://schemas.openxmlformats.org/officeDocument/2006/relationships" ref="U171" r:id="rId173"/>
    <hyperlink xmlns:r="http://schemas.openxmlformats.org/officeDocument/2006/relationships" ref="U172" r:id="rId174"/>
    <hyperlink xmlns:r="http://schemas.openxmlformats.org/officeDocument/2006/relationships" ref="U173" r:id="rId175"/>
    <hyperlink xmlns:r="http://schemas.openxmlformats.org/officeDocument/2006/relationships" ref="U174" r:id="rId176"/>
    <hyperlink xmlns:r="http://schemas.openxmlformats.org/officeDocument/2006/relationships" ref="U175" r:id="rId177"/>
    <hyperlink xmlns:r="http://schemas.openxmlformats.org/officeDocument/2006/relationships" ref="U176" r:id="rId178"/>
    <hyperlink xmlns:r="http://schemas.openxmlformats.org/officeDocument/2006/relationships" ref="U177" r:id="rId179"/>
    <hyperlink xmlns:r="http://schemas.openxmlformats.org/officeDocument/2006/relationships" ref="U178" r:id="rId180"/>
    <hyperlink xmlns:r="http://schemas.openxmlformats.org/officeDocument/2006/relationships" ref="U179" r:id="rId181"/>
    <hyperlink xmlns:r="http://schemas.openxmlformats.org/officeDocument/2006/relationships" ref="U180" r:id="rId182"/>
    <hyperlink xmlns:r="http://schemas.openxmlformats.org/officeDocument/2006/relationships" ref="U181" r:id="rId183"/>
    <hyperlink xmlns:r="http://schemas.openxmlformats.org/officeDocument/2006/relationships" ref="U182" r:id="rId184"/>
    <hyperlink xmlns:r="http://schemas.openxmlformats.org/officeDocument/2006/relationships" ref="U183" r:id="rId185"/>
    <hyperlink xmlns:r="http://schemas.openxmlformats.org/officeDocument/2006/relationships" ref="V183" r:id="rId186"/>
    <hyperlink xmlns:r="http://schemas.openxmlformats.org/officeDocument/2006/relationships" ref="U184" r:id="rId187"/>
    <hyperlink xmlns:r="http://schemas.openxmlformats.org/officeDocument/2006/relationships" ref="U185" r:id="rId188"/>
    <hyperlink xmlns:r="http://schemas.openxmlformats.org/officeDocument/2006/relationships" ref="U186" r:id="rId189"/>
    <hyperlink xmlns:r="http://schemas.openxmlformats.org/officeDocument/2006/relationships" ref="U187" r:id="rId190"/>
    <hyperlink xmlns:r="http://schemas.openxmlformats.org/officeDocument/2006/relationships" ref="U188" r:id="rId191"/>
    <hyperlink xmlns:r="http://schemas.openxmlformats.org/officeDocument/2006/relationships" ref="U189" r:id="rId192"/>
    <hyperlink xmlns:r="http://schemas.openxmlformats.org/officeDocument/2006/relationships" ref="U190" r:id="rId193"/>
    <hyperlink xmlns:r="http://schemas.openxmlformats.org/officeDocument/2006/relationships" ref="U191" r:id="rId194"/>
    <hyperlink xmlns:r="http://schemas.openxmlformats.org/officeDocument/2006/relationships" ref="U192" r:id="rId195"/>
    <hyperlink xmlns:r="http://schemas.openxmlformats.org/officeDocument/2006/relationships" ref="U193" r:id="rId196"/>
    <hyperlink xmlns:r="http://schemas.openxmlformats.org/officeDocument/2006/relationships" ref="U194" r:id="rId197"/>
    <hyperlink xmlns:r="http://schemas.openxmlformats.org/officeDocument/2006/relationships" ref="V194" r:id="rId198"/>
    <hyperlink xmlns:r="http://schemas.openxmlformats.org/officeDocument/2006/relationships" ref="U195" r:id="rId199"/>
    <hyperlink xmlns:r="http://schemas.openxmlformats.org/officeDocument/2006/relationships" ref="U196" r:id="rId200"/>
    <hyperlink xmlns:r="http://schemas.openxmlformats.org/officeDocument/2006/relationships" ref="U197" r:id="rId201"/>
    <hyperlink xmlns:r="http://schemas.openxmlformats.org/officeDocument/2006/relationships" ref="U198" r:id="rId202"/>
    <hyperlink xmlns:r="http://schemas.openxmlformats.org/officeDocument/2006/relationships" ref="U199" r:id="rId203"/>
    <hyperlink xmlns:r="http://schemas.openxmlformats.org/officeDocument/2006/relationships" ref="U200" r:id="rId204"/>
    <hyperlink xmlns:r="http://schemas.openxmlformats.org/officeDocument/2006/relationships" ref="V200" r:id="rId205"/>
    <hyperlink xmlns:r="http://schemas.openxmlformats.org/officeDocument/2006/relationships" ref="U201" r:id="rId206"/>
    <hyperlink xmlns:r="http://schemas.openxmlformats.org/officeDocument/2006/relationships" ref="U202" r:id="rId207"/>
    <hyperlink xmlns:r="http://schemas.openxmlformats.org/officeDocument/2006/relationships" ref="U203" r:id="rId208"/>
    <hyperlink xmlns:r="http://schemas.openxmlformats.org/officeDocument/2006/relationships" ref="U204" r:id="rId209"/>
    <hyperlink xmlns:r="http://schemas.openxmlformats.org/officeDocument/2006/relationships" ref="U205" r:id="rId210"/>
    <hyperlink xmlns:r="http://schemas.openxmlformats.org/officeDocument/2006/relationships" ref="U206" r:id="rId211"/>
    <hyperlink xmlns:r="http://schemas.openxmlformats.org/officeDocument/2006/relationships" ref="U207" r:id="rId212"/>
    <hyperlink xmlns:r="http://schemas.openxmlformats.org/officeDocument/2006/relationships" ref="U208" r:id="rId213"/>
    <hyperlink xmlns:r="http://schemas.openxmlformats.org/officeDocument/2006/relationships" ref="U209" r:id="rId214"/>
    <hyperlink xmlns:r="http://schemas.openxmlformats.org/officeDocument/2006/relationships" ref="U210" r:id="rId215"/>
    <hyperlink xmlns:r="http://schemas.openxmlformats.org/officeDocument/2006/relationships" ref="U211" r:id="rId216"/>
    <hyperlink xmlns:r="http://schemas.openxmlformats.org/officeDocument/2006/relationships" ref="U212" r:id="rId217"/>
    <hyperlink xmlns:r="http://schemas.openxmlformats.org/officeDocument/2006/relationships" ref="U213" r:id="rId218"/>
    <hyperlink xmlns:r="http://schemas.openxmlformats.org/officeDocument/2006/relationships" ref="U214" r:id="rId219"/>
    <hyperlink xmlns:r="http://schemas.openxmlformats.org/officeDocument/2006/relationships" ref="U215" r:id="rId220"/>
    <hyperlink xmlns:r="http://schemas.openxmlformats.org/officeDocument/2006/relationships" ref="U216" r:id="rId221"/>
    <hyperlink xmlns:r="http://schemas.openxmlformats.org/officeDocument/2006/relationships" ref="U217" r:id="rId222"/>
    <hyperlink xmlns:r="http://schemas.openxmlformats.org/officeDocument/2006/relationships" ref="U218" r:id="rId223"/>
    <hyperlink xmlns:r="http://schemas.openxmlformats.org/officeDocument/2006/relationships" ref="U219" r:id="rId224"/>
    <hyperlink xmlns:r="http://schemas.openxmlformats.org/officeDocument/2006/relationships" ref="U220" r:id="rId225"/>
    <hyperlink xmlns:r="http://schemas.openxmlformats.org/officeDocument/2006/relationships" ref="U221" r:id="rId226"/>
    <hyperlink xmlns:r="http://schemas.openxmlformats.org/officeDocument/2006/relationships" ref="U222" r:id="rId227"/>
    <hyperlink xmlns:r="http://schemas.openxmlformats.org/officeDocument/2006/relationships" ref="U223" r:id="rId228"/>
    <hyperlink xmlns:r="http://schemas.openxmlformats.org/officeDocument/2006/relationships" ref="U224" r:id="rId229"/>
    <hyperlink xmlns:r="http://schemas.openxmlformats.org/officeDocument/2006/relationships" ref="U225" r:id="rId230"/>
    <hyperlink xmlns:r="http://schemas.openxmlformats.org/officeDocument/2006/relationships" ref="U226" r:id="rId231"/>
    <hyperlink xmlns:r="http://schemas.openxmlformats.org/officeDocument/2006/relationships" ref="U227" r:id="rId232"/>
    <hyperlink xmlns:r="http://schemas.openxmlformats.org/officeDocument/2006/relationships" ref="U228" r:id="rId233"/>
    <hyperlink xmlns:r="http://schemas.openxmlformats.org/officeDocument/2006/relationships" ref="U229" r:id="rId234"/>
    <hyperlink xmlns:r="http://schemas.openxmlformats.org/officeDocument/2006/relationships" ref="U230" r:id="rId235"/>
    <hyperlink xmlns:r="http://schemas.openxmlformats.org/officeDocument/2006/relationships" ref="U231" r:id="rId236"/>
    <hyperlink xmlns:r="http://schemas.openxmlformats.org/officeDocument/2006/relationships" ref="U232" r:id="rId237"/>
    <hyperlink xmlns:r="http://schemas.openxmlformats.org/officeDocument/2006/relationships" ref="U233" r:id="rId238"/>
    <hyperlink xmlns:r="http://schemas.openxmlformats.org/officeDocument/2006/relationships" ref="U234" r:id="rId239"/>
    <hyperlink xmlns:r="http://schemas.openxmlformats.org/officeDocument/2006/relationships" ref="U235" r:id="rId240"/>
    <hyperlink xmlns:r="http://schemas.openxmlformats.org/officeDocument/2006/relationships" ref="U236" r:id="rId241"/>
    <hyperlink xmlns:r="http://schemas.openxmlformats.org/officeDocument/2006/relationships" ref="U237" r:id="rId242"/>
    <hyperlink xmlns:r="http://schemas.openxmlformats.org/officeDocument/2006/relationships" ref="U238" r:id="rId243"/>
    <hyperlink xmlns:r="http://schemas.openxmlformats.org/officeDocument/2006/relationships" ref="U239" r:id="rId244"/>
    <hyperlink xmlns:r="http://schemas.openxmlformats.org/officeDocument/2006/relationships" ref="U240" r:id="rId245"/>
    <hyperlink xmlns:r="http://schemas.openxmlformats.org/officeDocument/2006/relationships" ref="U241" r:id="rId246"/>
    <hyperlink xmlns:r="http://schemas.openxmlformats.org/officeDocument/2006/relationships" ref="U242" r:id="rId247"/>
    <hyperlink xmlns:r="http://schemas.openxmlformats.org/officeDocument/2006/relationships" ref="U243" r:id="rId248"/>
    <hyperlink xmlns:r="http://schemas.openxmlformats.org/officeDocument/2006/relationships" ref="U244" r:id="rId249"/>
    <hyperlink xmlns:r="http://schemas.openxmlformats.org/officeDocument/2006/relationships" ref="U245" r:id="rId250"/>
    <hyperlink xmlns:r="http://schemas.openxmlformats.org/officeDocument/2006/relationships" ref="U246" r:id="rId251"/>
    <hyperlink xmlns:r="http://schemas.openxmlformats.org/officeDocument/2006/relationships" ref="U247" r:id="rId252"/>
    <hyperlink xmlns:r="http://schemas.openxmlformats.org/officeDocument/2006/relationships" ref="U248" r:id="rId253"/>
    <hyperlink xmlns:r="http://schemas.openxmlformats.org/officeDocument/2006/relationships" ref="U249" r:id="rId254"/>
    <hyperlink xmlns:r="http://schemas.openxmlformats.org/officeDocument/2006/relationships" ref="U250" r:id="rId255"/>
    <hyperlink xmlns:r="http://schemas.openxmlformats.org/officeDocument/2006/relationships" ref="U251" r:id="rId256"/>
    <hyperlink xmlns:r="http://schemas.openxmlformats.org/officeDocument/2006/relationships" ref="U252" r:id="rId257"/>
    <hyperlink xmlns:r="http://schemas.openxmlformats.org/officeDocument/2006/relationships" ref="U253" r:id="rId258"/>
    <hyperlink xmlns:r="http://schemas.openxmlformats.org/officeDocument/2006/relationships" ref="U254" r:id="rId259"/>
    <hyperlink xmlns:r="http://schemas.openxmlformats.org/officeDocument/2006/relationships" ref="U255" r:id="rId260"/>
    <hyperlink xmlns:r="http://schemas.openxmlformats.org/officeDocument/2006/relationships" ref="U256" r:id="rId261"/>
    <hyperlink xmlns:r="http://schemas.openxmlformats.org/officeDocument/2006/relationships" ref="U257" r:id="rId262"/>
    <hyperlink xmlns:r="http://schemas.openxmlformats.org/officeDocument/2006/relationships" ref="U258" r:id="rId263"/>
    <hyperlink xmlns:r="http://schemas.openxmlformats.org/officeDocument/2006/relationships" ref="U259" r:id="rId264"/>
    <hyperlink xmlns:r="http://schemas.openxmlformats.org/officeDocument/2006/relationships" ref="U260" r:id="rId265"/>
    <hyperlink xmlns:r="http://schemas.openxmlformats.org/officeDocument/2006/relationships" ref="U261" r:id="rId266"/>
    <hyperlink xmlns:r="http://schemas.openxmlformats.org/officeDocument/2006/relationships" ref="U262" r:id="rId267"/>
    <hyperlink xmlns:r="http://schemas.openxmlformats.org/officeDocument/2006/relationships" ref="U263" r:id="rId268"/>
    <hyperlink xmlns:r="http://schemas.openxmlformats.org/officeDocument/2006/relationships" ref="U264" r:id="rId269"/>
    <hyperlink xmlns:r="http://schemas.openxmlformats.org/officeDocument/2006/relationships" ref="U265" r:id="rId270"/>
    <hyperlink xmlns:r="http://schemas.openxmlformats.org/officeDocument/2006/relationships" ref="U266" r:id="rId271"/>
    <hyperlink xmlns:r="http://schemas.openxmlformats.org/officeDocument/2006/relationships" ref="U267" r:id="rId272"/>
    <hyperlink xmlns:r="http://schemas.openxmlformats.org/officeDocument/2006/relationships" ref="U268" r:id="rId273"/>
    <hyperlink xmlns:r="http://schemas.openxmlformats.org/officeDocument/2006/relationships" ref="U269" r:id="rId274"/>
    <hyperlink xmlns:r="http://schemas.openxmlformats.org/officeDocument/2006/relationships" ref="U270" r:id="rId275"/>
    <hyperlink xmlns:r="http://schemas.openxmlformats.org/officeDocument/2006/relationships" ref="U271" r:id="rId276"/>
    <hyperlink xmlns:r="http://schemas.openxmlformats.org/officeDocument/2006/relationships" ref="U272" r:id="rId277"/>
    <hyperlink xmlns:r="http://schemas.openxmlformats.org/officeDocument/2006/relationships" ref="U273" r:id="rId278"/>
    <hyperlink xmlns:r="http://schemas.openxmlformats.org/officeDocument/2006/relationships" ref="U274" r:id="rId279"/>
    <hyperlink xmlns:r="http://schemas.openxmlformats.org/officeDocument/2006/relationships" ref="U275" r:id="rId280"/>
    <hyperlink xmlns:r="http://schemas.openxmlformats.org/officeDocument/2006/relationships" ref="U276" r:id="rId281"/>
    <hyperlink xmlns:r="http://schemas.openxmlformats.org/officeDocument/2006/relationships" ref="U277" r:id="rId282"/>
    <hyperlink xmlns:r="http://schemas.openxmlformats.org/officeDocument/2006/relationships" ref="U278" r:id="rId283"/>
    <hyperlink xmlns:r="http://schemas.openxmlformats.org/officeDocument/2006/relationships" ref="U279" r:id="rId284"/>
    <hyperlink xmlns:r="http://schemas.openxmlformats.org/officeDocument/2006/relationships" ref="U280" r:id="rId285"/>
    <hyperlink xmlns:r="http://schemas.openxmlformats.org/officeDocument/2006/relationships" ref="U281" r:id="rId286"/>
    <hyperlink xmlns:r="http://schemas.openxmlformats.org/officeDocument/2006/relationships" ref="U282" r:id="rId287"/>
    <hyperlink xmlns:r="http://schemas.openxmlformats.org/officeDocument/2006/relationships" ref="U283" r:id="rId288"/>
    <hyperlink xmlns:r="http://schemas.openxmlformats.org/officeDocument/2006/relationships" ref="U284" r:id="rId289"/>
    <hyperlink xmlns:r="http://schemas.openxmlformats.org/officeDocument/2006/relationships" ref="U285" r:id="rId290"/>
    <hyperlink xmlns:r="http://schemas.openxmlformats.org/officeDocument/2006/relationships" ref="U286" r:id="rId291"/>
    <hyperlink xmlns:r="http://schemas.openxmlformats.org/officeDocument/2006/relationships" ref="U287" r:id="rId292"/>
    <hyperlink xmlns:r="http://schemas.openxmlformats.org/officeDocument/2006/relationships" ref="U288" r:id="rId293"/>
    <hyperlink xmlns:r="http://schemas.openxmlformats.org/officeDocument/2006/relationships" ref="U289" r:id="rId294"/>
    <hyperlink xmlns:r="http://schemas.openxmlformats.org/officeDocument/2006/relationships" ref="U290" r:id="rId295"/>
    <hyperlink xmlns:r="http://schemas.openxmlformats.org/officeDocument/2006/relationships" ref="U291" r:id="rId296"/>
    <hyperlink xmlns:r="http://schemas.openxmlformats.org/officeDocument/2006/relationships" ref="U292" r:id="rId297"/>
    <hyperlink xmlns:r="http://schemas.openxmlformats.org/officeDocument/2006/relationships" ref="U293" r:id="rId298"/>
    <hyperlink xmlns:r="http://schemas.openxmlformats.org/officeDocument/2006/relationships" ref="U294" r:id="rId299"/>
    <hyperlink xmlns:r="http://schemas.openxmlformats.org/officeDocument/2006/relationships" ref="U295" r:id="rId300"/>
    <hyperlink xmlns:r="http://schemas.openxmlformats.org/officeDocument/2006/relationships" ref="U296" r:id="rId301"/>
    <hyperlink xmlns:r="http://schemas.openxmlformats.org/officeDocument/2006/relationships" ref="U297" r:id="rId302"/>
    <hyperlink xmlns:r="http://schemas.openxmlformats.org/officeDocument/2006/relationships" ref="U298" r:id="rId303"/>
    <hyperlink xmlns:r="http://schemas.openxmlformats.org/officeDocument/2006/relationships" ref="U299" r:id="rId304"/>
    <hyperlink xmlns:r="http://schemas.openxmlformats.org/officeDocument/2006/relationships" ref="V299" r:id="rId305"/>
    <hyperlink xmlns:r="http://schemas.openxmlformats.org/officeDocument/2006/relationships" ref="U300" r:id="rId306"/>
    <hyperlink xmlns:r="http://schemas.openxmlformats.org/officeDocument/2006/relationships" ref="U301" r:id="rId307"/>
    <hyperlink xmlns:r="http://schemas.openxmlformats.org/officeDocument/2006/relationships" ref="U302" r:id="rId308"/>
    <hyperlink xmlns:r="http://schemas.openxmlformats.org/officeDocument/2006/relationships" ref="U303" r:id="rId309"/>
    <hyperlink xmlns:r="http://schemas.openxmlformats.org/officeDocument/2006/relationships" ref="U304" r:id="rId310"/>
    <hyperlink xmlns:r="http://schemas.openxmlformats.org/officeDocument/2006/relationships" ref="U305" r:id="rId311"/>
    <hyperlink xmlns:r="http://schemas.openxmlformats.org/officeDocument/2006/relationships" ref="U306" r:id="rId312"/>
    <hyperlink xmlns:r="http://schemas.openxmlformats.org/officeDocument/2006/relationships" ref="U307" r:id="rId313"/>
    <hyperlink xmlns:r="http://schemas.openxmlformats.org/officeDocument/2006/relationships" ref="U308" r:id="rId314"/>
    <hyperlink xmlns:r="http://schemas.openxmlformats.org/officeDocument/2006/relationships" ref="U309" r:id="rId315"/>
    <hyperlink xmlns:r="http://schemas.openxmlformats.org/officeDocument/2006/relationships" ref="U310" r:id="rId316"/>
    <hyperlink xmlns:r="http://schemas.openxmlformats.org/officeDocument/2006/relationships" ref="U311" r:id="rId317"/>
    <hyperlink xmlns:r="http://schemas.openxmlformats.org/officeDocument/2006/relationships" ref="U312" r:id="rId318"/>
    <hyperlink xmlns:r="http://schemas.openxmlformats.org/officeDocument/2006/relationships" ref="U313" r:id="rId319"/>
    <hyperlink xmlns:r="http://schemas.openxmlformats.org/officeDocument/2006/relationships" ref="U314" r:id="rId320"/>
    <hyperlink xmlns:r="http://schemas.openxmlformats.org/officeDocument/2006/relationships" ref="U315" r:id="rId321"/>
    <hyperlink xmlns:r="http://schemas.openxmlformats.org/officeDocument/2006/relationships" ref="U316" r:id="rId322"/>
    <hyperlink xmlns:r="http://schemas.openxmlformats.org/officeDocument/2006/relationships" ref="U317" r:id="rId323"/>
    <hyperlink xmlns:r="http://schemas.openxmlformats.org/officeDocument/2006/relationships" ref="U318" r:id="rId324"/>
    <hyperlink xmlns:r="http://schemas.openxmlformats.org/officeDocument/2006/relationships" ref="U319" r:id="rId325"/>
    <hyperlink xmlns:r="http://schemas.openxmlformats.org/officeDocument/2006/relationships" ref="U320" r:id="rId326"/>
    <hyperlink xmlns:r="http://schemas.openxmlformats.org/officeDocument/2006/relationships" ref="U321" r:id="rId327"/>
    <hyperlink xmlns:r="http://schemas.openxmlformats.org/officeDocument/2006/relationships" ref="U322" r:id="rId328"/>
    <hyperlink xmlns:r="http://schemas.openxmlformats.org/officeDocument/2006/relationships" ref="U323" r:id="rId329"/>
    <hyperlink xmlns:r="http://schemas.openxmlformats.org/officeDocument/2006/relationships" ref="U324" r:id="rId330"/>
    <hyperlink xmlns:r="http://schemas.openxmlformats.org/officeDocument/2006/relationships" ref="U325" r:id="rId331"/>
    <hyperlink xmlns:r="http://schemas.openxmlformats.org/officeDocument/2006/relationships" ref="U326" r:id="rId332"/>
    <hyperlink xmlns:r="http://schemas.openxmlformats.org/officeDocument/2006/relationships" ref="U327" r:id="rId333"/>
    <hyperlink xmlns:r="http://schemas.openxmlformats.org/officeDocument/2006/relationships" ref="U328" r:id="rId334"/>
    <hyperlink xmlns:r="http://schemas.openxmlformats.org/officeDocument/2006/relationships" ref="U329" r:id="rId335"/>
    <hyperlink xmlns:r="http://schemas.openxmlformats.org/officeDocument/2006/relationships" ref="U330" r:id="rId336"/>
    <hyperlink xmlns:r="http://schemas.openxmlformats.org/officeDocument/2006/relationships" ref="U331" r:id="rId337"/>
    <hyperlink xmlns:r="http://schemas.openxmlformats.org/officeDocument/2006/relationships" ref="U332" r:id="rId338"/>
    <hyperlink xmlns:r="http://schemas.openxmlformats.org/officeDocument/2006/relationships" ref="U333" r:id="rId339"/>
    <hyperlink xmlns:r="http://schemas.openxmlformats.org/officeDocument/2006/relationships" ref="U334" r:id="rId340"/>
    <hyperlink xmlns:r="http://schemas.openxmlformats.org/officeDocument/2006/relationships" ref="U335" r:id="rId341"/>
    <hyperlink xmlns:r="http://schemas.openxmlformats.org/officeDocument/2006/relationships" ref="U336" r:id="rId342"/>
    <hyperlink xmlns:r="http://schemas.openxmlformats.org/officeDocument/2006/relationships" ref="U337" r:id="rId343"/>
    <hyperlink xmlns:r="http://schemas.openxmlformats.org/officeDocument/2006/relationships" ref="U338" r:id="rId344"/>
    <hyperlink xmlns:r="http://schemas.openxmlformats.org/officeDocument/2006/relationships" ref="U339" r:id="rId345"/>
    <hyperlink xmlns:r="http://schemas.openxmlformats.org/officeDocument/2006/relationships" ref="U340" r:id="rId346"/>
    <hyperlink xmlns:r="http://schemas.openxmlformats.org/officeDocument/2006/relationships" ref="U341" r:id="rId347"/>
    <hyperlink xmlns:r="http://schemas.openxmlformats.org/officeDocument/2006/relationships" ref="U342" r:id="rId348"/>
    <hyperlink xmlns:r="http://schemas.openxmlformats.org/officeDocument/2006/relationships" ref="U343" r:id="rId349"/>
    <hyperlink xmlns:r="http://schemas.openxmlformats.org/officeDocument/2006/relationships" ref="U344" r:id="rId350"/>
    <hyperlink xmlns:r="http://schemas.openxmlformats.org/officeDocument/2006/relationships" ref="U345" r:id="rId351"/>
    <hyperlink xmlns:r="http://schemas.openxmlformats.org/officeDocument/2006/relationships" ref="U346" r:id="rId352"/>
    <hyperlink xmlns:r="http://schemas.openxmlformats.org/officeDocument/2006/relationships" ref="U347" r:id="rId353"/>
    <hyperlink xmlns:r="http://schemas.openxmlformats.org/officeDocument/2006/relationships" ref="U348" r:id="rId354"/>
    <hyperlink xmlns:r="http://schemas.openxmlformats.org/officeDocument/2006/relationships" ref="U349" r:id="rId355"/>
    <hyperlink xmlns:r="http://schemas.openxmlformats.org/officeDocument/2006/relationships" ref="U350" r:id="rId356"/>
    <hyperlink xmlns:r="http://schemas.openxmlformats.org/officeDocument/2006/relationships" ref="U351" r:id="rId357"/>
    <hyperlink xmlns:r="http://schemas.openxmlformats.org/officeDocument/2006/relationships" ref="U352" r:id="rId358"/>
    <hyperlink xmlns:r="http://schemas.openxmlformats.org/officeDocument/2006/relationships" ref="U353" r:id="rId359"/>
    <hyperlink xmlns:r="http://schemas.openxmlformats.org/officeDocument/2006/relationships" ref="U354" r:id="rId360"/>
    <hyperlink xmlns:r="http://schemas.openxmlformats.org/officeDocument/2006/relationships" ref="U355" r:id="rId361"/>
    <hyperlink xmlns:r="http://schemas.openxmlformats.org/officeDocument/2006/relationships" ref="U356" r:id="rId362"/>
    <hyperlink xmlns:r="http://schemas.openxmlformats.org/officeDocument/2006/relationships" ref="U357" r:id="rId363"/>
    <hyperlink xmlns:r="http://schemas.openxmlformats.org/officeDocument/2006/relationships" ref="U358" r:id="rId364"/>
    <hyperlink xmlns:r="http://schemas.openxmlformats.org/officeDocument/2006/relationships" ref="U359" r:id="rId365"/>
    <hyperlink xmlns:r="http://schemas.openxmlformats.org/officeDocument/2006/relationships" ref="U360" r:id="rId366"/>
    <hyperlink xmlns:r="http://schemas.openxmlformats.org/officeDocument/2006/relationships" ref="U361" r:id="rId367"/>
    <hyperlink xmlns:r="http://schemas.openxmlformats.org/officeDocument/2006/relationships" ref="V361" r:id="rId368"/>
    <hyperlink xmlns:r="http://schemas.openxmlformats.org/officeDocument/2006/relationships" ref="U362" r:id="rId369"/>
    <hyperlink xmlns:r="http://schemas.openxmlformats.org/officeDocument/2006/relationships" ref="U363" r:id="rId370"/>
    <hyperlink xmlns:r="http://schemas.openxmlformats.org/officeDocument/2006/relationships" ref="U364" r:id="rId371"/>
    <hyperlink xmlns:r="http://schemas.openxmlformats.org/officeDocument/2006/relationships" ref="U365" r:id="rId372"/>
    <hyperlink xmlns:r="http://schemas.openxmlformats.org/officeDocument/2006/relationships" ref="U366" r:id="rId373"/>
    <hyperlink xmlns:r="http://schemas.openxmlformats.org/officeDocument/2006/relationships" ref="U367" r:id="rId374"/>
    <hyperlink xmlns:r="http://schemas.openxmlformats.org/officeDocument/2006/relationships" ref="U368" r:id="rId375"/>
    <hyperlink xmlns:r="http://schemas.openxmlformats.org/officeDocument/2006/relationships" ref="U369" r:id="rId376"/>
    <hyperlink xmlns:r="http://schemas.openxmlformats.org/officeDocument/2006/relationships" ref="U370" r:id="rId377"/>
    <hyperlink xmlns:r="http://schemas.openxmlformats.org/officeDocument/2006/relationships" ref="U371" r:id="rId378"/>
    <hyperlink xmlns:r="http://schemas.openxmlformats.org/officeDocument/2006/relationships" ref="U372" r:id="rId379"/>
    <hyperlink xmlns:r="http://schemas.openxmlformats.org/officeDocument/2006/relationships" ref="U373" r:id="rId380"/>
    <hyperlink xmlns:r="http://schemas.openxmlformats.org/officeDocument/2006/relationships" ref="U374" r:id="rId381"/>
    <hyperlink xmlns:r="http://schemas.openxmlformats.org/officeDocument/2006/relationships" ref="U375" r:id="rId382"/>
    <hyperlink xmlns:r="http://schemas.openxmlformats.org/officeDocument/2006/relationships" ref="U376" r:id="rId383"/>
    <hyperlink xmlns:r="http://schemas.openxmlformats.org/officeDocument/2006/relationships" ref="U377" r:id="rId384"/>
    <hyperlink xmlns:r="http://schemas.openxmlformats.org/officeDocument/2006/relationships" ref="U378" r:id="rId385"/>
    <hyperlink xmlns:r="http://schemas.openxmlformats.org/officeDocument/2006/relationships" ref="U379" r:id="rId386"/>
    <hyperlink xmlns:r="http://schemas.openxmlformats.org/officeDocument/2006/relationships" ref="U380" r:id="rId387"/>
    <hyperlink xmlns:r="http://schemas.openxmlformats.org/officeDocument/2006/relationships" ref="U381" r:id="rId388"/>
    <hyperlink xmlns:r="http://schemas.openxmlformats.org/officeDocument/2006/relationships" ref="U382" r:id="rId389"/>
    <hyperlink xmlns:r="http://schemas.openxmlformats.org/officeDocument/2006/relationships" ref="U383" r:id="rId390"/>
    <hyperlink xmlns:r="http://schemas.openxmlformats.org/officeDocument/2006/relationships" ref="U384" r:id="rId391"/>
    <hyperlink xmlns:r="http://schemas.openxmlformats.org/officeDocument/2006/relationships" ref="U385" r:id="rId392"/>
    <hyperlink xmlns:r="http://schemas.openxmlformats.org/officeDocument/2006/relationships" ref="U386" r:id="rId393"/>
    <hyperlink xmlns:r="http://schemas.openxmlformats.org/officeDocument/2006/relationships" ref="U387" r:id="rId394"/>
    <hyperlink xmlns:r="http://schemas.openxmlformats.org/officeDocument/2006/relationships" ref="U388" r:id="rId395"/>
    <hyperlink xmlns:r="http://schemas.openxmlformats.org/officeDocument/2006/relationships" ref="U389" r:id="rId396"/>
    <hyperlink xmlns:r="http://schemas.openxmlformats.org/officeDocument/2006/relationships" ref="U390" r:id="rId397"/>
    <hyperlink xmlns:r="http://schemas.openxmlformats.org/officeDocument/2006/relationships" ref="U391" r:id="rId398"/>
    <hyperlink xmlns:r="http://schemas.openxmlformats.org/officeDocument/2006/relationships" ref="U392" r:id="rId399"/>
    <hyperlink xmlns:r="http://schemas.openxmlformats.org/officeDocument/2006/relationships" ref="U393" r:id="rId400"/>
    <hyperlink xmlns:r="http://schemas.openxmlformats.org/officeDocument/2006/relationships" ref="U394" r:id="rId401"/>
    <hyperlink xmlns:r="http://schemas.openxmlformats.org/officeDocument/2006/relationships" ref="U395" r:id="rId402"/>
    <hyperlink xmlns:r="http://schemas.openxmlformats.org/officeDocument/2006/relationships" ref="U396" r:id="rId403"/>
    <hyperlink xmlns:r="http://schemas.openxmlformats.org/officeDocument/2006/relationships" ref="U397" r:id="rId404"/>
    <hyperlink xmlns:r="http://schemas.openxmlformats.org/officeDocument/2006/relationships" ref="U398" r:id="rId405"/>
    <hyperlink xmlns:r="http://schemas.openxmlformats.org/officeDocument/2006/relationships" ref="U399" r:id="rId406"/>
    <hyperlink xmlns:r="http://schemas.openxmlformats.org/officeDocument/2006/relationships" ref="U400" r:id="rId407"/>
    <hyperlink xmlns:r="http://schemas.openxmlformats.org/officeDocument/2006/relationships" ref="U401" r:id="rId408"/>
    <hyperlink xmlns:r="http://schemas.openxmlformats.org/officeDocument/2006/relationships" ref="U402" r:id="rId409"/>
    <hyperlink xmlns:r="http://schemas.openxmlformats.org/officeDocument/2006/relationships" ref="U403" r:id="rId410"/>
    <hyperlink xmlns:r="http://schemas.openxmlformats.org/officeDocument/2006/relationships" ref="U404" r:id="rId411"/>
    <hyperlink xmlns:r="http://schemas.openxmlformats.org/officeDocument/2006/relationships" ref="U405" r:id="rId412"/>
    <hyperlink xmlns:r="http://schemas.openxmlformats.org/officeDocument/2006/relationships" ref="U406" r:id="rId413"/>
    <hyperlink xmlns:r="http://schemas.openxmlformats.org/officeDocument/2006/relationships" ref="U407" r:id="rId414"/>
    <hyperlink xmlns:r="http://schemas.openxmlformats.org/officeDocument/2006/relationships" ref="U408" r:id="rId415"/>
    <hyperlink xmlns:r="http://schemas.openxmlformats.org/officeDocument/2006/relationships" ref="U409" r:id="rId416"/>
    <hyperlink xmlns:r="http://schemas.openxmlformats.org/officeDocument/2006/relationships" ref="U410" r:id="rId417"/>
    <hyperlink xmlns:r="http://schemas.openxmlformats.org/officeDocument/2006/relationships" ref="U411" r:id="rId418"/>
    <hyperlink xmlns:r="http://schemas.openxmlformats.org/officeDocument/2006/relationships" ref="U412" r:id="rId419"/>
    <hyperlink xmlns:r="http://schemas.openxmlformats.org/officeDocument/2006/relationships" ref="U413" r:id="rId420"/>
    <hyperlink xmlns:r="http://schemas.openxmlformats.org/officeDocument/2006/relationships" ref="U414" r:id="rId421"/>
    <hyperlink xmlns:r="http://schemas.openxmlformats.org/officeDocument/2006/relationships" ref="U415" r:id="rId422"/>
    <hyperlink xmlns:r="http://schemas.openxmlformats.org/officeDocument/2006/relationships" ref="U416" r:id="rId423"/>
    <hyperlink xmlns:r="http://schemas.openxmlformats.org/officeDocument/2006/relationships" ref="U417" r:id="rId424"/>
    <hyperlink xmlns:r="http://schemas.openxmlformats.org/officeDocument/2006/relationships" ref="U418" r:id="rId425"/>
    <hyperlink xmlns:r="http://schemas.openxmlformats.org/officeDocument/2006/relationships" ref="U419" r:id="rId426"/>
    <hyperlink xmlns:r="http://schemas.openxmlformats.org/officeDocument/2006/relationships" ref="U420" r:id="rId427"/>
    <hyperlink xmlns:r="http://schemas.openxmlformats.org/officeDocument/2006/relationships" ref="V420" r:id="rId428"/>
    <hyperlink xmlns:r="http://schemas.openxmlformats.org/officeDocument/2006/relationships" ref="U421" r:id="rId429"/>
    <hyperlink xmlns:r="http://schemas.openxmlformats.org/officeDocument/2006/relationships" ref="U422" r:id="rId430"/>
    <hyperlink xmlns:r="http://schemas.openxmlformats.org/officeDocument/2006/relationships" ref="U423" r:id="rId431"/>
    <hyperlink xmlns:r="http://schemas.openxmlformats.org/officeDocument/2006/relationships" ref="U424" r:id="rId432"/>
    <hyperlink xmlns:r="http://schemas.openxmlformats.org/officeDocument/2006/relationships" ref="U425" r:id="rId433"/>
    <hyperlink xmlns:r="http://schemas.openxmlformats.org/officeDocument/2006/relationships" ref="U426" r:id="rId434"/>
    <hyperlink xmlns:r="http://schemas.openxmlformats.org/officeDocument/2006/relationships" ref="U427" r:id="rId435"/>
    <hyperlink xmlns:r="http://schemas.openxmlformats.org/officeDocument/2006/relationships" ref="V427" r:id="rId436"/>
    <hyperlink xmlns:r="http://schemas.openxmlformats.org/officeDocument/2006/relationships" ref="U428" r:id="rId437"/>
    <hyperlink xmlns:r="http://schemas.openxmlformats.org/officeDocument/2006/relationships" ref="U429" r:id="rId438"/>
    <hyperlink xmlns:r="http://schemas.openxmlformats.org/officeDocument/2006/relationships" ref="U430" r:id="rId439"/>
    <hyperlink xmlns:r="http://schemas.openxmlformats.org/officeDocument/2006/relationships" ref="U431" r:id="rId440"/>
    <hyperlink xmlns:r="http://schemas.openxmlformats.org/officeDocument/2006/relationships" ref="U432" r:id="rId441"/>
    <hyperlink xmlns:r="http://schemas.openxmlformats.org/officeDocument/2006/relationships" ref="U433" r:id="rId442"/>
    <hyperlink xmlns:r="http://schemas.openxmlformats.org/officeDocument/2006/relationships" ref="U434" r:id="rId443"/>
    <hyperlink xmlns:r="http://schemas.openxmlformats.org/officeDocument/2006/relationships" ref="U435" r:id="rId444"/>
    <hyperlink xmlns:r="http://schemas.openxmlformats.org/officeDocument/2006/relationships" ref="U436" r:id="rId445"/>
    <hyperlink xmlns:r="http://schemas.openxmlformats.org/officeDocument/2006/relationships" ref="U437" r:id="rId446"/>
    <hyperlink xmlns:r="http://schemas.openxmlformats.org/officeDocument/2006/relationships" ref="U438" r:id="rId447"/>
    <hyperlink xmlns:r="http://schemas.openxmlformats.org/officeDocument/2006/relationships" ref="U439" r:id="rId448"/>
    <hyperlink xmlns:r="http://schemas.openxmlformats.org/officeDocument/2006/relationships" ref="U440" r:id="rId449"/>
    <hyperlink xmlns:r="http://schemas.openxmlformats.org/officeDocument/2006/relationships" ref="U441" r:id="rId450"/>
    <hyperlink xmlns:r="http://schemas.openxmlformats.org/officeDocument/2006/relationships" ref="U442" r:id="rId451"/>
    <hyperlink xmlns:r="http://schemas.openxmlformats.org/officeDocument/2006/relationships" ref="V442" r:id="rId452"/>
    <hyperlink xmlns:r="http://schemas.openxmlformats.org/officeDocument/2006/relationships" ref="U443" r:id="rId453"/>
    <hyperlink xmlns:r="http://schemas.openxmlformats.org/officeDocument/2006/relationships" ref="U444" r:id="rId454"/>
    <hyperlink xmlns:r="http://schemas.openxmlformats.org/officeDocument/2006/relationships" ref="V444" r:id="rId455"/>
    <hyperlink xmlns:r="http://schemas.openxmlformats.org/officeDocument/2006/relationships" ref="U445" r:id="rId456"/>
    <hyperlink xmlns:r="http://schemas.openxmlformats.org/officeDocument/2006/relationships" ref="U446" r:id="rId457"/>
    <hyperlink xmlns:r="http://schemas.openxmlformats.org/officeDocument/2006/relationships" ref="U447" r:id="rId458"/>
    <hyperlink xmlns:r="http://schemas.openxmlformats.org/officeDocument/2006/relationships" ref="U448" r:id="rId459"/>
    <hyperlink xmlns:r="http://schemas.openxmlformats.org/officeDocument/2006/relationships" ref="U449" r:id="rId460"/>
    <hyperlink xmlns:r="http://schemas.openxmlformats.org/officeDocument/2006/relationships" ref="U450" r:id="rId461"/>
    <hyperlink xmlns:r="http://schemas.openxmlformats.org/officeDocument/2006/relationships" ref="U451" r:id="rId462"/>
    <hyperlink xmlns:r="http://schemas.openxmlformats.org/officeDocument/2006/relationships" ref="U452" r:id="rId463"/>
    <hyperlink xmlns:r="http://schemas.openxmlformats.org/officeDocument/2006/relationships" ref="U453" r:id="rId464"/>
    <hyperlink xmlns:r="http://schemas.openxmlformats.org/officeDocument/2006/relationships" ref="U454" r:id="rId465"/>
    <hyperlink xmlns:r="http://schemas.openxmlformats.org/officeDocument/2006/relationships" ref="U455" r:id="rId466"/>
    <hyperlink xmlns:r="http://schemas.openxmlformats.org/officeDocument/2006/relationships" ref="U456" r:id="rId467"/>
    <hyperlink xmlns:r="http://schemas.openxmlformats.org/officeDocument/2006/relationships" ref="U457" r:id="rId468"/>
    <hyperlink xmlns:r="http://schemas.openxmlformats.org/officeDocument/2006/relationships" ref="U458" r:id="rId469"/>
    <hyperlink xmlns:r="http://schemas.openxmlformats.org/officeDocument/2006/relationships" ref="U459" r:id="rId470"/>
    <hyperlink xmlns:r="http://schemas.openxmlformats.org/officeDocument/2006/relationships" ref="U460" r:id="rId471"/>
    <hyperlink xmlns:r="http://schemas.openxmlformats.org/officeDocument/2006/relationships" ref="U461" r:id="rId472"/>
    <hyperlink xmlns:r="http://schemas.openxmlformats.org/officeDocument/2006/relationships" ref="U462" r:id="rId473"/>
    <hyperlink xmlns:r="http://schemas.openxmlformats.org/officeDocument/2006/relationships" ref="U463" r:id="rId474"/>
    <hyperlink xmlns:r="http://schemas.openxmlformats.org/officeDocument/2006/relationships" ref="U464" r:id="rId475"/>
    <hyperlink xmlns:r="http://schemas.openxmlformats.org/officeDocument/2006/relationships" ref="U465" r:id="rId476"/>
    <hyperlink xmlns:r="http://schemas.openxmlformats.org/officeDocument/2006/relationships" ref="U466" r:id="rId477"/>
    <hyperlink xmlns:r="http://schemas.openxmlformats.org/officeDocument/2006/relationships" ref="U467" r:id="rId478"/>
    <hyperlink xmlns:r="http://schemas.openxmlformats.org/officeDocument/2006/relationships" ref="U468" r:id="rId479"/>
    <hyperlink xmlns:r="http://schemas.openxmlformats.org/officeDocument/2006/relationships" ref="U469" r:id="rId480"/>
    <hyperlink xmlns:r="http://schemas.openxmlformats.org/officeDocument/2006/relationships" ref="U470" r:id="rId481"/>
    <hyperlink xmlns:r="http://schemas.openxmlformats.org/officeDocument/2006/relationships" ref="U471" r:id="rId482"/>
    <hyperlink xmlns:r="http://schemas.openxmlformats.org/officeDocument/2006/relationships" ref="U472" r:id="rId483"/>
    <hyperlink xmlns:r="http://schemas.openxmlformats.org/officeDocument/2006/relationships" ref="U473" r:id="rId484"/>
    <hyperlink xmlns:r="http://schemas.openxmlformats.org/officeDocument/2006/relationships" ref="U474" r:id="rId485"/>
    <hyperlink xmlns:r="http://schemas.openxmlformats.org/officeDocument/2006/relationships" ref="U475" r:id="rId486"/>
    <hyperlink xmlns:r="http://schemas.openxmlformats.org/officeDocument/2006/relationships" ref="U476" r:id="rId487"/>
    <hyperlink xmlns:r="http://schemas.openxmlformats.org/officeDocument/2006/relationships" ref="U477" r:id="rId488"/>
    <hyperlink xmlns:r="http://schemas.openxmlformats.org/officeDocument/2006/relationships" ref="U478" r:id="rId489"/>
    <hyperlink xmlns:r="http://schemas.openxmlformats.org/officeDocument/2006/relationships" ref="U479" r:id="rId490"/>
    <hyperlink xmlns:r="http://schemas.openxmlformats.org/officeDocument/2006/relationships" ref="U480" r:id="rId491"/>
    <hyperlink xmlns:r="http://schemas.openxmlformats.org/officeDocument/2006/relationships" ref="U481" r:id="rId492"/>
    <hyperlink xmlns:r="http://schemas.openxmlformats.org/officeDocument/2006/relationships" ref="U482" r:id="rId493"/>
    <hyperlink xmlns:r="http://schemas.openxmlformats.org/officeDocument/2006/relationships" ref="V482" r:id="rId494"/>
    <hyperlink xmlns:r="http://schemas.openxmlformats.org/officeDocument/2006/relationships" ref="U483" r:id="rId495"/>
    <hyperlink xmlns:r="http://schemas.openxmlformats.org/officeDocument/2006/relationships" ref="U484" r:id="rId496"/>
    <hyperlink xmlns:r="http://schemas.openxmlformats.org/officeDocument/2006/relationships" ref="U485" r:id="rId497"/>
    <hyperlink xmlns:r="http://schemas.openxmlformats.org/officeDocument/2006/relationships" ref="U486" r:id="rId498"/>
    <hyperlink xmlns:r="http://schemas.openxmlformats.org/officeDocument/2006/relationships" ref="U487" r:id="rId499"/>
    <hyperlink xmlns:r="http://schemas.openxmlformats.org/officeDocument/2006/relationships" ref="U488" r:id="rId500"/>
    <hyperlink xmlns:r="http://schemas.openxmlformats.org/officeDocument/2006/relationships" ref="U489" r:id="rId501"/>
    <hyperlink xmlns:r="http://schemas.openxmlformats.org/officeDocument/2006/relationships" ref="U490" r:id="rId502"/>
    <hyperlink xmlns:r="http://schemas.openxmlformats.org/officeDocument/2006/relationships" ref="U491" r:id="rId503"/>
    <hyperlink xmlns:r="http://schemas.openxmlformats.org/officeDocument/2006/relationships" ref="V491" r:id="rId504"/>
    <hyperlink xmlns:r="http://schemas.openxmlformats.org/officeDocument/2006/relationships" ref="U492" r:id="rId505"/>
    <hyperlink xmlns:r="http://schemas.openxmlformats.org/officeDocument/2006/relationships" ref="U493" r:id="rId506"/>
    <hyperlink xmlns:r="http://schemas.openxmlformats.org/officeDocument/2006/relationships" ref="U494" r:id="rId507"/>
    <hyperlink xmlns:r="http://schemas.openxmlformats.org/officeDocument/2006/relationships" ref="U495" r:id="rId508"/>
    <hyperlink xmlns:r="http://schemas.openxmlformats.org/officeDocument/2006/relationships" ref="U496" r:id="rId509"/>
    <hyperlink xmlns:r="http://schemas.openxmlformats.org/officeDocument/2006/relationships" ref="U497" r:id="rId510"/>
    <hyperlink xmlns:r="http://schemas.openxmlformats.org/officeDocument/2006/relationships" ref="U498" r:id="rId511"/>
    <hyperlink xmlns:r="http://schemas.openxmlformats.org/officeDocument/2006/relationships" ref="U499" r:id="rId512"/>
    <hyperlink xmlns:r="http://schemas.openxmlformats.org/officeDocument/2006/relationships" ref="U500" r:id="rId513"/>
    <hyperlink xmlns:r="http://schemas.openxmlformats.org/officeDocument/2006/relationships" ref="U501" r:id="rId514"/>
    <hyperlink xmlns:r="http://schemas.openxmlformats.org/officeDocument/2006/relationships" ref="U502" r:id="rId515"/>
    <hyperlink xmlns:r="http://schemas.openxmlformats.org/officeDocument/2006/relationships" ref="U503" r:id="rId516"/>
    <hyperlink xmlns:r="http://schemas.openxmlformats.org/officeDocument/2006/relationships" ref="U504" r:id="rId517"/>
    <hyperlink xmlns:r="http://schemas.openxmlformats.org/officeDocument/2006/relationships" ref="U505" r:id="rId518"/>
    <hyperlink xmlns:r="http://schemas.openxmlformats.org/officeDocument/2006/relationships" ref="U506" r:id="rId519"/>
    <hyperlink xmlns:r="http://schemas.openxmlformats.org/officeDocument/2006/relationships" ref="U507" r:id="rId520"/>
    <hyperlink xmlns:r="http://schemas.openxmlformats.org/officeDocument/2006/relationships" ref="U508" r:id="rId521"/>
    <hyperlink xmlns:r="http://schemas.openxmlformats.org/officeDocument/2006/relationships" ref="U509" r:id="rId522"/>
    <hyperlink xmlns:r="http://schemas.openxmlformats.org/officeDocument/2006/relationships" ref="U510" r:id="rId523"/>
    <hyperlink xmlns:r="http://schemas.openxmlformats.org/officeDocument/2006/relationships" ref="U511" r:id="rId524"/>
    <hyperlink xmlns:r="http://schemas.openxmlformats.org/officeDocument/2006/relationships" ref="U512" r:id="rId525"/>
    <hyperlink xmlns:r="http://schemas.openxmlformats.org/officeDocument/2006/relationships" ref="U513" r:id="rId526"/>
    <hyperlink xmlns:r="http://schemas.openxmlformats.org/officeDocument/2006/relationships" ref="U514" r:id="rId527"/>
    <hyperlink xmlns:r="http://schemas.openxmlformats.org/officeDocument/2006/relationships" ref="U515" r:id="rId528"/>
    <hyperlink xmlns:r="http://schemas.openxmlformats.org/officeDocument/2006/relationships" ref="U516" r:id="rId529"/>
    <hyperlink xmlns:r="http://schemas.openxmlformats.org/officeDocument/2006/relationships" ref="U517" r:id="rId530"/>
    <hyperlink xmlns:r="http://schemas.openxmlformats.org/officeDocument/2006/relationships" ref="U518" r:id="rId531"/>
    <hyperlink xmlns:r="http://schemas.openxmlformats.org/officeDocument/2006/relationships" ref="U519" r:id="rId532"/>
    <hyperlink xmlns:r="http://schemas.openxmlformats.org/officeDocument/2006/relationships" ref="U520" r:id="rId533"/>
    <hyperlink xmlns:r="http://schemas.openxmlformats.org/officeDocument/2006/relationships" ref="U521" r:id="rId534"/>
    <hyperlink xmlns:r="http://schemas.openxmlformats.org/officeDocument/2006/relationships" ref="U522" r:id="rId535"/>
    <hyperlink xmlns:r="http://schemas.openxmlformats.org/officeDocument/2006/relationships" ref="V522" r:id="rId536"/>
    <hyperlink xmlns:r="http://schemas.openxmlformats.org/officeDocument/2006/relationships" ref="U523" r:id="rId537"/>
    <hyperlink xmlns:r="http://schemas.openxmlformats.org/officeDocument/2006/relationships" ref="U524" r:id="rId538"/>
    <hyperlink xmlns:r="http://schemas.openxmlformats.org/officeDocument/2006/relationships" ref="U525" r:id="rId539"/>
    <hyperlink xmlns:r="http://schemas.openxmlformats.org/officeDocument/2006/relationships" ref="U526" r:id="rId540"/>
    <hyperlink xmlns:r="http://schemas.openxmlformats.org/officeDocument/2006/relationships" ref="U527" r:id="rId541"/>
    <hyperlink xmlns:r="http://schemas.openxmlformats.org/officeDocument/2006/relationships" ref="U528" r:id="rId542"/>
    <hyperlink xmlns:r="http://schemas.openxmlformats.org/officeDocument/2006/relationships" ref="U529" r:id="rId543"/>
    <hyperlink xmlns:r="http://schemas.openxmlformats.org/officeDocument/2006/relationships" ref="U530" r:id="rId544"/>
    <hyperlink xmlns:r="http://schemas.openxmlformats.org/officeDocument/2006/relationships" ref="U531" r:id="rId545"/>
    <hyperlink xmlns:r="http://schemas.openxmlformats.org/officeDocument/2006/relationships" ref="U532" r:id="rId546"/>
    <hyperlink xmlns:r="http://schemas.openxmlformats.org/officeDocument/2006/relationships" ref="U533" r:id="rId547"/>
    <hyperlink xmlns:r="http://schemas.openxmlformats.org/officeDocument/2006/relationships" ref="U534" r:id="rId548"/>
    <hyperlink xmlns:r="http://schemas.openxmlformats.org/officeDocument/2006/relationships" ref="U535" r:id="rId549"/>
    <hyperlink xmlns:r="http://schemas.openxmlformats.org/officeDocument/2006/relationships" ref="U536" r:id="rId550"/>
    <hyperlink xmlns:r="http://schemas.openxmlformats.org/officeDocument/2006/relationships" ref="U537" r:id="rId551"/>
    <hyperlink xmlns:r="http://schemas.openxmlformats.org/officeDocument/2006/relationships" ref="U538" r:id="rId552"/>
    <hyperlink xmlns:r="http://schemas.openxmlformats.org/officeDocument/2006/relationships" ref="U539" r:id="rId553"/>
    <hyperlink xmlns:r="http://schemas.openxmlformats.org/officeDocument/2006/relationships" ref="U540" r:id="rId554"/>
    <hyperlink xmlns:r="http://schemas.openxmlformats.org/officeDocument/2006/relationships" ref="U541" r:id="rId555"/>
    <hyperlink xmlns:r="http://schemas.openxmlformats.org/officeDocument/2006/relationships" ref="U542" r:id="rId556"/>
    <hyperlink xmlns:r="http://schemas.openxmlformats.org/officeDocument/2006/relationships" ref="U543" r:id="rId557"/>
    <hyperlink xmlns:r="http://schemas.openxmlformats.org/officeDocument/2006/relationships" ref="U544" r:id="rId558"/>
    <hyperlink xmlns:r="http://schemas.openxmlformats.org/officeDocument/2006/relationships" ref="U545" r:id="rId559"/>
    <hyperlink xmlns:r="http://schemas.openxmlformats.org/officeDocument/2006/relationships" ref="U546" r:id="rId560"/>
    <hyperlink xmlns:r="http://schemas.openxmlformats.org/officeDocument/2006/relationships" ref="U547" r:id="rId561"/>
    <hyperlink xmlns:r="http://schemas.openxmlformats.org/officeDocument/2006/relationships" ref="U548" r:id="rId562"/>
    <hyperlink xmlns:r="http://schemas.openxmlformats.org/officeDocument/2006/relationships" ref="U549" r:id="rId563"/>
    <hyperlink xmlns:r="http://schemas.openxmlformats.org/officeDocument/2006/relationships" ref="U550" r:id="rId564"/>
    <hyperlink xmlns:r="http://schemas.openxmlformats.org/officeDocument/2006/relationships" ref="U551" r:id="rId565"/>
    <hyperlink xmlns:r="http://schemas.openxmlformats.org/officeDocument/2006/relationships" ref="U552" r:id="rId566"/>
    <hyperlink xmlns:r="http://schemas.openxmlformats.org/officeDocument/2006/relationships" ref="U553" r:id="rId567"/>
    <hyperlink xmlns:r="http://schemas.openxmlformats.org/officeDocument/2006/relationships" ref="U554" r:id="rId568"/>
    <hyperlink xmlns:r="http://schemas.openxmlformats.org/officeDocument/2006/relationships" ref="U555" r:id="rId569"/>
    <hyperlink xmlns:r="http://schemas.openxmlformats.org/officeDocument/2006/relationships" ref="U556" r:id="rId570"/>
    <hyperlink xmlns:r="http://schemas.openxmlformats.org/officeDocument/2006/relationships" ref="U557" r:id="rId571"/>
    <hyperlink xmlns:r="http://schemas.openxmlformats.org/officeDocument/2006/relationships" ref="U558" r:id="rId572"/>
    <hyperlink xmlns:r="http://schemas.openxmlformats.org/officeDocument/2006/relationships" ref="U559" r:id="rId573"/>
    <hyperlink xmlns:r="http://schemas.openxmlformats.org/officeDocument/2006/relationships" ref="U560" r:id="rId574"/>
    <hyperlink xmlns:r="http://schemas.openxmlformats.org/officeDocument/2006/relationships" ref="U561" r:id="rId575"/>
    <hyperlink xmlns:r="http://schemas.openxmlformats.org/officeDocument/2006/relationships" ref="U562" r:id="rId576"/>
    <hyperlink xmlns:r="http://schemas.openxmlformats.org/officeDocument/2006/relationships" ref="U563" r:id="rId577"/>
    <hyperlink xmlns:r="http://schemas.openxmlformats.org/officeDocument/2006/relationships" ref="U564" r:id="rId578"/>
    <hyperlink xmlns:r="http://schemas.openxmlformats.org/officeDocument/2006/relationships" ref="U565" r:id="rId579"/>
    <hyperlink xmlns:r="http://schemas.openxmlformats.org/officeDocument/2006/relationships" ref="V565" r:id="rId580"/>
    <hyperlink xmlns:r="http://schemas.openxmlformats.org/officeDocument/2006/relationships" ref="U566" r:id="rId581"/>
    <hyperlink xmlns:r="http://schemas.openxmlformats.org/officeDocument/2006/relationships" ref="U567" r:id="rId582"/>
    <hyperlink xmlns:r="http://schemas.openxmlformats.org/officeDocument/2006/relationships" ref="U568" r:id="rId583"/>
    <hyperlink xmlns:r="http://schemas.openxmlformats.org/officeDocument/2006/relationships" ref="U569" r:id="rId584"/>
    <hyperlink xmlns:r="http://schemas.openxmlformats.org/officeDocument/2006/relationships" ref="U570" r:id="rId585"/>
    <hyperlink xmlns:r="http://schemas.openxmlformats.org/officeDocument/2006/relationships" ref="U571" r:id="rId586"/>
    <hyperlink xmlns:r="http://schemas.openxmlformats.org/officeDocument/2006/relationships" ref="U572" r:id="rId587"/>
    <hyperlink xmlns:r="http://schemas.openxmlformats.org/officeDocument/2006/relationships" ref="U573" r:id="rId588"/>
    <hyperlink xmlns:r="http://schemas.openxmlformats.org/officeDocument/2006/relationships" ref="U574" r:id="rId589"/>
    <hyperlink xmlns:r="http://schemas.openxmlformats.org/officeDocument/2006/relationships" ref="U575" r:id="rId590"/>
    <hyperlink xmlns:r="http://schemas.openxmlformats.org/officeDocument/2006/relationships" ref="U576" r:id="rId591"/>
    <hyperlink xmlns:r="http://schemas.openxmlformats.org/officeDocument/2006/relationships" ref="U577" r:id="rId592"/>
    <hyperlink xmlns:r="http://schemas.openxmlformats.org/officeDocument/2006/relationships" ref="U578" r:id="rId593"/>
    <hyperlink xmlns:r="http://schemas.openxmlformats.org/officeDocument/2006/relationships" ref="U579" r:id="rId594"/>
    <hyperlink xmlns:r="http://schemas.openxmlformats.org/officeDocument/2006/relationships" ref="U580" r:id="rId595"/>
  </hyperlinks>
  <pageMargins left="0.75" right="0.75" top="1" bottom="1" header="0.5" footer="0.5"/>
  <tableParts count="1">
    <tablePart xmlns:r="http://schemas.openxmlformats.org/officeDocument/2006/relationships" r:id="rId596"/>
  </tableParts>
</worksheet>
</file>

<file path=xl/worksheets/sheet3.xml><?xml version="1.0" encoding="utf-8"?>
<worksheet xmlns="http://schemas.openxmlformats.org/spreadsheetml/2006/main">
  <sheetPr>
    <outlinePr summaryBelow="1" summaryRight="1"/>
    <pageSetUpPr/>
  </sheetPr>
  <dimension ref="A1:I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24" customWidth="1" min="3" max="3"/>
    <col width="14" customWidth="1" min="4" max="4"/>
    <col width="11" customWidth="1" min="5" max="5"/>
    <col width="18" customWidth="1" min="6" max="6"/>
    <col width="9" customWidth="1" min="7" max="7"/>
    <col width="42" customWidth="1" min="8" max="8"/>
    <col width="50" customWidth="1" min="9" max="9"/>
  </cols>
  <sheetData>
    <row r="1" ht="30" customHeight="1">
      <c r="A1" s="3" t="inlineStr">
        <is>
          <t>開催日</t>
        </is>
      </c>
      <c r="B1" s="3" t="inlineStr">
        <is>
          <t>セミナー名</t>
        </is>
      </c>
      <c r="C1" s="3" t="inlineStr">
        <is>
          <t>主催者</t>
        </is>
      </c>
      <c r="D1" s="3" t="inlineStr">
        <is>
          <t>掲載プラットフォーム</t>
        </is>
      </c>
      <c r="E1" s="3" t="inlineStr">
        <is>
          <t>形式</t>
        </is>
      </c>
      <c r="F1" s="3" t="inlineStr">
        <is>
          <t>テーマ分類</t>
        </is>
      </c>
      <c r="G1" s="3" t="inlineStr">
        <is>
          <t>集客数</t>
        </is>
      </c>
      <c r="H1" s="3" t="inlineStr">
        <is>
          <t>ソースURL</t>
        </is>
      </c>
      <c r="I1" s="3" t="inlineStr">
        <is>
          <t>概要・抜粋</t>
        </is>
      </c>
    </row>
    <row r="2">
      <c r="A2" s="11" t="n">
        <v>46210</v>
      </c>
      <c r="B2" s="10" t="inlineStr">
        <is>
          <t>TIS INTEC Group BUSINESS SUMMIT 2026</t>
        </is>
      </c>
      <c r="C2" s="10" t="inlineStr">
        <is>
          <t>TISI株式会社</t>
        </is>
      </c>
      <c r="D2" s="10" t="inlineStr">
        <is>
          <t>ビジネス+IT</t>
        </is>
      </c>
      <c r="E2" s="10" t="inlineStr">
        <is>
          <t>online</t>
        </is>
      </c>
      <c r="F2" s="10" t="inlineStr">
        <is>
          <t>営業・マーケ・CS</t>
        </is>
      </c>
      <c r="G2" s="10" t="n"/>
      <c r="H2" s="15" t="inlineStr">
        <is>
          <t>https://www.sbbit.jp/eventinfo/88822</t>
        </is>
      </c>
      <c r="I2" s="10" t="inlineStr">
        <is>
          <t>変革の時代。 複雑化する課題の解決に必要なのは、経験と先見性を掛け合わせた幅広い知見と、実用的で先進的な高次元のテクノロジーです。 「TIS INTEC Group BUSINESS SUMMIT」 では、その知見とテクノロジーの融合から生まれた、多角的な支援の事例や技術をご紹介。 ビジネスや課題解決のヒントになるような「発見」にあふれた1日を、ぜひお楽しみください。</t>
        </is>
      </c>
    </row>
    <row r="3">
      <c r="A3" s="11" t="n">
        <v>46210</v>
      </c>
      <c r="B3" s="10" t="inlineStr">
        <is>
          <t>Zoom CX Summit Tokyo</t>
        </is>
      </c>
      <c r="C3" s="10" t="inlineStr">
        <is>
          <t>ZVC JAPAN株式会社</t>
        </is>
      </c>
      <c r="D3" s="10" t="inlineStr">
        <is>
          <t>ビジネス+IT</t>
        </is>
      </c>
      <c r="E3" s="10" t="inlineStr">
        <is>
          <t>offline</t>
        </is>
      </c>
      <c r="F3" s="10" t="inlineStr">
        <is>
          <t>営業・マーケ・CS</t>
        </is>
      </c>
      <c r="G3" s="10" t="n"/>
      <c r="H3" s="15" t="inlineStr">
        <is>
          <t>https://www.sbbit.jp/eventinfo/89152</t>
        </is>
      </c>
      <c r="I3" s="10" t="inlineStr">
        <is>
          <t>顧客対応は、「問い合わせに答える業務」から、ビジネス成果を生み出す重要な役割へと進化しています。 7月7日に開催する Zoom CX Summit では、AIによる顧客対応の進化、コンタクトセンターの最新トレンド、そして実際の企業による導入・活用事例を通じて、「CXをどう変えれば成果につながるのか」 を具体的にご紹介します。 AI時代の顧客体験を、最新のグローバルトレンド、お客様事例、そしてZoomの最新ソリューションとともにご体感くだ</t>
        </is>
      </c>
    </row>
    <row r="4">
      <c r="A4" s="11" t="n">
        <v>46212</v>
      </c>
      <c r="B4" s="10" t="inlineStr">
        <is>
          <t>【オンライン受講】生成AI講座 第4弾 Copilot × Microsoft 365活用講座_第3回 Copilot × PowerPoint — 企画からスライド作成までの高速化 —</t>
        </is>
      </c>
      <c r="C4" s="10" t="n"/>
      <c r="D4" s="10" t="inlineStr">
        <is>
          <t>Peatix</t>
        </is>
      </c>
      <c r="E4" s="10" t="inlineStr">
        <is>
          <t>オンライン</t>
        </is>
      </c>
      <c r="F4" s="10" t="inlineStr">
        <is>
          <t>生産性向上・業務効率化</t>
        </is>
      </c>
      <c r="G4" s="10" t="n"/>
      <c r="H4" s="15" t="inlineStr">
        <is>
          <t>https://koukaikouza20260709.peatix.com/</t>
        </is>
      </c>
      <c r="I4" s="10" t="inlineStr">
        <is>
          <t>サブドメインに20260709。Copilot×PowerPoint</t>
        </is>
      </c>
    </row>
    <row r="5">
      <c r="A5" s="11" t="n">
        <v>46217</v>
      </c>
      <c r="B5" s="10" t="inlineStr">
        <is>
          <t>Beyond Communication 2026</t>
        </is>
      </c>
      <c r="C5" s="10" t="inlineStr">
        <is>
          <t>株式会社RevComm</t>
        </is>
      </c>
      <c r="D5" s="10" t="inlineStr">
        <is>
          <t>ビジネス+IT</t>
        </is>
      </c>
      <c r="E5" s="10" t="inlineStr">
        <is>
          <t>offline</t>
        </is>
      </c>
      <c r="F5" s="10" t="inlineStr">
        <is>
          <t>営業・マーケ・CS</t>
        </is>
      </c>
      <c r="G5" s="10" t="n"/>
      <c r="H5" s="15" t="inlineStr">
        <is>
          <t>https://www.sbbit.jp/eventinfo/88908</t>
        </is>
      </c>
      <c r="I5" s="10" t="inlineStr">
        <is>
          <t>会話データが導く、次の一手 音声 AI が、営業とサポートに“気づき”を与え、実行までを最短距離でつなぐ。 RevCommは「コミュニケーションを再発明し、人が人を想う社会を創る」という理念のもと、音声AIによって対人コミュニケーションの課題を解決する企業です。 顧客との会話は、企業にとって最も価値ある一次情報です。生成AIの飛躍的な進化により、議事録作成をはじめとする音声AIのビジネス活用は、今まさに本格化しています。 「Beyond</t>
        </is>
      </c>
    </row>
    <row r="6">
      <c r="A6" s="11" t="n">
        <v>46218</v>
      </c>
      <c r="B6" s="10" t="inlineStr">
        <is>
          <t>2026年 材料・化学業界の最前線</t>
        </is>
      </c>
      <c r="C6" s="10" t="n"/>
      <c r="D6" s="10" t="inlineStr">
        <is>
          <t>Peatix</t>
        </is>
      </c>
      <c r="E6" s="10" t="inlineStr">
        <is>
          <t>不明</t>
        </is>
      </c>
      <c r="F6" s="10" t="inlineStr">
        <is>
          <t>生産管理・製造・SCM</t>
        </is>
      </c>
      <c r="G6" s="10" t="n"/>
      <c r="H6" s="15" t="inlineStr">
        <is>
          <t>https://peatix.com/event/5051212</t>
        </is>
      </c>
      <c r="I6" s="10" t="inlineStr">
        <is>
          <t>2026年7月15日 Industrial AI・スマート製造 デジタルツイン</t>
        </is>
      </c>
    </row>
    <row r="7">
      <c r="A7" s="11" t="n">
        <v>46219</v>
      </c>
      <c r="B7" s="10" t="inlineStr">
        <is>
          <t>AI and DX Summit</t>
        </is>
      </c>
      <c r="C7" s="10" t="inlineStr">
        <is>
          <t>ゾーホージャパン株式会社</t>
        </is>
      </c>
      <c r="D7" s="10" t="inlineStr">
        <is>
          <t>ビジネス+IT</t>
        </is>
      </c>
      <c r="E7" s="10" t="inlineStr">
        <is>
          <t>offline</t>
        </is>
      </c>
      <c r="F7" s="10" t="inlineStr">
        <is>
          <t>生産性向上・業務効率化</t>
        </is>
      </c>
      <c r="G7" s="10" t="n"/>
      <c r="H7" s="15" t="inlineStr">
        <is>
          <t>https://www.sbbit.jp/eventinfo/89469</t>
        </is>
      </c>
      <c r="I7" s="10" t="inlineStr">
        <is>
          <t>～学び、つながり、新たなビジネスの可能性に出会う特別な１日～ AI and DX Summitは、AI活用やDX推進をテーマに開催するZoho主催の大型カンファレンスです。 AI、営業改革、業務効率化、顧客体験向上など、企業成長に欠かせないテーマを幅広く取り上げ、最新トレンドや実践事例をご紹介。セッションに加え、展示・交流・個別相談を通じて、AIとDXを“実務にどう活かすか”を体感いただけます。</t>
        </is>
      </c>
    </row>
    <row r="8">
      <c r="A8" s="11" t="n">
        <v>46219</v>
      </c>
      <c r="B8" s="10" t="inlineStr">
        <is>
          <t>NECが実践するSFA×AIによる営業組織変革</t>
        </is>
      </c>
      <c r="C8" s="10" t="inlineStr">
        <is>
          <t>株式会社ナレッジワーク</t>
        </is>
      </c>
      <c r="D8" s="10" t="inlineStr">
        <is>
          <t>ビジネス+IT</t>
        </is>
      </c>
      <c r="E8" s="10" t="inlineStr">
        <is>
          <t>online</t>
        </is>
      </c>
      <c r="F8" s="10" t="inlineStr">
        <is>
          <t>営業・マーケ・CS</t>
        </is>
      </c>
      <c r="G8" s="10" t="n"/>
      <c r="H8" s="15" t="inlineStr">
        <is>
          <t>https://www.sbbit.jp/eventinfo/89531</t>
        </is>
      </c>
      <c r="I8" s="10" t="inlineStr">
        <is>
          <t>大手企業の営業責任者・営業企画・DX推進担当者の方に向け、AI商談記録を全社展開するための実践知を共有するセミナーです。 昨今、大手企業では営業組織の規模が大きいゆえに、商談ナレッジの属人化とSFA入力の負荷が同時に課題となっています。過去のナレッジポータルが活用されない、ハイパフォーマーのノウハウが組織展開されないといった問題は、規模が大きいほど顕在化しがちです。さらに、AI商談記録を一部署で導入できても、グループ全体へのガバナンス・</t>
        </is>
      </c>
    </row>
    <row r="9">
      <c r="A9" s="11" t="n">
        <v>46219</v>
      </c>
      <c r="B9" s="10" t="inlineStr">
        <is>
          <t>【7/16開催】採用難・属人化に悩むCS担当者必見！インゲージが新機能「AI社員」を活用した次世代の顧客対応ウェビナーを開催</t>
        </is>
      </c>
      <c r="C9" s="10" t="inlineStr">
        <is>
          <t>株式会社インゲージ</t>
        </is>
      </c>
      <c r="D9" s="10" t="inlineStr">
        <is>
          <t>PR TIMES</t>
        </is>
      </c>
      <c r="E9" s="10" t="inlineStr">
        <is>
          <t>online</t>
        </is>
      </c>
      <c r="F9" s="10" t="inlineStr">
        <is>
          <t>営業・マーケ・CS</t>
        </is>
      </c>
      <c r="G9" s="10" t="n"/>
      <c r="H9" s="15" t="inlineStr">
        <is>
          <t>https://prtimes.jp/main/html/rd/p/000000326.000029485.html</t>
        </is>
      </c>
      <c r="I9" s="10" t="inlineStr">
        <is>
          <t>コミュニケーションプラットフォーム「Re:lation（リレーション）」を提供し、6,000社以上（※1）の導入実績を誇る株式会社インゲージ（本社：大阪府大阪市、代表取締役社長：和田 哲也）は、2026年7月16日（木）12:00より、無料ウェビナー『Re:lationで叶えるAI社員との共生～効率化の先にある選択肢。新機能「AI社員」がもたらすチームの進化～』を開催することをお知らせいたします。 https://ingage.jp/r</t>
        </is>
      </c>
    </row>
    <row r="10">
      <c r="A10" s="11" t="n">
        <v>46219</v>
      </c>
      <c r="B10" s="10" t="inlineStr">
        <is>
          <t>【教室向け】Claude実践セミナー 第3回：AI社員チームで教室運営を自動化する</t>
        </is>
      </c>
      <c r="C10" s="10" t="n"/>
      <c r="D10" s="10" t="inlineStr">
        <is>
          <t>Peatix</t>
        </is>
      </c>
      <c r="E10" s="10" t="inlineStr">
        <is>
          <t>オンライン(Zoom)</t>
        </is>
      </c>
      <c r="F10" s="10" t="inlineStr">
        <is>
          <t>生産性向上・業務効率化</t>
        </is>
      </c>
      <c r="G10" s="10" t="n"/>
      <c r="H10" s="15" t="inlineStr">
        <is>
          <t>https://peatix.com/event/5070199</t>
        </is>
      </c>
      <c r="I10" s="10" t="inlineStr">
        <is>
          <t>2026年7月16日 12:00-13:30 Zoom</t>
        </is>
      </c>
    </row>
    <row r="11">
      <c r="A11" s="11" t="n">
        <v>46219</v>
      </c>
      <c r="B11" s="10" t="inlineStr">
        <is>
          <t>セールステック・マーケティングDX＆AIカンファレンス 2026 夏</t>
        </is>
      </c>
      <c r="C11" s="10" t="inlineStr">
        <is>
          <t>SBクリエイティブ株式会社（ビジネス＋IT）</t>
        </is>
      </c>
      <c r="D11" s="10" t="inlineStr">
        <is>
          <t>ビジネス+IT</t>
        </is>
      </c>
      <c r="E11" s="10" t="inlineStr">
        <is>
          <t>online</t>
        </is>
      </c>
      <c r="F11" s="10" t="inlineStr">
        <is>
          <t>営業・マーケ・CS</t>
        </is>
      </c>
      <c r="G11" s="10" t="n"/>
      <c r="H11" s="15" t="inlineStr">
        <is>
          <t>https://www.sbbit.jp/eventinfo/88526</t>
        </is>
      </c>
      <c r="I11" s="10" t="inlineStr">
        <is>
          <t>緊迫する世界情勢と原料費の高騰などにより経営環境が不透明な中、多くの企業が生き残りをかけてDXを推進しています。またコロナ禍の影響や長引くインフレによりユーザーの購買行動も変容しており、営業やマーケティングについてもデジタルシフトによる転換が迫られています。さらにはChatGPTをはじめとした生成オープンAIのインパクトが企業のセールス・マーケの形も変えようとしています。変化の時代にセールスとマーケティングはどうDXを進めていくべきでし</t>
        </is>
      </c>
    </row>
    <row r="12">
      <c r="A12" s="11" t="n">
        <v>46219</v>
      </c>
      <c r="B12" s="10" t="inlineStr">
        <is>
          <t>製造業のデータ活用・分析セミナー 2026 夏</t>
        </is>
      </c>
      <c r="C12" s="10" t="inlineStr">
        <is>
          <t>SBクリエイティブ株式会社（ビジネス＋IT）</t>
        </is>
      </c>
      <c r="D12" s="10" t="inlineStr">
        <is>
          <t>ビジネス+IT</t>
        </is>
      </c>
      <c r="E12" s="10" t="inlineStr">
        <is>
          <t>online</t>
        </is>
      </c>
      <c r="F12" s="10" t="inlineStr">
        <is>
          <t>生産管理・製造・SCM</t>
        </is>
      </c>
      <c r="G12" s="10" t="n"/>
      <c r="H12" s="15" t="inlineStr">
        <is>
          <t>https://www.sbbit.jp/eventinfo/88658</t>
        </is>
      </c>
      <c r="I12" s="10" t="inlineStr">
        <is>
          <t>AI技術の発展により、製造業におけるデータの重要性が急速に高まっています。製造業者は、リアルタイムでデータを収集し、それをAIによって解析・活用する事により、市場の需要に応じた柔軟な生産体制を築きました。その結果、効率性が向上、製品の品質向上やカスタマイズされた製品の提供など、様々な面で競争力を高めることに成功しています。他方では、リアルタイムのセンサーデータと組み合わせ、AIによって解析・活用した、予兆保全や安全確保の取り組みの実現も</t>
        </is>
      </c>
    </row>
    <row r="13">
      <c r="A13" s="11" t="n">
        <v>46220</v>
      </c>
      <c r="B13" s="10" t="inlineStr">
        <is>
          <t>ものづくりDX&amp;AI フォーラム 2026 夏 東京</t>
        </is>
      </c>
      <c r="C13" s="10" t="inlineStr">
        <is>
          <t>SBクリエイティブ株式会社（ビジネス＋IT）</t>
        </is>
      </c>
      <c r="D13" s="10" t="inlineStr">
        <is>
          <t>ビジネス+IT</t>
        </is>
      </c>
      <c r="E13" s="10" t="inlineStr">
        <is>
          <t>offline</t>
        </is>
      </c>
      <c r="F13" s="10" t="inlineStr">
        <is>
          <t>生産管理・製造・SCM</t>
        </is>
      </c>
      <c r="G13" s="10" t="n"/>
      <c r="H13" s="15" t="inlineStr">
        <is>
          <t>https://www.sbbit.jp/eventinfo/88481</t>
        </is>
      </c>
      <c r="I13" s="10" t="inlineStr">
        <is>
          <t>少子高齢化や地政学リスク増大、国際的な開発競争が激化する中、日本の製造業は新たな転換期を迎えています。日本のものづくり復活のためにもデジタルトランスフォーメーションとAIの活用は、企業の競争力を大きく左右する要素となり、サプライチェーンの再構築や生産効率の向上に不可欠となっています。本フォーラムでは、製造業の未来を切り拓く最前線の事例や技術、AIデジタルツインやロボットによる製造プロセス革新、日本型サプライチェーンの再構築、次世代のスマ</t>
        </is>
      </c>
    </row>
    <row r="14">
      <c r="A14" s="11" t="n">
        <v>46226</v>
      </c>
      <c r="B14" s="10" t="inlineStr">
        <is>
          <t>SALES AI SUMMIT2026 ー AIで売上を科学する日 ー</t>
        </is>
      </c>
      <c r="C14" s="10" t="inlineStr">
        <is>
          <t>FAZOM株式会社</t>
        </is>
      </c>
      <c r="D14" s="10" t="inlineStr">
        <is>
          <t>Peatix</t>
        </is>
      </c>
      <c r="E14" s="10" t="inlineStr">
        <is>
          <t>オンライン(Zoom)</t>
        </is>
      </c>
      <c r="F14" s="10" t="inlineStr">
        <is>
          <t>営業・マーケ・CS</t>
        </is>
      </c>
      <c r="G14" s="10" t="n"/>
      <c r="H14" s="15" t="inlineStr">
        <is>
          <t>https://peatix.com/event/5093762</t>
        </is>
      </c>
      <c r="I14" s="10" t="inlineStr">
        <is>
          <t>2026年7月23日(木)9:00-17:10 Zoom 無料（主催サイト等で確認）AIと営業データで組織を変えた実践者のみ登壇</t>
        </is>
      </c>
    </row>
    <row r="15">
      <c r="A15" s="11" t="n">
        <v>46227</v>
      </c>
      <c r="B15" s="10" t="inlineStr">
        <is>
          <t>AIコンテンツ勉強会【AI CONTENTS BOOST #07】AIが「演じる」とき、映像作家は何を創るのか？――アヌシー2026で目撃した映像制作の次なる変化</t>
        </is>
      </c>
      <c r="C15" s="10" t="n"/>
      <c r="D15" s="10" t="inlineStr">
        <is>
          <t>Peatix</t>
        </is>
      </c>
      <c r="E15" s="10" t="inlineStr">
        <is>
          <t>オンライン</t>
        </is>
      </c>
      <c r="F15" s="10" t="inlineStr">
        <is>
          <t>技術・AI全般</t>
        </is>
      </c>
      <c r="G15" s="10" t="n"/>
      <c r="H15" s="15" t="inlineStr">
        <is>
          <t>https://peatix.com/event/5084894</t>
        </is>
      </c>
      <c r="I15" s="10" t="inlineStr">
        <is>
          <t>2026年7月24日(金)19:00-20:30</t>
        </is>
      </c>
    </row>
    <row r="16">
      <c r="A16" s="11" t="n">
        <v>46227</v>
      </c>
      <c r="B16" s="10" t="inlineStr">
        <is>
          <t>Coupa Inspire World Tour Tokyo 2026</t>
        </is>
      </c>
      <c r="C16" s="10" t="inlineStr">
        <is>
          <t>Coupa株式会社</t>
        </is>
      </c>
      <c r="D16" s="10" t="inlineStr">
        <is>
          <t>ビジネス+IT</t>
        </is>
      </c>
      <c r="E16" s="10" t="inlineStr">
        <is>
          <t>offline</t>
        </is>
      </c>
      <c r="F16" s="10" t="inlineStr">
        <is>
          <t>生産性向上・業務効率化</t>
        </is>
      </c>
      <c r="G16" s="10" t="n"/>
      <c r="H16" s="15" t="inlineStr">
        <is>
          <t>https://www.sbbit.jp/eventinfo/89087</t>
        </is>
      </c>
      <c r="I16" s="10" t="inlineStr">
        <is>
          <t>「Inspire World Tour Tokyo」へようこそ。 Inspireならではの熱気とイノベーションをぜひご体感ください。 本イベントでは、Coupa コミュニティが生み出すネットワーク効果の真価とともに、CoupaのAIネイティブプラットフォームが貴社のビジネスにどのような変革をもたらすかをご提案いたします。 意思決定者の方々を対象とした無料イベントですが、お座席には限りがございます。 ぜひお早めにお申し込みください。</t>
        </is>
      </c>
    </row>
    <row r="17">
      <c r="A17" s="11" t="n">
        <v>46227</v>
      </c>
      <c r="B17" s="10" t="inlineStr">
        <is>
          <t>KRPフェス2026：生成AIがひらく研究開発と事業創出の可能性〜OpenAIと実践者の視点から考える、AI活用の現在地〜</t>
        </is>
      </c>
      <c r="C17" s="10" t="inlineStr">
        <is>
          <t>京都リサーチパーク</t>
        </is>
      </c>
      <c r="D17" s="10" t="inlineStr">
        <is>
          <t>Peatix</t>
        </is>
      </c>
      <c r="E17" s="10" t="inlineStr">
        <is>
          <t>会場</t>
        </is>
      </c>
      <c r="F17" s="10" t="inlineStr">
        <is>
          <t>開発生産性</t>
        </is>
      </c>
      <c r="G17" s="10" t="n"/>
      <c r="H17" s="15" t="inlineStr">
        <is>
          <t>https://peatix.com/event/5007968</t>
        </is>
      </c>
      <c r="I17" s="10" t="inlineStr">
        <is>
          <t>2026年7月24日(金)13:30-15:00 OpenAI Japan登壇</t>
        </is>
      </c>
    </row>
    <row r="18">
      <c r="A18" s="11" t="n">
        <v>46227</v>
      </c>
      <c r="B18" s="10" t="inlineStr">
        <is>
          <t>PendomoniumX Tokyo 2026</t>
        </is>
      </c>
      <c r="C18" s="10" t="inlineStr">
        <is>
          <t>Pendo.io Japan</t>
        </is>
      </c>
      <c r="D18" s="10" t="inlineStr">
        <is>
          <t>ビジネス+IT</t>
        </is>
      </c>
      <c r="E18" s="10" t="inlineStr">
        <is>
          <t>offline</t>
        </is>
      </c>
      <c r="F18" s="10" t="inlineStr">
        <is>
          <t>営業・マーケ・CS</t>
        </is>
      </c>
      <c r="G18" s="10" t="n"/>
      <c r="H18" s="15" t="inlineStr">
        <is>
          <t>https://www.sbbit.jp/eventinfo/88335</t>
        </is>
      </c>
      <c r="I18" s="10" t="inlineStr">
        <is>
          <t>AIとともに“判断できる組織”へ 生成AIの進化は、企業にかつてない量と速度でデータを扱う力をもたらしました。しかし競争力を分けるのは、AIを導入したかどうかではありません。データとAIを、経営、プロダクト、顧客体験といった中核領域の意思決定にどう組み込み、組織として機能させられるかです。 PendomoniumX Tokyo 2026では、企業変革を担う経営層およびプロダクトリーダーとともに、AIとデータが実際の意思決定プロセスをどの</t>
        </is>
      </c>
    </row>
    <row r="19">
      <c r="A19" s="11" t="n">
        <v>46228</v>
      </c>
      <c r="B19" s="10" t="inlineStr">
        <is>
          <t>GWSユーザー必見｜Google AIの最新情報&amp;今後のポジション予測</t>
        </is>
      </c>
      <c r="C19" s="10" t="inlineStr">
        <is>
          <t>講師:井澤良介(ALLAI/シンカAI)</t>
        </is>
      </c>
      <c r="D19" s="10" t="inlineStr">
        <is>
          <t>Peatix</t>
        </is>
      </c>
      <c r="E19" s="10" t="inlineStr">
        <is>
          <t>オンライン</t>
        </is>
      </c>
      <c r="F19" s="10" t="inlineStr">
        <is>
          <t>技術・AI全般</t>
        </is>
      </c>
      <c r="G19" s="10" t="n"/>
      <c r="H19" s="15" t="inlineStr">
        <is>
          <t>https://miraichi0725.peatix.com/</t>
        </is>
      </c>
      <c r="I19" s="10" t="inlineStr">
        <is>
          <t>Sheets Canvas/Drive プロジェクト実演、ChatGPTとClaudeの違い。チケット販売7/26 22:00まで、サブドメイン0725（年は推定）</t>
        </is>
      </c>
    </row>
    <row r="20">
      <c r="A20" s="11" t="n">
        <v>46230</v>
      </c>
      <c r="B20" s="10" t="inlineStr">
        <is>
          <t>【7.27/無料/ｵﾝﾗｲﾝ】AI時代の事業開発の"本質"｜「AI活用」の、その手前にある"全体像"</t>
        </is>
      </c>
      <c r="C20" s="10" t="n"/>
      <c r="D20" s="10" t="inlineStr">
        <is>
          <t>Peatix</t>
        </is>
      </c>
      <c r="E20" s="10" t="inlineStr">
        <is>
          <t>オンライン</t>
        </is>
      </c>
      <c r="F20" s="10" t="inlineStr">
        <is>
          <t>開発生産性</t>
        </is>
      </c>
      <c r="G20" s="10" t="n"/>
      <c r="H20" s="15" t="inlineStr">
        <is>
          <t>https://peatix.com/event/5096574</t>
        </is>
      </c>
      <c r="I20" s="10" t="inlineStr">
        <is>
          <t>タイトルに7.27/無料/オンライン（年はイベントID帯から2026年と推定）</t>
        </is>
      </c>
    </row>
    <row r="21">
      <c r="A21" s="11" t="n">
        <v>46231</v>
      </c>
      <c r="B21" s="10" t="inlineStr">
        <is>
          <t>WorksWay 2026</t>
        </is>
      </c>
      <c r="C21" s="10" t="inlineStr">
        <is>
          <t>株式会社ワークスアプリケーションズ</t>
        </is>
      </c>
      <c r="D21" s="10" t="inlineStr">
        <is>
          <t>ビジネス+IT</t>
        </is>
      </c>
      <c r="E21" s="10" t="inlineStr">
        <is>
          <t>online</t>
        </is>
      </c>
      <c r="F21" s="10" t="inlineStr">
        <is>
          <t>生産性向上・業務効率化</t>
        </is>
      </c>
      <c r="G21" s="10" t="n"/>
      <c r="H21" s="15" t="inlineStr">
        <is>
          <t>https://www.sbbit.jp/eventinfo/89149</t>
        </is>
      </c>
      <c r="I21" s="10" t="inlineStr">
        <is>
          <t>人×業務×テクノロジーの再設計で創る新しい企業価値 AIの進化が加速する今、議論はテクノロジーに偏りがちです。 しかし本当に見直すべきなのは、「人」「業務」「テクノロジー」の関係性そのものです。 人の役割を再定義し、業務を再設計し、テクノロジーを組み直す。 三位を一体で捉え直し、その構造を一新する。 単なる効率化ではなく、持続的な競争力を生み出す企業基盤へ。 WorksWay 2026で、その具体解を探ります。</t>
        </is>
      </c>
    </row>
    <row r="22">
      <c r="A22" s="11" t="n">
        <v>46231</v>
      </c>
      <c r="B22" s="10" t="inlineStr">
        <is>
          <t>【中堅・大企業向け】AI活用定着の壁、導入したAIはなぜ現場で使われないのか</t>
        </is>
      </c>
      <c r="C22" s="10" t="inlineStr">
        <is>
          <t>株式会社エクサ（協力：マジセミ株式会社）</t>
        </is>
      </c>
      <c r="D22" s="10" t="inlineStr">
        <is>
          <t>マジセミ</t>
        </is>
      </c>
      <c r="E22" s="10" t="inlineStr">
        <is>
          <t>online</t>
        </is>
      </c>
      <c r="F22" s="10" t="inlineStr">
        <is>
          <t>生産性向上・業務効率化</t>
        </is>
      </c>
      <c r="G22" s="10" t="n"/>
      <c r="H22" s="15" t="inlineStr">
        <is>
          <t>https://prtimes.jp/main/html/rd/p/000005443.000054842.html</t>
        </is>
      </c>
      <c r="I22" s="10" t="inlineStr">
        <is>
          <t>■AI導入は進む一方、活用成果が見えてこない 生成AIやAIツールの導入は、競争力の維持・向上に欠かせない要素として、中堅・大企業を中心に急速に進みつつあります。一方で、導入後に期待したほど業務改善につながらず、現場では一部の社員が個人利用するだけにとどまる、または契約したAIツールが思ったほど使われないといった状況も少なくありません。AIの導入自体をゴールにせず、現場業務の中で継続的に使われ、成果につながる状態をいかに作るかが問われて</t>
        </is>
      </c>
    </row>
    <row r="23">
      <c r="A23" s="11" t="n">
        <v>46231</v>
      </c>
      <c r="B23" s="10" t="inlineStr">
        <is>
          <t>【経営者限定5社】AIで次の新規事業をはじめる｜経営者のための2時間ワークショップ</t>
        </is>
      </c>
      <c r="C23" s="10" t="n"/>
      <c r="D23" s="10" t="inlineStr">
        <is>
          <t>Peatix</t>
        </is>
      </c>
      <c r="E23" s="10" t="inlineStr">
        <is>
          <t>会場</t>
        </is>
      </c>
      <c r="F23" s="10" t="inlineStr">
        <is>
          <t>生産性向上・業務効率化</t>
        </is>
      </c>
      <c r="G23" s="10" t="n"/>
      <c r="H23" s="15" t="inlineStr">
        <is>
          <t>https://peatix.com/event/5077177</t>
        </is>
      </c>
      <c r="I23" s="10" t="inlineStr">
        <is>
          <t>2026年7月28日16:00-19:00（本編16-18時）経営者限定5社</t>
        </is>
      </c>
    </row>
    <row r="24">
      <c r="A24" s="11" t="n">
        <v>46231</v>
      </c>
      <c r="B24" s="10" t="inlineStr">
        <is>
          <t>商談記録の検討・導入で押さえるべき6つの観点</t>
        </is>
      </c>
      <c r="C24" s="10" t="inlineStr">
        <is>
          <t>株式会社ナレッジワーク</t>
        </is>
      </c>
      <c r="D24" s="10" t="inlineStr">
        <is>
          <t>ビジネス+IT</t>
        </is>
      </c>
      <c r="E24" s="10" t="inlineStr">
        <is>
          <t>online</t>
        </is>
      </c>
      <c r="F24" s="10" t="inlineStr">
        <is>
          <t>営業・マーケ・CS</t>
        </is>
      </c>
      <c r="G24" s="10" t="n"/>
      <c r="H24" s="15" t="inlineStr">
        <is>
          <t>https://www.sbbit.jp/eventinfo/89707</t>
        </is>
      </c>
      <c r="I24" s="10" t="inlineStr">
        <is>
          <t>議事録作成やCRM/SFA入力の自動化を目的に、AI商談記録ツールの導入を検討する企業が増えています。 一方で、「導入したものの議事録作成止まりで、営業力強化やデータ活用にまでつながらない」「対面商談が記録できず、蓄積したデータに抜け漏れがある」といった声も少なくありません。 こうした差が生まれる原因のひとつは、検討段階で文字起こしの精度や議事録作成といった一部の機能だけを比較してしまうことにあります。 商談データを営業組織の資産にする</t>
        </is>
      </c>
    </row>
    <row r="25">
      <c r="A25" s="11" t="n">
        <v>46233</v>
      </c>
      <c r="B25" s="10" t="inlineStr">
        <is>
          <t>後継ぎ社長 × AI 業務改革スペシャルイベント</t>
        </is>
      </c>
      <c r="C25" s="10" t="n"/>
      <c r="D25" s="10" t="inlineStr">
        <is>
          <t>Peatix</t>
        </is>
      </c>
      <c r="E25" s="10" t="inlineStr">
        <is>
          <t>会場</t>
        </is>
      </c>
      <c r="F25" s="10" t="inlineStr">
        <is>
          <t>生産性向上・業務効率化</t>
        </is>
      </c>
      <c r="G25" s="10" t="n"/>
      <c r="H25" s="15" t="inlineStr">
        <is>
          <t>https://peatix.com/event/5037623</t>
        </is>
      </c>
      <c r="I25" s="10" t="inlineStr">
        <is>
          <t>7月30日 渋谷SOIL 後継ぎ・事業承継期の経営者向け</t>
        </is>
      </c>
    </row>
    <row r="26">
      <c r="A26" s="11" t="n">
        <v>46238</v>
      </c>
      <c r="B26" s="10" t="inlineStr">
        <is>
          <t>NiCE World Japan 2026 大阪</t>
        </is>
      </c>
      <c r="C26" s="10" t="inlineStr">
        <is>
          <t>ナイスジャパン株式会社</t>
        </is>
      </c>
      <c r="D26" s="10" t="inlineStr">
        <is>
          <t>ビジネス+IT</t>
        </is>
      </c>
      <c r="E26" s="10" t="inlineStr">
        <is>
          <t>offline</t>
        </is>
      </c>
      <c r="F26" s="10" t="inlineStr">
        <is>
          <t>営業・マーケ・CS</t>
        </is>
      </c>
      <c r="G26" s="10" t="n"/>
      <c r="H26" s="15" t="inlineStr">
        <is>
          <t>https://www.sbbit.jp/eventinfo/89511</t>
        </is>
      </c>
      <c r="I26" s="10" t="inlineStr">
        <is>
          <t>NiCE Worldへようこそ NiCE World Japanは、Interactionsで培われた革新性、知見、そしてコミュニティの価値を、さらにスケールアップさせたイベントです。 CXリーダーと共に、最先端テクノロジーを体感し、実際の成果につながるAI戦略を発見してください。 究極のCX体験へ、ぜひご参加ください！</t>
        </is>
      </c>
    </row>
    <row r="27">
      <c r="A27" s="11" t="n">
        <v>46239</v>
      </c>
      <c r="B27" s="10" t="inlineStr">
        <is>
          <t>AI協奏が拓く人的資本経営の未来 ~HRテクノロジーコンソーシアム 2026年 年次総会~</t>
        </is>
      </c>
      <c r="C27" s="10" t="inlineStr">
        <is>
          <t>HRテクノロジーコンソーシアム</t>
        </is>
      </c>
      <c r="D27" s="10" t="inlineStr">
        <is>
          <t>Peatix</t>
        </is>
      </c>
      <c r="E27" s="10" t="inlineStr">
        <is>
          <t>不明</t>
        </is>
      </c>
      <c r="F27" s="10" t="inlineStr">
        <is>
          <t>生産性向上・業務効率化</t>
        </is>
      </c>
      <c r="G27" s="10" t="n"/>
      <c r="H27" s="15" t="inlineStr">
        <is>
          <t>https://hrt-seminar20260805.peatix.com/</t>
        </is>
      </c>
      <c r="I27" s="10" t="inlineStr">
        <is>
          <t>サブドメインhrt-seminar20260805から日付推定（スニペットに日時記載なし）</t>
        </is>
      </c>
    </row>
    <row r="28">
      <c r="A28" s="11" t="n">
        <v>46239</v>
      </c>
      <c r="B28" s="10" t="inlineStr">
        <is>
          <t>AI組織定着 実践講座</t>
        </is>
      </c>
      <c r="C28" s="10" t="inlineStr">
        <is>
          <t>SBクリエイティブ株式会社/ビジネス+IT</t>
        </is>
      </c>
      <c r="D28" s="10" t="inlineStr">
        <is>
          <t>ビジネス+IT</t>
        </is>
      </c>
      <c r="E28" s="10" t="inlineStr">
        <is>
          <t>online</t>
        </is>
      </c>
      <c r="F28" s="10" t="inlineStr">
        <is>
          <t>営業・マーケ・CS</t>
        </is>
      </c>
      <c r="G28" s="10" t="n"/>
      <c r="H28" s="15" t="inlineStr">
        <is>
          <t>https://www.sbbit.jp/eventinfo/89680</t>
        </is>
      </c>
      <c r="I28" s="10" t="inlineStr">
        <is>
          <t>日時： 2026年8月5日（水）16:00～18:00 会場： オンライン 定員： オンライン受講 無制限 受講料：オンライン受講 22,000円（税込） 主催： SBクリエイティブ株式会社（ビジネス＋IT／FinTech Journal）</t>
        </is>
      </c>
    </row>
    <row r="29">
      <c r="A29" s="11" t="n">
        <v>46240</v>
      </c>
      <c r="B29" s="10" t="inlineStr">
        <is>
          <t>AI音声DX最前線</t>
        </is>
      </c>
      <c r="C29" s="10" t="inlineStr">
        <is>
          <t>SBクリエイティブ株式会社（ビジネス＋IT）</t>
        </is>
      </c>
      <c r="D29" s="10" t="inlineStr">
        <is>
          <t>ビジネス+IT</t>
        </is>
      </c>
      <c r="E29" s="10" t="inlineStr">
        <is>
          <t>online</t>
        </is>
      </c>
      <c r="F29" s="10" t="inlineStr">
        <is>
          <t>生産性向上・業務効率化</t>
        </is>
      </c>
      <c r="G29" s="10" t="n"/>
      <c r="H29" s="15" t="inlineStr">
        <is>
          <t>https://www.sbbit.jp/eventinfo/89285</t>
        </is>
      </c>
      <c r="I29" s="10" t="inlineStr">
        <is>
          <t>営業・接客・コンタクトセンターなど、企業の最前線となる“現場コミュニケーション”では、商談記録の属人化、対応品質のばらつき、不適切対応や情報隠蔽、カスタマーハラスメント対応など、可視化されにくい課題が顕在化しています。特に対面・電話でのやり取りは記録が残りづらく、教育・監査・ナレッジ共有・証跡管理の観点でも大きな課題となってきました。こうした中、AI音声技術の進化により、会話の自動文字起こし、要約、感情分析、リアルタイム支援、データ連携</t>
        </is>
      </c>
    </row>
    <row r="30">
      <c r="A30" s="11" t="n">
        <v>46240</v>
      </c>
      <c r="B30" s="10" t="inlineStr">
        <is>
          <t>LSS×Dell Technologies 【AI PC時代の業務変革最前線】最新の生成AI活用支援プログラムと業界別AIソリューションユースケースセミナー</t>
        </is>
      </c>
      <c r="C30" s="10" t="inlineStr">
        <is>
          <t>LSS×Dell Technologies</t>
        </is>
      </c>
      <c r="D30" s="10" t="inlineStr">
        <is>
          <t>Peatix</t>
        </is>
      </c>
      <c r="E30" s="10" t="inlineStr">
        <is>
          <t>会場</t>
        </is>
      </c>
      <c r="F30" s="10" t="inlineStr">
        <is>
          <t>営業・マーケ・CS</t>
        </is>
      </c>
      <c r="G30" s="10" t="n"/>
      <c r="H30" s="15" t="inlineStr">
        <is>
          <t>https://peatix.com/event/4760653</t>
        </is>
      </c>
      <c r="I30" s="10" t="inlineStr">
        <is>
          <t>2026年8月6日(木)15:00-19:00 申込締切8/5</t>
        </is>
      </c>
    </row>
    <row r="31">
      <c r="A31" s="11" t="n">
        <v>46240</v>
      </c>
      <c r="B31" s="10" t="inlineStr">
        <is>
          <t>NiCE World Japan 2026 福岡</t>
        </is>
      </c>
      <c r="C31" s="10" t="inlineStr">
        <is>
          <t>ナイスジャパン株式会社</t>
        </is>
      </c>
      <c r="D31" s="10" t="inlineStr">
        <is>
          <t>ビジネス+IT</t>
        </is>
      </c>
      <c r="E31" s="10" t="inlineStr">
        <is>
          <t>offline</t>
        </is>
      </c>
      <c r="F31" s="10" t="inlineStr">
        <is>
          <t>営業・マーケ・CS</t>
        </is>
      </c>
      <c r="G31" s="10" t="n"/>
      <c r="H31" s="15" t="inlineStr">
        <is>
          <t>https://www.sbbit.jp/eventinfo/89512</t>
        </is>
      </c>
      <c r="I31" s="10" t="inlineStr">
        <is>
          <t>NiCE Worldへようこそ NiCE World Japanは、Interactionsで培われた革新性、知見、そしてコミュニティの価値を、さらにスケールアップさせたイベントです。 CXリーダーと共に、最先端テクノロジーを体感し、実際の成果につながるAI戦略を発見してください。 究極のCX体験へ、ぜひご参加ください！</t>
        </is>
      </c>
    </row>
    <row r="32">
      <c r="A32" s="11" t="n">
        <v>46240</v>
      </c>
      <c r="B32" s="10" t="inlineStr">
        <is>
          <t>XR Kaigi Hub 名古屋 - フィジカルAI meets XR</t>
        </is>
      </c>
      <c r="C32" s="10" t="n"/>
      <c r="D32" s="10" t="inlineStr">
        <is>
          <t>Peatix</t>
        </is>
      </c>
      <c r="E32" s="10" t="inlineStr">
        <is>
          <t>会場</t>
        </is>
      </c>
      <c r="F32" s="10" t="inlineStr">
        <is>
          <t>生産管理・製造・SCM</t>
        </is>
      </c>
      <c r="G32" s="10" t="n"/>
      <c r="H32" s="15" t="inlineStr">
        <is>
          <t>https://xrkaigihub-nagoya2026.peatix.com/view</t>
        </is>
      </c>
      <c r="I32" s="10" t="inlineStr">
        <is>
          <t>2026年8月6日11:00-18:00 STATION Ai</t>
        </is>
      </c>
    </row>
    <row r="33">
      <c r="A33" s="11" t="n">
        <v>46242</v>
      </c>
      <c r="B33" s="10" t="inlineStr">
        <is>
          <t>MERGE 2026 - AI駆動開発 × Design</t>
        </is>
      </c>
      <c r="C33" s="10" t="inlineStr">
        <is>
          <t>GustoDevelopment/Protocore/AI駆動開発コミュニティ/Next AI Leaders</t>
        </is>
      </c>
      <c r="D33" s="10" t="inlineStr">
        <is>
          <t>Peatix</t>
        </is>
      </c>
      <c r="E33" s="10" t="inlineStr">
        <is>
          <t>ハイブリッド</t>
        </is>
      </c>
      <c r="F33" s="10" t="inlineStr">
        <is>
          <t>開発生産性</t>
        </is>
      </c>
      <c r="G33" s="10" t="n"/>
      <c r="H33" s="15" t="inlineStr">
        <is>
          <t>https://merge2026.peatix.com/view</t>
        </is>
      </c>
      <c r="I33" s="10" t="inlineStr">
        <is>
          <t>2026年8月8日(土)10:00-20:00 会場200名+オンライン300名想定</t>
        </is>
      </c>
    </row>
    <row r="34">
      <c r="A34" s="11" t="n">
        <v>46254</v>
      </c>
      <c r="B34" s="10" t="inlineStr">
        <is>
          <t>8/20（木）第1回コアコネ超会議</t>
        </is>
      </c>
      <c r="C34" s="10" t="n"/>
      <c r="D34" s="10" t="inlineStr">
        <is>
          <t>Peatix</t>
        </is>
      </c>
      <c r="E34" s="10" t="inlineStr">
        <is>
          <t>会場</t>
        </is>
      </c>
      <c r="F34" s="10" t="inlineStr">
        <is>
          <t>生産性向上・業務効率化</t>
        </is>
      </c>
      <c r="G34" s="10" t="n"/>
      <c r="H34" s="15" t="inlineStr">
        <is>
          <t>https://peatix.com/event/5073918</t>
        </is>
      </c>
      <c r="I34" s="10" t="inlineStr">
        <is>
          <t>2026年8月20日19:00-21:30 テーマ「AI爆速成長時代のベンチャー経営の手引き」コア会員無料/一般5,000円</t>
        </is>
      </c>
    </row>
    <row r="35">
      <c r="A35" s="11" t="n">
        <v>46254</v>
      </c>
      <c r="B35" s="10" t="inlineStr">
        <is>
          <t>AI時代の製造現場DX成功の要因</t>
        </is>
      </c>
      <c r="C35" s="10" t="inlineStr">
        <is>
          <t>SBクリエイティブ株式会社（ビジネス＋IT）</t>
        </is>
      </c>
      <c r="D35" s="10" t="inlineStr">
        <is>
          <t>ビジネス+IT</t>
        </is>
      </c>
      <c r="E35" s="10" t="inlineStr">
        <is>
          <t>online</t>
        </is>
      </c>
      <c r="F35" s="10" t="inlineStr">
        <is>
          <t>生産管理・製造・SCM</t>
        </is>
      </c>
      <c r="G35" s="10" t="n"/>
      <c r="H35" s="15" t="inlineStr">
        <is>
          <t>https://www.sbbit.jp/eventinfo/88939</t>
        </is>
      </c>
      <c r="I35" s="10" t="inlineStr">
        <is>
          <t>少子高齢化による労働人口の減少や働き手の高齢化により、製造業では「人材不足」や「技能伝承」といった長年懸念されている問題が一段と深刻化しています。これらの課題を解決するためにはDXに加え、生成AIやフィジカルAI・ロボティクスの活用が急務とされています。「情報の見える化」「技術継承支援」「DX・AI人材の育成」「生産性の向上」など、今後急務且つ、長期的に取り組む必要のある事が山積みです。当Webセミナーでは、先進的な取り組みで、製造業の</t>
        </is>
      </c>
    </row>
    <row r="36">
      <c r="A36" s="11" t="n">
        <v>46258</v>
      </c>
      <c r="B36" s="10" t="inlineStr">
        <is>
          <t>Microsoft Copilotビジネス実践講座第2弾</t>
        </is>
      </c>
      <c r="C36" s="10" t="inlineStr">
        <is>
          <t>SBクリエイティブ株式会社（ビジネス＋IT）</t>
        </is>
      </c>
      <c r="D36" s="10" t="inlineStr">
        <is>
          <t>ビジネス+IT</t>
        </is>
      </c>
      <c r="E36" s="10" t="inlineStr">
        <is>
          <t>hybrid</t>
        </is>
      </c>
      <c r="F36" s="10" t="inlineStr">
        <is>
          <t>生産性向上・業務効率化</t>
        </is>
      </c>
      <c r="G36" s="10" t="n"/>
      <c r="H36" s="15" t="inlineStr">
        <is>
          <t>https://www.sbbit.jp/eventinfo/89968</t>
        </is>
      </c>
      <c r="I36" s="10" t="inlineStr">
        <is>
          <t>日時： 2026年8月24日（月）15:00 - 18:00 会場： 住友不動産虎ノ門タワー23F（SBクリエイティブ株式会社） 定員： 会場 30名程度 ／ オンライン受講 無制限 受講料： 会場受講 33,000円（税込） ／ オンライン受講 22,000円（税込） 主催： SBクリエイティブ株式会社（ビジネス＋IT）</t>
        </is>
      </c>
    </row>
    <row r="37">
      <c r="A37" s="11" t="n">
        <v>46259</v>
      </c>
      <c r="B37" s="10" t="inlineStr">
        <is>
          <t>AIが自律的に事業リスクを見つけ、打ち手まで示す経営へ</t>
        </is>
      </c>
      <c r="C37" s="10" t="inlineStr">
        <is>
          <t>日本オラクル株式会社</t>
        </is>
      </c>
      <c r="D37" s="10" t="inlineStr">
        <is>
          <t>ビジネス+IT</t>
        </is>
      </c>
      <c r="E37" s="10" t="inlineStr">
        <is>
          <t>online</t>
        </is>
      </c>
      <c r="F37" s="10" t="inlineStr">
        <is>
          <t>生産性向上・業務効率化</t>
        </is>
      </c>
      <c r="G37" s="10" t="n"/>
      <c r="H37" s="15" t="inlineStr">
        <is>
          <t>https://www.sbbit.jp/eventinfo/89893</t>
        </is>
      </c>
      <c r="I37" s="10" t="inlineStr">
        <is>
          <t xml:space="preserve">業績悪化の兆候、需要の変化、供給遅延、コスト超過、人材流出のリスク。 ビジネス上の重要な変化は、顕在化する前から、企業内のデータや業務プロセスに現れています。 これからのAIに求められるのは、質問に答えることだけではありません。企業固有のデータ、ビジネスルール、業務の流れを理解し、異常やリスクを自律的に検知する。さらに、その背景や影響を分析し、判断の根拠となるエビデンスとともに、次に取るべきアクションを提示することです。 Oracle </t>
        </is>
      </c>
    </row>
    <row r="38">
      <c r="A38" s="11" t="n">
        <v>46260</v>
      </c>
      <c r="B38" s="10" t="inlineStr">
        <is>
          <t>【B-5】仕事に役立つ、生成AIを活用した広報7つのコツ講座。</t>
        </is>
      </c>
      <c r="C38" s="10" t="n"/>
      <c r="D38" s="10" t="inlineStr">
        <is>
          <t>Peatix</t>
        </is>
      </c>
      <c r="E38" s="10" t="inlineStr">
        <is>
          <t>会場</t>
        </is>
      </c>
      <c r="F38" s="10" t="inlineStr">
        <is>
          <t>生産性向上・業務効率化</t>
        </is>
      </c>
      <c r="G38" s="10" t="n"/>
      <c r="H38" s="15" t="inlineStr">
        <is>
          <t>https://peatix.com/event/5013999</t>
        </is>
      </c>
      <c r="I38" s="10" t="inlineStr">
        <is>
          <t>2026年8月26日(水)11:00-13:00 生成AIを広報業務に活かす7つの視点、プレスリリース下書き・チェックリスト持ち帰り</t>
        </is>
      </c>
    </row>
    <row r="39">
      <c r="A39" s="11" t="n">
        <v>46260</v>
      </c>
      <c r="B39" s="10" t="inlineStr">
        <is>
          <t>検索・要約で終わらせない、Copilotでつくる「AI社員」実践ワークショップを8月26日に無料オンライン開催</t>
        </is>
      </c>
      <c r="C39" s="10" t="inlineStr">
        <is>
          <t>株式会社Meta Heroes</t>
        </is>
      </c>
      <c r="D39" s="10" t="inlineStr">
        <is>
          <t>PR TIMES</t>
        </is>
      </c>
      <c r="E39" s="10" t="inlineStr">
        <is>
          <t>online</t>
        </is>
      </c>
      <c r="F39" s="10" t="inlineStr">
        <is>
          <t>生産性向上・業務効率化</t>
        </is>
      </c>
      <c r="G39" s="10" t="n"/>
      <c r="H39" s="15" t="inlineStr">
        <is>
          <t>https://prtimes.jp/main/html/rd/p/000000403.000094539.html</t>
        </is>
      </c>
      <c r="I39" s="10" t="inlineStr">
        <is>
          <t>株式会社Meta Heroesと株式会社Meta Osakaは、2026年8月26日（水）15:00〜17:00、企業の実務担当者を対象とした無料オンラインイベント「Copilotでつくる『AI社員』実践ワークショップ」をGoogle Meetで開催します。 本イベントでいう「AI社員」は、AIが人間の社員と同じように完全自律で働くことを意味するものではありません。メール、資料作成、情報整理などの日常業務を支援するAI活用の考え方を示す</t>
        </is>
      </c>
    </row>
    <row r="40">
      <c r="A40" s="11" t="n">
        <v>46261</v>
      </c>
      <c r="B40" s="10" t="inlineStr">
        <is>
          <t>【見逃しアーカイブ】Gemini × NotebookLMで「26人のAI社員」を雇って仕事を自動化 完全攻略セミナー</t>
        </is>
      </c>
      <c r="C40" s="10" t="inlineStr">
        <is>
          <t>えーたん(@ai_jitan)</t>
        </is>
      </c>
      <c r="D40" s="10" t="inlineStr">
        <is>
          <t>Peatix</t>
        </is>
      </c>
      <c r="E40" s="10" t="inlineStr">
        <is>
          <t>アーカイブ配信</t>
        </is>
      </c>
      <c r="F40" s="10" t="inlineStr">
        <is>
          <t>生産性向上・業務効率化</t>
        </is>
      </c>
      <c r="G40" s="10" t="n"/>
      <c r="H40" s="15" t="inlineStr">
        <is>
          <t>https://peatix.com/event/5156216</t>
        </is>
      </c>
      <c r="I40" s="10" t="inlineStr">
        <is>
          <t>見逃しアーカイブ 8月27日〜31日限定販売</t>
        </is>
      </c>
    </row>
    <row r="41">
      <c r="A41" s="11" t="n">
        <v>46262</v>
      </c>
      <c r="B41" s="10" t="inlineStr">
        <is>
          <t>THE MARKETING SHIFT 2026 in TOKYO / REHATCH株式会社</t>
        </is>
      </c>
      <c r="C41" s="10" t="inlineStr">
        <is>
          <t>REHATCH株式会社</t>
        </is>
      </c>
      <c r="D41" s="10" t="inlineStr">
        <is>
          <t>Peatix</t>
        </is>
      </c>
      <c r="E41" s="10" t="inlineStr">
        <is>
          <t>会場+オンライン</t>
        </is>
      </c>
      <c r="F41" s="10" t="inlineStr">
        <is>
          <t>生産管理・製造・SCM</t>
        </is>
      </c>
      <c r="G41" s="10" t="n"/>
      <c r="H41" s="15" t="inlineStr">
        <is>
          <t>https://peatix.com/event/5112256</t>
        </is>
      </c>
      <c r="I41" s="10" t="inlineStr">
        <is>
          <t>2026年8月28日(金)18:30-22:00（PR TIMES等で確認）経営者・CMO・マーケター向け、マーケティングAI OS「ENSOR」正式リリース、無料</t>
        </is>
      </c>
    </row>
    <row r="42">
      <c r="A42" s="11" t="n">
        <v>46266</v>
      </c>
      <c r="B42" s="10" t="inlineStr">
        <is>
          <t>【国内外の大手企業トップリーダーが集結】三菱UFJ・NTTデータ・フジクラ・Google・外資系コンサルなど語る、AI時代の「勝ち組の条件」</t>
        </is>
      </c>
      <c r="C42" s="10" t="inlineStr">
        <is>
          <t>日経BP</t>
        </is>
      </c>
      <c r="D42" s="10" t="inlineStr">
        <is>
          <t>Peatix</t>
        </is>
      </c>
      <c r="E42" s="10" t="inlineStr">
        <is>
          <t>ハイブリッド</t>
        </is>
      </c>
      <c r="F42" s="10" t="inlineStr">
        <is>
          <t>技術・AI全般</t>
        </is>
      </c>
      <c r="G42" s="10" t="n"/>
      <c r="H42" s="15" t="inlineStr">
        <is>
          <t>https://peatix.com/event/5142487</t>
        </is>
      </c>
      <c r="I42" s="10" t="inlineStr">
        <is>
          <t>AIリーダーズ会議 2026 Autumn。9月1日9:30-18:10・2日9:30-17:40、無料事前登録（日経BP等の告知で確認）</t>
        </is>
      </c>
    </row>
    <row r="43">
      <c r="A43" s="11" t="n">
        <v>46267</v>
      </c>
      <c r="B43" s="10" t="inlineStr">
        <is>
          <t>【好評につき再放送】NECが実践するSFA×AIによる営業組織変革</t>
        </is>
      </c>
      <c r="C43" s="10" t="inlineStr">
        <is>
          <t>株式会社ナレッジワーク</t>
        </is>
      </c>
      <c r="D43" s="10" t="inlineStr">
        <is>
          <t>ビジネス+IT</t>
        </is>
      </c>
      <c r="E43" s="10" t="inlineStr">
        <is>
          <t>online</t>
        </is>
      </c>
      <c r="F43" s="10" t="inlineStr">
        <is>
          <t>営業・マーケ・CS</t>
        </is>
      </c>
      <c r="G43" s="10" t="n"/>
      <c r="H43" s="15" t="inlineStr">
        <is>
          <t>https://www.sbbit.jp/eventinfo/90088</t>
        </is>
      </c>
      <c r="I43" s="10" t="inlineStr">
        <is>
          <t>大手企業の営業組織では、SFAの入力負荷や商談ナレッジの属人化が長年の課題となっています。特に組織規模が大きいほど、ハイパフォーマーのノウハウが組織全体に広がらず、PoC（概念実証）から全社展開へのロードマップが描けないといった壁に直面しがちです。 NECデジタルワークプレイス統括部では、SFAとAI商談記録を連携させ、1,000名規模での全社展開に向けた取り組みを推進しています。 AI商談記録の導入により、1会議あたり約25分の工数削</t>
        </is>
      </c>
    </row>
    <row r="44">
      <c r="A44" s="11" t="n">
        <v>46268</v>
      </c>
      <c r="B44" s="10" t="inlineStr">
        <is>
          <t>AI時代の設計・製造・全体最適を実現する DX戦略セミナー</t>
        </is>
      </c>
      <c r="C44" s="10" t="inlineStr">
        <is>
          <t>SBクリエイティブ株式会社（ビジネス＋IT）</t>
        </is>
      </c>
      <c r="D44" s="10" t="inlineStr">
        <is>
          <t>ビジネス+IT</t>
        </is>
      </c>
      <c r="E44" s="10" t="inlineStr">
        <is>
          <t>offline</t>
        </is>
      </c>
      <c r="F44" s="10" t="inlineStr">
        <is>
          <t>生産管理・製造・SCM</t>
        </is>
      </c>
      <c r="G44" s="10" t="n"/>
      <c r="H44" s="15" t="inlineStr">
        <is>
          <t>https://www.sbbit.jp/eventinfo/89872</t>
        </is>
      </c>
      <c r="I44" s="10" t="inlineStr">
        <is>
          <t>本セミナーでは、「2026年版ものづくり白書」を手掛かりに、日本の製造業が直面する人手不足や不確実性、生産性向上ニーズにどう向き合うかを整理します。 政策動向と先進企業事例を踏まえ、設計から製造・経営までをつなぐデータ基盤、AI・生成AI活用、経済安全保障対応を含むDX戦略と具体的な実践シナリオを提示し、持続的成長と競争力強化への道筋を示します。</t>
        </is>
      </c>
    </row>
    <row r="45">
      <c r="A45" s="11" t="n">
        <v>46268</v>
      </c>
      <c r="B45" s="10" t="inlineStr">
        <is>
          <t>SAP Transformation Excellence Tour Osaka</t>
        </is>
      </c>
      <c r="C45" s="10" t="inlineStr">
        <is>
          <t>SAPジャパン株式会社</t>
        </is>
      </c>
      <c r="D45" s="10" t="inlineStr">
        <is>
          <t>ビジネス+IT</t>
        </is>
      </c>
      <c r="E45" s="10" t="inlineStr">
        <is>
          <t>offline</t>
        </is>
      </c>
      <c r="F45" s="10" t="inlineStr">
        <is>
          <t>生産性向上・業務効率化</t>
        </is>
      </c>
      <c r="G45" s="10" t="n"/>
      <c r="H45" s="15" t="inlineStr">
        <is>
          <t>https://www.sbbit.jp/eventinfo/89844</t>
        </is>
      </c>
      <c r="I45" s="10" t="inlineStr">
        <is>
          <t>ビジネス変革を成功させるには、実行可能な戦略、ビジネスとITの統一されたビジョン、そして具体的な成果の創出への注力が必要です。SAP Transformation Excellence Tour Osakaでは、ビジネス変革の成功における、新たな視点を提示します。 プロセスエクセレンス、エンタープライズアーキテクチャ、デジタルアドプションを組み合わせ、真に包括的かつ継続的なビジネス変革を実現する革新的な方法についてご提案します。ビジネス</t>
        </is>
      </c>
    </row>
    <row r="46">
      <c r="A46" s="11" t="n">
        <v>46272</v>
      </c>
      <c r="B46" s="10" t="inlineStr">
        <is>
          <t>その生成AI、「効率化」だけに使っていませんか。——組織で「自分たちの答え」を生み出す使い方を、複雑系研究30年・田原真人と考える【企業の人材開発・組織開発・新規事業の方へ｜無料オンライン60分】</t>
        </is>
      </c>
      <c r="C46" s="10" t="inlineStr">
        <is>
          <t>岸本渉(Oxymoron)</t>
        </is>
      </c>
      <c r="D46" s="10" t="inlineStr">
        <is>
          <t>Peatix</t>
        </is>
      </c>
      <c r="E46" s="10" t="inlineStr">
        <is>
          <t>オンライン(Zoom)</t>
        </is>
      </c>
      <c r="F46" s="10" t="inlineStr">
        <is>
          <t>生産性向上・業務効率化</t>
        </is>
      </c>
      <c r="G46" s="10" t="n"/>
      <c r="H46" s="15" t="inlineStr">
        <is>
          <t>https://peatix.com/event/5149893</t>
        </is>
      </c>
      <c r="I46" s="10" t="inlineStr">
        <is>
          <t>2026年9月7日(月)19:00-20:00 Zoom 無料 定員50名</t>
        </is>
      </c>
    </row>
    <row r="47">
      <c r="A47" s="11" t="n">
        <v>46273</v>
      </c>
      <c r="B47" s="10" t="inlineStr">
        <is>
          <t>生成AIサミット Vol.8 〜業務効率化の「その先」へ：生成AIで切り開くビジネスの未来〜</t>
        </is>
      </c>
      <c r="C47" s="10" t="n"/>
      <c r="D47" s="10" t="inlineStr">
        <is>
          <t>Peatix</t>
        </is>
      </c>
      <c r="E47" s="10" t="inlineStr">
        <is>
          <t>不明</t>
        </is>
      </c>
      <c r="F47" s="10" t="inlineStr">
        <is>
          <t>生産性向上・業務効率化</t>
        </is>
      </c>
      <c r="G47" s="10" t="n"/>
      <c r="H47" s="15" t="inlineStr">
        <is>
          <t>https://peatix.com/event/4918327</t>
        </is>
      </c>
      <c r="I47" s="10" t="inlineStr">
        <is>
          <t>2026年9月8-9日 生成AIを社内生産性ツールから事業変革へ</t>
        </is>
      </c>
    </row>
    <row r="48">
      <c r="A48" s="11" t="n">
        <v>46274</v>
      </c>
      <c r="B48" s="10" t="inlineStr">
        <is>
          <t>【9/9(水)開催】AIの深化と科学への応用へ。AI-Science Nexusセンター（AISNeC）設立シンポジウム開催のご案内</t>
        </is>
      </c>
      <c r="C48" s="10" t="inlineStr">
        <is>
          <t>東京科学大学 AISNeC</t>
        </is>
      </c>
      <c r="D48" s="10" t="inlineStr">
        <is>
          <t>Peatix</t>
        </is>
      </c>
      <c r="E48" s="10" t="inlineStr">
        <is>
          <t>会場</t>
        </is>
      </c>
      <c r="F48" s="10" t="inlineStr">
        <is>
          <t>営業・マーケ・CS</t>
        </is>
      </c>
      <c r="G48" s="10" t="n"/>
      <c r="H48" s="15" t="inlineStr">
        <is>
          <t>https://peatix.com/event/5078782</t>
        </is>
      </c>
      <c r="I48" s="10" t="inlineStr">
        <is>
          <t>2026年9月9日(水)13:00-17:10 懇親会17:30-19:30</t>
        </is>
      </c>
    </row>
    <row r="49">
      <c r="A49" s="11" t="n">
        <v>46275</v>
      </c>
      <c r="B49" s="10" t="inlineStr">
        <is>
          <t>WalkMe on Tour Tokyo 2026</t>
        </is>
      </c>
      <c r="C49" s="10" t="inlineStr">
        <is>
          <t>WalkMe株式会社</t>
        </is>
      </c>
      <c r="D49" s="10" t="inlineStr">
        <is>
          <t>ビジネス+IT</t>
        </is>
      </c>
      <c r="E49" s="10" t="inlineStr">
        <is>
          <t>offline</t>
        </is>
      </c>
      <c r="F49" s="10" t="inlineStr">
        <is>
          <t>生産性向上・業務効率化</t>
        </is>
      </c>
      <c r="G49" s="10" t="n"/>
      <c r="H49" s="15" t="inlineStr">
        <is>
          <t>https://www.sbbit.jp/eventinfo/89612</t>
        </is>
      </c>
      <c r="I49" s="10" t="inlineStr">
        <is>
          <t>生成AIに大きな価値を期待するCIOは95%にのぼる一方、AIを使いこなして業務を大きく変革できている従業員はわずか8%にとどまります。 背景には、多くのAIが業務の文脈を読み取れず、アプリケーションを横断できず、実際の業務を実行できず、成果を証明できない課題があります。 WalkMeは、企業のAI活用を成功に導く不可欠なレイヤーとして、リアルタイムの文脈とアプリ横断の実行力を与え、AI投資を確かな成果に変えるAIアダプションを実現しま</t>
        </is>
      </c>
    </row>
    <row r="50">
      <c r="A50" s="11" t="n">
        <v>46276</v>
      </c>
      <c r="B50" s="10" t="inlineStr">
        <is>
          <t>NiCE World Tokyo 2026</t>
        </is>
      </c>
      <c r="C50" s="10" t="inlineStr">
        <is>
          <t>ナイスジャパン株式会社</t>
        </is>
      </c>
      <c r="D50" s="10" t="inlineStr">
        <is>
          <t>ビジネス+IT</t>
        </is>
      </c>
      <c r="E50" s="10" t="inlineStr">
        <is>
          <t>offline</t>
        </is>
      </c>
      <c r="F50" s="10" t="inlineStr">
        <is>
          <t>営業・マーケ・CS</t>
        </is>
      </c>
      <c r="G50" s="10" t="n"/>
      <c r="H50" s="15" t="inlineStr">
        <is>
          <t>https://www.sbbit.jp/eventinfo/90023</t>
        </is>
      </c>
      <c r="I50" s="10" t="inlineStr">
        <is>
          <t>NiCE World Tokyoは、Interactionsで培われた革新性、知見、そしてコミュニティの価値を、さらにスケールアップさせたイベントです。 CXリーダーと共に、最先端テクノロジーを体感し、実際の成果につながるAI戦略を発見してください。 究極のCX体験へ、ぜひご参加ください！ NiCE World Tokyo 2026では、あらゆるセッションや体験が、新たな発想と実践的な成果につながるよう設計されています。日本各地で開催さ</t>
        </is>
      </c>
    </row>
    <row r="51">
      <c r="A51" s="11" t="n">
        <v>46276</v>
      </c>
      <c r="B51" s="10" t="inlineStr">
        <is>
          <t>Salesforceを”使うだけ”から”成果を出す”へ</t>
        </is>
      </c>
      <c r="C51" s="10" t="inlineStr">
        <is>
          <t>日本アイ・ビー・エム株式会社</t>
        </is>
      </c>
      <c r="D51" s="10" t="inlineStr">
        <is>
          <t>ビジネス+IT</t>
        </is>
      </c>
      <c r="E51" s="10" t="inlineStr">
        <is>
          <t>online</t>
        </is>
      </c>
      <c r="F51" s="10" t="inlineStr">
        <is>
          <t>営業・マーケ・CS</t>
        </is>
      </c>
      <c r="G51" s="10" t="n"/>
      <c r="H51" s="15" t="inlineStr">
        <is>
          <t>https://www.sbbit.jp/eventinfo/89838</t>
        </is>
      </c>
      <c r="I51" s="10" t="inlineStr">
        <is>
          <t>AI活用への関心が高まる一方で、「何から着手すべきかわからない」「PoCで止まってしまい業務成果につながらない」「Salesforceを導入していても十分に使いこなせていない」といった課題を抱える企業は少なくありません。特に営業・顧客対応・業務オペレーションの現場では、限られた人員の中で生産性向上とROI最大化の両立が求められており、AIをどう業務に組み込み、実行・定着させるかが重要なテーマになっています。 本セミナーでは、IBMがどの</t>
        </is>
      </c>
    </row>
    <row r="52">
      <c r="A52" s="11" t="n">
        <v>46279</v>
      </c>
      <c r="B52" s="10" t="inlineStr">
        <is>
          <t>Anaplan Connect Tokyo 2026</t>
        </is>
      </c>
      <c r="C52" s="10" t="inlineStr">
        <is>
          <t>Anaplan ジャパン株式会社</t>
        </is>
      </c>
      <c r="D52" s="10" t="inlineStr">
        <is>
          <t>ビジネス+IT</t>
        </is>
      </c>
      <c r="E52" s="10" t="inlineStr">
        <is>
          <t>offline</t>
        </is>
      </c>
      <c r="F52" s="10" t="inlineStr">
        <is>
          <t>営業・マーケ・CS</t>
        </is>
      </c>
      <c r="G52" s="10" t="n"/>
      <c r="H52" s="15" t="inlineStr">
        <is>
          <t>https://www.sbbit.jp/eventinfo/89804</t>
        </is>
      </c>
      <c r="I52" s="10" t="inlineStr">
        <is>
          <t>急速に変化する市場環境やサプライチェーンの不確実性により、従来の計画手法では迅速な意思決定が難しくなっています。部門間の連携不足やデータの分断が、成長機会の損失につながっています。 多くの企業が同じ悩みを抱えています。売上予測や需給計画の精度に限界を感じ、経営資源の最適配分やリスクに備えた柔軟な対応に不安を持つのは決して一社だけではありません。 先進企業の導入事例や専門家の洞察を通じて、AIを活用したシナリオ プランニングが意思決定をど</t>
        </is>
      </c>
    </row>
    <row r="53">
      <c r="A53" s="11" t="n">
        <v>46281</v>
      </c>
      <c r="B53" s="10" t="inlineStr">
        <is>
          <t>PERSOL AI CONFERENCE 2026</t>
        </is>
      </c>
      <c r="C53" s="10" t="inlineStr">
        <is>
          <t>パーソルホールディングス株式会社</t>
        </is>
      </c>
      <c r="D53" s="10" t="inlineStr">
        <is>
          <t>ビジネス+IT</t>
        </is>
      </c>
      <c r="E53" s="10" t="inlineStr">
        <is>
          <t>online</t>
        </is>
      </c>
      <c r="F53" s="10" t="inlineStr">
        <is>
          <t>営業・マーケ・CS</t>
        </is>
      </c>
      <c r="G53" s="10" t="n"/>
      <c r="H53" s="15" t="inlineStr">
        <is>
          <t>https://www.sbbit.jp/eventinfo/89954</t>
        </is>
      </c>
      <c r="I53" s="10" t="inlineStr">
        <is>
          <t>AI活用は、現場での試行から全社戦略へ。 投資判断や業務再設計、人材育成、そして組織づくりまで、あらゆるレイヤーでAIを前提とした意思決定が求められる時代に入りました。 本カンファレンスでは、有識者や企業変革の最前線に立つCXOの視点から、AX時代に求められる意思決定と実践のヒントを探ります。 AIは単なる業務効率化のツールから、経営の意思決定・事業モデル・顧客価値そのものを再定義する力へと進化しました。いま企業に求められるのは「AI人</t>
        </is>
      </c>
    </row>
    <row r="54">
      <c r="A54" s="11" t="n">
        <v>46281</v>
      </c>
      <c r="B54" s="10" t="inlineStr">
        <is>
          <t>企業内エージェンティックAI基盤構築実践講座</t>
        </is>
      </c>
      <c r="C54" s="10" t="inlineStr">
        <is>
          <t>SBクリエイティブ株式会社（ビジネス＋IT）</t>
        </is>
      </c>
      <c r="D54" s="10" t="inlineStr">
        <is>
          <t>ビジネス+IT</t>
        </is>
      </c>
      <c r="E54" s="10" t="inlineStr">
        <is>
          <t>hybrid</t>
        </is>
      </c>
      <c r="F54" s="10" t="inlineStr">
        <is>
          <t>生産性向上・業務効率化</t>
        </is>
      </c>
      <c r="G54" s="10" t="n"/>
      <c r="H54" s="15" t="inlineStr">
        <is>
          <t>https://www.sbbit.jp/eventinfo/89962</t>
        </is>
      </c>
      <c r="I54" s="10" t="inlineStr">
        <is>
          <t>日時： 2026年9月16日(水)15:00～18:00 会場： 住友不動産虎ノ門タワー23F（SBクリエイティブ株式会社） 定員： 会場 30名程度 ／ オンライン受講 無制限 受講料： 会場受講 33,000円（税込） ／ オンライン受講 22,000円（税込） 主催： SBクリエイティブ株式会社（ビジネス＋IT）</t>
        </is>
      </c>
    </row>
    <row r="55">
      <c r="A55" s="11" t="n">
        <v>46282</v>
      </c>
      <c r="B55" s="10" t="inlineStr">
        <is>
          <t>Seizo Trend 製造DX&amp;AI-DAY ＠Industry Forum 2026 秋</t>
        </is>
      </c>
      <c r="C55" s="10" t="inlineStr">
        <is>
          <t>SBクリエイティブ株式会社（ビジネス＋IT）</t>
        </is>
      </c>
      <c r="D55" s="10" t="inlineStr">
        <is>
          <t>ビジネス+IT</t>
        </is>
      </c>
      <c r="E55" s="10" t="inlineStr">
        <is>
          <t>online</t>
        </is>
      </c>
      <c r="F55" s="10" t="inlineStr">
        <is>
          <t>生産管理・製造・SCM</t>
        </is>
      </c>
      <c r="G55" s="10" t="n"/>
      <c r="H55" s="15" t="inlineStr">
        <is>
          <t>https://www.sbbit.jp/eventinfo/89590</t>
        </is>
      </c>
      <c r="I55" s="10" t="inlineStr">
        <is>
          <t>緊迫する世界情勢による資源高、長引くインフレは日本経済を直撃しています。長らく日本経済を牽引してきた製造業は、国際競争の激化、サプライチェーンのリスク、デジタル化の遅れ、カーボンニュートラル対応など新たな課題などに成長を阻まれ、競争力を失いつつあります。日本のものづくりは現場熟練工や独自製造技術による個別最適の強みを持ちながら、データの活用やデジタル標準化の部分で遅れをとっており、製造DXによるサプライチェーンの強靭化やデジタルによる新</t>
        </is>
      </c>
    </row>
    <row r="56">
      <c r="A56" s="11" t="n">
        <v>46282</v>
      </c>
      <c r="B56" s="10" t="inlineStr">
        <is>
          <t>Zendesk Showcase Tokyo 2026</t>
        </is>
      </c>
      <c r="C56" s="10" t="inlineStr">
        <is>
          <t>合同会社Zendesk</t>
        </is>
      </c>
      <c r="D56" s="10" t="inlineStr">
        <is>
          <t>ビジネス+IT</t>
        </is>
      </c>
      <c r="E56" s="10" t="inlineStr">
        <is>
          <t>offline</t>
        </is>
      </c>
      <c r="F56" s="10" t="inlineStr">
        <is>
          <t>営業・マーケ・CS</t>
        </is>
      </c>
      <c r="G56" s="10" t="n"/>
      <c r="H56" s="15" t="inlineStr">
        <is>
          <t>https://www.sbbit.jp/eventinfo/89878</t>
        </is>
      </c>
      <c r="I56" s="10" t="inlineStr">
        <is>
          <t>今年のShowcase Tokyoは、ユースケースのショーケース（発表会）と言うべきプログラムを満載してお届けいたします。過去最大数のお客様事例を目玉としながら、最新機能のご紹介、使い方をご自分のものにしていただくワークショップといった具体的な内容を通して、貴社のCX/EX戦略や、現場の利用シーンに直接お役立ていただける、濃厚な持ち帰りのある場を目指しています。 顧客体験（CX）・従業員体験（EX）に特化したZendeskのAIとは何物</t>
        </is>
      </c>
    </row>
    <row r="57">
      <c r="A57" s="11" t="n">
        <v>46283</v>
      </c>
      <c r="B57" s="10" t="inlineStr">
        <is>
          <t>ついに始まったChatGPT広告 有効な運用、AIO・コンテンツ対策から検証（開始は18:30です！）</t>
        </is>
      </c>
      <c r="C57" s="10" t="n"/>
      <c r="D57" s="10" t="inlineStr">
        <is>
          <t>Peatix</t>
        </is>
      </c>
      <c r="E57" s="10" t="inlineStr">
        <is>
          <t>会場+オンライン</t>
        </is>
      </c>
      <c r="F57" s="10" t="inlineStr">
        <is>
          <t>営業・マーケ・CS</t>
        </is>
      </c>
      <c r="G57" s="10" t="n"/>
      <c r="H57" s="15" t="inlineStr">
        <is>
          <t>https://peatix.com/event/5137202</t>
        </is>
      </c>
      <c r="I57" s="10" t="inlineStr">
        <is>
          <t>2026年9月18日(金)18:30 会場・オンライン参加</t>
        </is>
      </c>
    </row>
    <row r="58">
      <c r="A58" s="11" t="n">
        <v>46286</v>
      </c>
      <c r="B58" s="10" t="inlineStr">
        <is>
          <t>動画生成AIの今とこれから 〜STUDIO異次元が語る活用動向と、海外で感じたAI事情〜</t>
        </is>
      </c>
      <c r="C58" s="10" t="n"/>
      <c r="D58" s="10" t="inlineStr">
        <is>
          <t>Peatix</t>
        </is>
      </c>
      <c r="E58" s="10" t="inlineStr">
        <is>
          <t>オンライン(Zoom)</t>
        </is>
      </c>
      <c r="F58" s="10" t="inlineStr">
        <is>
          <t>技術・AI全般</t>
        </is>
      </c>
      <c r="G58" s="10" t="n"/>
      <c r="H58" s="15" t="inlineStr">
        <is>
          <t>https://peatix.com/event/5174714</t>
        </is>
      </c>
      <c r="I58" s="10" t="inlineStr">
        <is>
          <t>2026年9月21日(月)21:00-22:00 Zoom</t>
        </is>
      </c>
    </row>
    <row r="59">
      <c r="A59" s="11" t="n">
        <v>46289</v>
      </c>
      <c r="B59" s="10" t="inlineStr">
        <is>
          <t>なぜ、AI活用だけでは製造業の開発期間を短縮できないのか？</t>
        </is>
      </c>
      <c r="C59" s="10" t="inlineStr">
        <is>
          <t>SCSK株式会社（協力：マジセミ株式会社）</t>
        </is>
      </c>
      <c r="D59" s="10" t="inlineStr">
        <is>
          <t>マジセミ</t>
        </is>
      </c>
      <c r="E59" s="10" t="inlineStr">
        <is>
          <t>online</t>
        </is>
      </c>
      <c r="F59" s="10" t="inlineStr">
        <is>
          <t>生産管理・製造・SCM</t>
        </is>
      </c>
      <c r="G59" s="10" t="n"/>
      <c r="H59" s="15" t="inlineStr">
        <is>
          <t>https://prtimes.jp/main/html/rd/p/000005647.000054842.html</t>
        </is>
      </c>
      <c r="I59" s="10" t="inlineStr">
        <is>
          <t>■ 製造業で求められる開発期間の短縮 市場ニーズの多様化や製品ライフサイクルの短期化を背景に、製造業では設計・開発期間のさらなる短縮が求められています。こうした中、後工程での手戻りを抑えるため、CAEをはじめとするデジタル技術を活用し、設計・開発の早い段階から性能や品質、製造性を検討・検証する「フロントローディング」の重要性が高まっています。 一方で、上流工程で高度な検討・検証を行うには、専門的な知識やスキルが求められる場面も少なくあり</t>
        </is>
      </c>
    </row>
    <row r="60">
      <c r="A60" s="11" t="n">
        <v>46291</v>
      </c>
      <c r="B60" s="10" t="inlineStr">
        <is>
          <t>9月26日(土)ITコーディネータ京都 経営セミナー：AIで伸びる会社、止まる会社 ― その差は社長の関与にある</t>
        </is>
      </c>
      <c r="C60" s="10" t="inlineStr">
        <is>
          <t>ITコーディネータ京都</t>
        </is>
      </c>
      <c r="D60" s="10" t="inlineStr">
        <is>
          <t>Peatix</t>
        </is>
      </c>
      <c r="E60" s="10" t="inlineStr">
        <is>
          <t>ハイブリッド</t>
        </is>
      </c>
      <c r="F60" s="10" t="inlineStr">
        <is>
          <t>生産性向上・業務効率化</t>
        </is>
      </c>
      <c r="G60" s="10" t="n"/>
      <c r="H60" s="15" t="inlineStr">
        <is>
          <t>https://peatix.com/event/5114140</t>
        </is>
      </c>
      <c r="I60" s="10" t="inlineStr">
        <is>
          <t>2026年9月26日(土)14:00-16:00 無料</t>
        </is>
      </c>
    </row>
    <row r="61">
      <c r="A61" s="11" t="n">
        <v>46291</v>
      </c>
      <c r="B61" s="10" t="inlineStr">
        <is>
          <t>【京都橘大学】公開講座「生成AI✕著作権 ─アニメの現場を参考に「声の著作権」を考える－【申込みチケット】</t>
        </is>
      </c>
      <c r="C61" s="10" t="inlineStr">
        <is>
          <t>京都橘大学</t>
        </is>
      </c>
      <c r="D61" s="10" t="inlineStr">
        <is>
          <t>Peatix</t>
        </is>
      </c>
      <c r="E61" s="10" t="inlineStr">
        <is>
          <t>会場</t>
        </is>
      </c>
      <c r="F61" s="10" t="inlineStr">
        <is>
          <t>技術・AI全般</t>
        </is>
      </c>
      <c r="G61" s="10" t="n"/>
      <c r="H61" s="15" t="inlineStr">
        <is>
          <t>https://peatix.com/event/5116346</t>
        </is>
      </c>
      <c r="I61" s="10" t="inlineStr">
        <is>
          <t>2026年9月26日(土)13:20-15:00</t>
        </is>
      </c>
    </row>
    <row r="62">
      <c r="A62" s="11" t="n">
        <v>46293</v>
      </c>
      <c r="B62" s="10" t="inlineStr">
        <is>
          <t>【Manufacturing Innovation】 世界のロボット技術を地域産業へ―自動化・省人化から考える海外企業との共創―</t>
        </is>
      </c>
      <c r="C62" s="10" t="inlineStr">
        <is>
          <t>Invest in Aichi-Nagoya Acceleration Initiative</t>
        </is>
      </c>
      <c r="D62" s="10" t="inlineStr">
        <is>
          <t>Peatix</t>
        </is>
      </c>
      <c r="E62" s="10" t="inlineStr">
        <is>
          <t>会場</t>
        </is>
      </c>
      <c r="F62" s="10" t="inlineStr">
        <is>
          <t>生産管理・製造・SCM</t>
        </is>
      </c>
      <c r="G62" s="10" t="n"/>
      <c r="H62" s="15" t="inlineStr">
        <is>
          <t>https://peatix.com/event/5114821</t>
        </is>
      </c>
      <c r="I62" s="10" t="inlineStr">
        <is>
          <t>2026年9月28日(月)15:00-16:15</t>
        </is>
      </c>
    </row>
    <row r="63">
      <c r="A63" s="11" t="n">
        <v>46295</v>
      </c>
      <c r="B63" s="10" t="inlineStr">
        <is>
          <t>AI活用で年間200万円節約！人材系SaaS内製化の進め方【無料オンラインセミナー】</t>
        </is>
      </c>
      <c r="C63" s="10" t="n"/>
      <c r="D63" s="10" t="inlineStr">
        <is>
          <t>Peatix</t>
        </is>
      </c>
      <c r="E63" s="10" t="inlineStr">
        <is>
          <t>オンライン</t>
        </is>
      </c>
      <c r="F63" s="10" t="inlineStr">
        <is>
          <t>生産性向上・業務効率化</t>
        </is>
      </c>
      <c r="G63" s="10" t="n"/>
      <c r="H63" s="15" t="inlineStr">
        <is>
          <t>https://peatix.com/event/5190409</t>
        </is>
      </c>
      <c r="I63" s="10" t="inlineStr">
        <is>
          <t>2026年9月30日12:00-12:45 オンライン無料 中小・中堅企業の経営者・管理部門向け</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2026-09-30T03:10:53Z</dcterms:created>
  <dcterms:modified xsi:type="dcterms:W3CDTF">2026-09-30T03:10:54Z</dcterms:modified>
</cp:coreProperties>
</file>