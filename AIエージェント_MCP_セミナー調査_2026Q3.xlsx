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セミナー一覧" sheetId="2" state="visible" r:id="rId2"/>
    <sheet name="参考（関連弱・未検証）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6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1" pivotButton="0" quotePrefix="0" xfId="0"/>
    <xf numFmtId="3" fontId="1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165" fontId="1" fillId="0" borderId="1" applyAlignment="1" pivotButton="0" quotePrefix="0" xfId="0">
      <alignment vertical="top" wrapText="1"/>
    </xf>
    <xf numFmtId="3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eminars" displayName="Seminars" ref="A1:S56" headerRowCount="1">
  <autoFilter ref="A1:S56"/>
  <tableColumns count="19">
    <tableColumn id="1" name="No"/>
    <tableColumn id="2" name="開催日（開始）"/>
    <tableColumn id="3" name="開催日（終了）"/>
    <tableColumn id="4" name="開催月"/>
    <tableColumn id="5" name="セミナー名"/>
    <tableColumn id="6" name="主催者"/>
    <tableColumn id="7" name="共催・登壇企業"/>
    <tableColumn id="8" name="形式"/>
    <tableColumn id="9" name="会場・配信"/>
    <tableColumn id="10" name="テーマ分類"/>
    <tableColumn id="11" name="AIエージェント/MCP"/>
    <tableColumn id="12" name="概要"/>
    <tableColumn id="13" name="集客数"/>
    <tableColumn id="14" name="集客数の種別"/>
    <tableColumn id="15" name="集客数の補足"/>
    <tableColumn id="16" name="ソースURL"/>
    <tableColumn id="17" name="補足URL"/>
    <tableColumn id="18" name="情報確度"/>
    <tableColumn id="19" name="備考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anufacturing-world.jp/tokyo/ja-jp/previous/visitorcount.html" TargetMode="External" Id="rId1" /><Relationship Type="http://schemas.openxmlformats.org/officeDocument/2006/relationships/hyperlink" Target="https://www.jfe-systems.com/press/2026/20260616_news.html" TargetMode="External" Id="rId2" /><Relationship Type="http://schemas.openxmlformats.org/officeDocument/2006/relationships/hyperlink" Target="https://events.nikkeibp.co.jp/event/2026/nxt0709/" TargetMode="External" Id="rId3" /><Relationship Type="http://schemas.openxmlformats.org/officeDocument/2006/relationships/hyperlink" Target="https://www.softbank.jp/corp/news/press/sbkk/2026/20260518_01/" TargetMode="External" Id="rId4" /><Relationship Type="http://schemas.openxmlformats.org/officeDocument/2006/relationships/hyperlink" Target="https://k-tai.watch.impress.co.jp/docs/news/2109522.html" TargetMode="External" Id="rId5" /><Relationship Type="http://schemas.openxmlformats.org/officeDocument/2006/relationships/hyperlink" Target="https://prtimes.jp/main/html/rd/p/000000006.000163625.html" TargetMode="External" Id="rId6" /><Relationship Type="http://schemas.openxmlformats.org/officeDocument/2006/relationships/hyperlink" Target="https://cloud.watch.impress.co.jp/docs/event/2125529.html" TargetMode="External" Id="rId7" /><Relationship Type="http://schemas.openxmlformats.org/officeDocument/2006/relationships/hyperlink" Target="https://jma-news.com/archives/7037" TargetMode="External" Id="rId8" /><Relationship Type="http://schemas.openxmlformats.org/officeDocument/2006/relationships/hyperlink" Target="https://www.mssf.or.jp/news_r08004/" TargetMode="External" Id="rId9" /><Relationship Type="http://schemas.openxmlformats.org/officeDocument/2006/relationships/hyperlink" Target="https://prtimes.jp/main/html/rd/p/000000017.000122726.html" TargetMode="External" Id="rId10" /><Relationship Type="http://schemas.openxmlformats.org/officeDocument/2006/relationships/hyperlink" Target="https://jp.ub-speeda.com/seminar/20260723_mcp/" TargetMode="External" Id="rId11" /><Relationship Type="http://schemas.openxmlformats.org/officeDocument/2006/relationships/hyperlink" Target="https://prtimes.jp/main/html/rd/p/000000132.000155740.html" TargetMode="External" Id="rId12" /><Relationship Type="http://schemas.openxmlformats.org/officeDocument/2006/relationships/hyperlink" Target="https://prtimes.jp/main/html/rd/p/000000117.000155740.html" TargetMode="External" Id="rId13" /><Relationship Type="http://schemas.openxmlformats.org/officeDocument/2006/relationships/hyperlink" Target="https://www.jaldx.co.jp/news/9369.html" TargetMode="External" Id="rId14" /><Relationship Type="http://schemas.openxmlformats.org/officeDocument/2006/relationships/hyperlink" Target="https://prtimes.jp/main/html/rd/p/000000442.000048939.html" TargetMode="External" Id="rId15" /><Relationship Type="http://schemas.openxmlformats.org/officeDocument/2006/relationships/hyperlink" Target="https://jpn.nec.com/event/260728seizo-cox/index.html" TargetMode="External" Id="rId16" /><Relationship Type="http://schemas.openxmlformats.org/officeDocument/2006/relationships/hyperlink" Target="https://aismiley.co.jp/company_news/20260729webinar/" TargetMode="External" Id="rId17" /><Relationship Type="http://schemas.openxmlformats.org/officeDocument/2006/relationships/hyperlink" Target="https://gais.jp/ai-agent-summit-summer2026/" TargetMode="External" Id="rId18" /><Relationship Type="http://schemas.openxmlformats.org/officeDocument/2006/relationships/hyperlink" Target="https://events.nikkeibp.co.jp/event/2026/nxt0729infra/" TargetMode="External" Id="rId19" /><Relationship Type="http://schemas.openxmlformats.org/officeDocument/2006/relationships/hyperlink" Target="https://ex.ipros.jp/expo/iprosai/" TargetMode="External" Id="rId20" /><Relationship Type="http://schemas.openxmlformats.org/officeDocument/2006/relationships/hyperlink" Target="https://prtimes.jp/main/html/rd/p/000000144.000001332.html" TargetMode="External" Id="rId21" /><Relationship Type="http://schemas.openxmlformats.org/officeDocument/2006/relationships/hyperlink" Target="https://xtech.nikkei.com/atcl/nxt/news/24/03322/" TargetMode="External" Id="rId22" /><Relationship Type="http://schemas.openxmlformats.org/officeDocument/2006/relationships/hyperlink" Target="https://aid.connpass.com/event/392229/" TargetMode="External" Id="rId23" /><Relationship Type="http://schemas.openxmlformats.org/officeDocument/2006/relationships/hyperlink" Target="https://aid.connpass.com/event/392230/" TargetMode="External" Id="rId24" /><Relationship Type="http://schemas.openxmlformats.org/officeDocument/2006/relationships/hyperlink" Target="https://fffff.connpass.com/event/401155/" TargetMode="External" Id="rId25" /><Relationship Type="http://schemas.openxmlformats.org/officeDocument/2006/relationships/hyperlink" Target="https://www.100inc.co.jp/news/20260710-webinar-hubspot-ai-breeze-lab" TargetMode="External" Id="rId26" /><Relationship Type="http://schemas.openxmlformats.org/officeDocument/2006/relationships/hyperlink" Target="https://aconnect.stockmark.co.jp/seminar/20260806/" TargetMode="External" Id="rId27" /><Relationship Type="http://schemas.openxmlformats.org/officeDocument/2006/relationships/hyperlink" Target="https://bizexpo.jp/exhibitions/dx-ai-dxpo-202608" TargetMode="External" Id="rId28" /><Relationship Type="http://schemas.openxmlformats.org/officeDocument/2006/relationships/hyperlink" Target="https://prtimes.jp/main/html/rd/p/000000247.000017704.html" TargetMode="External" Id="rId29" /><Relationship Type="http://schemas.openxmlformats.org/officeDocument/2006/relationships/hyperlink" Target="https://www.chuo-computer.co.jp/news/20260821/" TargetMode="External" Id="rId30" /><Relationship Type="http://schemas.openxmlformats.org/officeDocument/2006/relationships/hyperlink" Target="https://aismiley.co.jp/ai_news/aihaku-sum2026-report02/" TargetMode="External" Id="rId31" /><Relationship Type="http://schemas.openxmlformats.org/officeDocument/2006/relationships/hyperlink" Target="https://www.itic.pref.ibaraki.jp/infolist/seminar_training/info-20260731/" TargetMode="External" Id="rId32" /><Relationship Type="http://schemas.openxmlformats.org/officeDocument/2006/relationships/hyperlink" Target="https://pages2.dentsudigital.co.jp/seminar/20260827/" TargetMode="External" Id="rId33" /><Relationship Type="http://schemas.openxmlformats.org/officeDocument/2006/relationships/hyperlink" Target="https://aid.connpass.com/event/402949/" TargetMode="External" Id="rId34" /><Relationship Type="http://schemas.openxmlformats.org/officeDocument/2006/relationships/hyperlink" Target="https://aismiley.co.jp/ai_news/20260828webinar/" TargetMode="External" Id="rId35" /><Relationship Type="http://schemas.openxmlformats.org/officeDocument/2006/relationships/hyperlink" Target="https://www.freee.co.jp/lp2/freee-advisor-day/" TargetMode="External" Id="rId36" /><Relationship Type="http://schemas.openxmlformats.org/officeDocument/2006/relationships/hyperlink" Target="https://corp.freee.co.jp/news/20260807freee_AIagent&amp;fAH.html" TargetMode="External" Id="rId37" /><Relationship Type="http://schemas.openxmlformats.org/officeDocument/2006/relationships/hyperlink" Target="https://www.techvan.co.jp/news/2026/08/0831_14webcopilotstudio.html" TargetMode="External" Id="rId38" /><Relationship Type="http://schemas.openxmlformats.org/officeDocument/2006/relationships/hyperlink" Target="https://www.100inc.co.jp/news/20260805-event-hubspot-ai-agent-workshop" TargetMode="External" Id="rId39" /><Relationship Type="http://schemas.openxmlformats.org/officeDocument/2006/relationships/hyperlink" Target="https://www.jsug.org/post/schedule-joule-webiner-20260903" TargetMode="External" Id="rId40" /><Relationship Type="http://schemas.openxmlformats.org/officeDocument/2006/relationships/hyperlink" Target="https://f2ff.jp/event/dx-ai" TargetMode="External" Id="rId41" /><Relationship Type="http://schemas.openxmlformats.org/officeDocument/2006/relationships/hyperlink" Target="https://prtimes.jp/main/html/rd/p/000000032.000042640.html" TargetMode="External" Id="rId42" /><Relationship Type="http://schemas.openxmlformats.org/officeDocument/2006/relationships/hyperlink" Target="https://event.shoeisha.jp/mzday" TargetMode="External" Id="rId43" /><Relationship Type="http://schemas.openxmlformats.org/officeDocument/2006/relationships/hyperlink" Target="https://corp.intimatemerger.com/news/20260813_markezinday/" TargetMode="External" Id="rId44" /><Relationship Type="http://schemas.openxmlformats.org/officeDocument/2006/relationships/hyperlink" Target="https://www.logis-tech-tokyo.gr.jp/ltt/report/quick.html" TargetMode="External" Id="rId45" /><Relationship Type="http://schemas.openxmlformats.org/officeDocument/2006/relationships/hyperlink" Target="https://www.logis-tech-tokyo.gr.jp/ltt/seminar/" TargetMode="External" Id="rId46" /><Relationship Type="http://schemas.openxmlformats.org/officeDocument/2006/relationships/hyperlink" Target="https://dxdojo.connpass.com/event/406058/" TargetMode="External" Id="rId47" /><Relationship Type="http://schemas.openxmlformats.org/officeDocument/2006/relationships/hyperlink" Target="https://osaka-driven-dev.connpass.com/event/403631/" TargetMode="External" Id="rId48" /><Relationship Type="http://schemas.openxmlformats.org/officeDocument/2006/relationships/hyperlink" Target="https://www.fiweek.jp/autumn/ja-jp/about/previous/visitorcount.html" TargetMode="External" Id="rId49" /><Relationship Type="http://schemas.openxmlformats.org/officeDocument/2006/relationships/hyperlink" Target="https://asiaquest.connpass.com/event/404823/" TargetMode="External" Id="rId50" /><Relationship Type="http://schemas.openxmlformats.org/officeDocument/2006/relationships/hyperlink" Target="https://salesnow.jp/seminars/58/" TargetMode="External" Id="rId51" /><Relationship Type="http://schemas.openxmlformats.org/officeDocument/2006/relationships/hyperlink" Target="https://techplay.jp/event/999720" TargetMode="External" Id="rId52" /><Relationship Type="http://schemas.openxmlformats.org/officeDocument/2006/relationships/hyperlink" Target="https://media-innovation.jp/article/2026/07/06/143478.html" TargetMode="External" Id="rId53" /><Relationship Type="http://schemas.openxmlformats.org/officeDocument/2006/relationships/hyperlink" Target="https://www.publickey1.jp/blog/26/anthropicmcpmcpagntconmcpcon_japan_2026.html" TargetMode="External" Id="rId54" /><Relationship Type="http://schemas.openxmlformats.org/officeDocument/2006/relationships/hyperlink" Target="https://gihyo.jp/article/2026/09/aaif-mcp-a2a-briefing" TargetMode="External" Id="rId55" /><Relationship Type="http://schemas.openxmlformats.org/officeDocument/2006/relationships/hyperlink" Target="https://ai2-jp.com/news/2026/07/17/20055/" TargetMode="External" Id="rId56" /><Relationship Type="http://schemas.openxmlformats.org/officeDocument/2006/relationships/hyperlink" Target="https://prtimes.jp/main/html/rd/p/000002092.000022608.html" TargetMode="External" Id="rId57" /><Relationship Type="http://schemas.openxmlformats.org/officeDocument/2006/relationships/hyperlink" Target="https://www.salesforce.com/jp/events/webinars/no-regret-crm/" TargetMode="External" Id="rId58" /><Relationship Type="http://schemas.openxmlformats.org/officeDocument/2006/relationships/hyperlink" Target="https://www.salesforce.com/jp/events/webinars/ontology-is-buzzword/" TargetMode="External" Id="rId59" /><Relationship Type="http://schemas.openxmlformats.org/officeDocument/2006/relationships/hyperlink" Target="https://techplay.jp/event/999348" TargetMode="External" Id="rId60" /><Relationship Type="http://schemas.openxmlformats.org/officeDocument/2006/relationships/hyperlink" Target="https://academy.impress.co.jp/event/ai-day2026/" TargetMode="External" Id="rId61" /><Relationship Type="http://schemas.openxmlformats.org/officeDocument/2006/relationships/hyperlink" Target="https://prtimes.jp/main/html/rd/p/000007625.000005875.html" TargetMode="External" Id="rId62" /><Relationship Type="http://schemas.openxmlformats.org/officeDocument/2006/relationships/hyperlink" Target="https://prtimes.jp/main/html/rd/p/000002058.000026157.html" TargetMode="External" Id="rId63" /><Relationship Type="http://schemas.openxmlformats.org/officeDocument/2006/relationships/hyperlink" Target="https://www.office-expo.jp/hub/ja-jp/about/ai.html" TargetMode="External" Id="rId64" /><Relationship Type="http://schemas.openxmlformats.org/officeDocument/2006/relationships/hyperlink" Target="https://prtimes.jp/main/html/rd/p/000000443.000061977.html" TargetMode="External" Id="rId65" /><Relationship Type="http://schemas.openxmlformats.org/officeDocument/2006/relationships/hyperlink" Target="https://peatix.com/event/5123053" TargetMode="External" Id="rId66" /><Relationship Type="http://schemas.openxmlformats.org/officeDocument/2006/relationships/hyperlink" Target="https://prtimes.jp/main/html/rd/p/000000133.000101685.html" TargetMode="External" Id="rId67" /><Relationship Type="http://schemas.openxmlformats.org/officeDocument/2006/relationships/hyperlink" Target="https://www.salesforce.com/jp/events/webinars/ai-bpr-vol2/" TargetMode="External" Id="rId68" /><Relationship Type="http://schemas.openxmlformats.org/officeDocument/2006/relationships/hyperlink" Target="https://aismiley.co.jp/ai_news/20260929webinar/" TargetMode="External" Id="rId69" /><Relationship Type="http://schemas.openxmlformats.org/officeDocument/2006/relationships/hyperlink" Target="https://www.nikkeibp.co.jp/atcl/newsrelease/corp/20260820_2/" TargetMode="External" Id="rId70" /><Relationship Type="http://schemas.openxmlformats.org/officeDocument/2006/relationships/hyperlink" Target="https://xtech.nikkei.com/atcl/nxt/column/18/03745/092800023/" TargetMode="External" Id="rId71" /><Relationship Type="http://schemas.openxmlformats.org/officeDocument/2006/relationships/table" Target="/xl/tables/table1.xml" Id="rId72" /></Relationships>
</file>

<file path=xl/worksheets/_rels/sheet3.xml.rels><Relationships xmlns="http://schemas.openxmlformats.org/package/2006/relationships"><Relationship Type="http://schemas.openxmlformats.org/officeDocument/2006/relationships/hyperlink" Target="https://prtimes.jp/main/html/rd/p/000000175.000149623.html" TargetMode="External" Id="rId1" /><Relationship Type="http://schemas.openxmlformats.org/officeDocument/2006/relationships/hyperlink" Target="https://event.ricoh.co.jp/public/seminar/view/68741" TargetMode="External" Id="rId2" /><Relationship Type="http://schemas.openxmlformats.org/officeDocument/2006/relationships/hyperlink" Target="https://ai-marketing.connpass.com/event/399955/" TargetMode="External" Id="rId3" /><Relationship Type="http://schemas.openxmlformats.org/officeDocument/2006/relationships/hyperlink" Target="https://techplay.jp/event/999317" TargetMode="External" Id="rId4" /><Relationship Type="http://schemas.openxmlformats.org/officeDocument/2006/relationships/hyperlink" Target="https://aismiley.co.jp/ai_news/20260818webinar/" TargetMode="External" Id="rId5" /><Relationship Type="http://schemas.openxmlformats.org/officeDocument/2006/relationships/hyperlink" Target="https://www.automation-news.jp/2026/08/107691/" TargetMode="External" Id="rId6" /><Relationship Type="http://schemas.openxmlformats.org/officeDocument/2006/relationships/hyperlink" Target="https://www.mcpc-jp.org/" TargetMode="External" Id="rId7" /><Relationship Type="http://schemas.openxmlformats.org/officeDocument/2006/relationships/hyperlink" Target="https://aconnect.stockmark.co.jp/seminar/" TargetMode="External" Id="rId8" /><Relationship Type="http://schemas.openxmlformats.org/officeDocument/2006/relationships/hyperlink" Target="https://aconnect.stockmark.co.jp/seminar/20260908c/" TargetMode="External" Id="rId9" /><Relationship Type="http://schemas.openxmlformats.org/officeDocument/2006/relationships/hyperlink" Target="https://prtimes.jp/main/html/rd/p/000000283.000085708.html" TargetMode="External" Id="rId10" /><Relationship Type="http://schemas.openxmlformats.org/officeDocument/2006/relationships/hyperlink" Target="https://syncad.jp/event/103709/" TargetMode="External" Id="rId11" /><Relationship Type="http://schemas.openxmlformats.org/officeDocument/2006/relationships/hyperlink" Target="https://www.techvan.co.jp/event/20260930_14webcopilotstudio/" TargetMode="External" Id="rId12" /><Relationship Type="http://schemas.openxmlformats.org/officeDocument/2006/relationships/hyperlink" Target="https://aismiley.co.jp/ai_news/aihaku-sum2026-report02/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22" customWidth="1" min="4" max="4"/>
    <col width="8" customWidth="1" min="5" max="5"/>
    <col width="8" customWidth="1" min="6" max="6"/>
    <col width="8" customWidth="1" min="7" max="7"/>
  </cols>
  <sheetData>
    <row r="1">
      <c r="A1" s="1" t="inlineStr">
        <is>
          <t>AIエージェント／MCP × 生産性向上・生産管理・営業効率化 セミナー調査</t>
        </is>
      </c>
    </row>
    <row r="2">
      <c r="A2" s="2" t="inlineStr">
        <is>
          <t>対象期間: 2026/07/01〜2026/09/30（調査日 2026/09/30）　対象: 国内開催（オンライン含む）</t>
        </is>
      </c>
    </row>
    <row r="4">
      <c r="A4" s="3" t="inlineStr">
        <is>
          <t>テーマ分類</t>
        </is>
      </c>
      <c r="B4" s="3" t="inlineStr">
        <is>
          <t>件数</t>
        </is>
      </c>
      <c r="C4" s="3" t="inlineStr">
        <is>
          <t>集客数判明件数</t>
        </is>
      </c>
      <c r="D4" s="3" t="inlineStr">
        <is>
          <t>うち来場者・参加者・申込の実数合計</t>
        </is>
      </c>
      <c r="E4" s="3" t="inlineStr">
        <is>
          <t>7月</t>
        </is>
      </c>
      <c r="F4" s="3" t="inlineStr">
        <is>
          <t>8月</t>
        </is>
      </c>
      <c r="G4" s="3" t="inlineStr">
        <is>
          <t>9月</t>
        </is>
      </c>
    </row>
    <row r="5">
      <c r="A5" s="4" t="inlineStr">
        <is>
          <t>生産性向上・業務効率化</t>
        </is>
      </c>
      <c r="B5" s="4">
        <f>COUNTIF('セミナー一覧'!$J$2:$J$56,A5)</f>
        <v/>
      </c>
      <c r="C5" s="4">
        <f>COUNTIFS('セミナー一覧'!$J$2:$J$56,A5,'セミナー一覧'!$M$2:$M$56,"&gt;0")</f>
        <v/>
      </c>
      <c r="D5" s="5">
        <f>SUMIFS('セミナー一覧'!$M$2:$M$56,'セミナー一覧'!$J$2:$J$56,A5,'セミナー一覧'!$N$2:$N$56,"来場者数")+SUMIFS('セミナー一覧'!$M$2:$M$56,'セミナー一覧'!$J$2:$J$56,A5,'セミナー一覧'!$N$2:$N$56,"来場登録者数")+SUMIFS('セミナー一覧'!$M$2:$M$56,'セミナー一覧'!$J$2:$J$56,A5,'セミナー一覧'!$N$2:$N$56,"参加者数")+SUMIFS('セミナー一覧'!$M$2:$M$56,'セミナー一覧'!$J$2:$J$56,A5,'セミナー一覧'!$N$2:$N$56,"申込数")</f>
        <v/>
      </c>
      <c r="E5" s="4">
        <f>COUNTIFS('セミナー一覧'!$J$2:$J$56,A5,'セミナー一覧'!$D$2:$D$56,"7月")</f>
        <v/>
      </c>
      <c r="F5" s="4">
        <f>COUNTIFS('セミナー一覧'!$J$2:$J$56,A5,'セミナー一覧'!$D$2:$D$56,"8月")</f>
        <v/>
      </c>
      <c r="G5" s="4">
        <f>COUNTIFS('セミナー一覧'!$J$2:$J$56,A5,'セミナー一覧'!$D$2:$D$56,"9月")</f>
        <v/>
      </c>
    </row>
    <row r="6">
      <c r="A6" s="4" t="inlineStr">
        <is>
          <t>営業・マーケ・CS</t>
        </is>
      </c>
      <c r="B6" s="4">
        <f>COUNTIF('セミナー一覧'!$J$2:$J$56,A6)</f>
        <v/>
      </c>
      <c r="C6" s="4">
        <f>COUNTIFS('セミナー一覧'!$J$2:$J$56,A6,'セミナー一覧'!$M$2:$M$56,"&gt;0")</f>
        <v/>
      </c>
      <c r="D6" s="5">
        <f>SUMIFS('セミナー一覧'!$M$2:$M$56,'セミナー一覧'!$J$2:$J$56,A6,'セミナー一覧'!$N$2:$N$56,"来場者数")+SUMIFS('セミナー一覧'!$M$2:$M$56,'セミナー一覧'!$J$2:$J$56,A6,'セミナー一覧'!$N$2:$N$56,"来場登録者数")+SUMIFS('セミナー一覧'!$M$2:$M$56,'セミナー一覧'!$J$2:$J$56,A6,'セミナー一覧'!$N$2:$N$56,"参加者数")+SUMIFS('セミナー一覧'!$M$2:$M$56,'セミナー一覧'!$J$2:$J$56,A6,'セミナー一覧'!$N$2:$N$56,"申込数")</f>
        <v/>
      </c>
      <c r="E6" s="4">
        <f>COUNTIFS('セミナー一覧'!$J$2:$J$56,A6,'セミナー一覧'!$D$2:$D$56,"7月")</f>
        <v/>
      </c>
      <c r="F6" s="4">
        <f>COUNTIFS('セミナー一覧'!$J$2:$J$56,A6,'セミナー一覧'!$D$2:$D$56,"8月")</f>
        <v/>
      </c>
      <c r="G6" s="4">
        <f>COUNTIFS('セミナー一覧'!$J$2:$J$56,A6,'セミナー一覧'!$D$2:$D$56,"9月")</f>
        <v/>
      </c>
    </row>
    <row r="7">
      <c r="A7" s="4" t="inlineStr">
        <is>
          <t>生産管理・製造・SCM</t>
        </is>
      </c>
      <c r="B7" s="4">
        <f>COUNTIF('セミナー一覧'!$J$2:$J$56,A7)</f>
        <v/>
      </c>
      <c r="C7" s="4">
        <f>COUNTIFS('セミナー一覧'!$J$2:$J$56,A7,'セミナー一覧'!$M$2:$M$56,"&gt;0")</f>
        <v/>
      </c>
      <c r="D7" s="5">
        <f>SUMIFS('セミナー一覧'!$M$2:$M$56,'セミナー一覧'!$J$2:$J$56,A7,'セミナー一覧'!$N$2:$N$56,"来場者数")+SUMIFS('セミナー一覧'!$M$2:$M$56,'セミナー一覧'!$J$2:$J$56,A7,'セミナー一覧'!$N$2:$N$56,"来場登録者数")+SUMIFS('セミナー一覧'!$M$2:$M$56,'セミナー一覧'!$J$2:$J$56,A7,'セミナー一覧'!$N$2:$N$56,"参加者数")+SUMIFS('セミナー一覧'!$M$2:$M$56,'セミナー一覧'!$J$2:$J$56,A7,'セミナー一覧'!$N$2:$N$56,"申込数")</f>
        <v/>
      </c>
      <c r="E7" s="4">
        <f>COUNTIFS('セミナー一覧'!$J$2:$J$56,A7,'セミナー一覧'!$D$2:$D$56,"7月")</f>
        <v/>
      </c>
      <c r="F7" s="4">
        <f>COUNTIFS('セミナー一覧'!$J$2:$J$56,A7,'セミナー一覧'!$D$2:$D$56,"8月")</f>
        <v/>
      </c>
      <c r="G7" s="4">
        <f>COUNTIFS('セミナー一覧'!$J$2:$J$56,A7,'セミナー一覧'!$D$2:$D$56,"9月")</f>
        <v/>
      </c>
    </row>
    <row r="8">
      <c r="A8" s="4" t="inlineStr">
        <is>
          <t>開発生産性</t>
        </is>
      </c>
      <c r="B8" s="4">
        <f>COUNTIF('セミナー一覧'!$J$2:$J$56,A8)</f>
        <v/>
      </c>
      <c r="C8" s="4">
        <f>COUNTIFS('セミナー一覧'!$J$2:$J$56,A8,'セミナー一覧'!$M$2:$M$56,"&gt;0")</f>
        <v/>
      </c>
      <c r="D8" s="5">
        <f>SUMIFS('セミナー一覧'!$M$2:$M$56,'セミナー一覧'!$J$2:$J$56,A8,'セミナー一覧'!$N$2:$N$56,"来場者数")+SUMIFS('セミナー一覧'!$M$2:$M$56,'セミナー一覧'!$J$2:$J$56,A8,'セミナー一覧'!$N$2:$N$56,"来場登録者数")+SUMIFS('セミナー一覧'!$M$2:$M$56,'セミナー一覧'!$J$2:$J$56,A8,'セミナー一覧'!$N$2:$N$56,"参加者数")+SUMIFS('セミナー一覧'!$M$2:$M$56,'セミナー一覧'!$J$2:$J$56,A8,'セミナー一覧'!$N$2:$N$56,"申込数")</f>
        <v/>
      </c>
      <c r="E8" s="4">
        <f>COUNTIFS('セミナー一覧'!$J$2:$J$56,A8,'セミナー一覧'!$D$2:$D$56,"7月")</f>
        <v/>
      </c>
      <c r="F8" s="4">
        <f>COUNTIFS('セミナー一覧'!$J$2:$J$56,A8,'セミナー一覧'!$D$2:$D$56,"8月")</f>
        <v/>
      </c>
      <c r="G8" s="4">
        <f>COUNTIFS('セミナー一覧'!$J$2:$J$56,A8,'セミナー一覧'!$D$2:$D$56,"9月")</f>
        <v/>
      </c>
    </row>
    <row r="9">
      <c r="A9" s="4" t="inlineStr">
        <is>
          <t>大型カンファレンス・展示会</t>
        </is>
      </c>
      <c r="B9" s="4">
        <f>COUNTIF('セミナー一覧'!$J$2:$J$56,A9)</f>
        <v/>
      </c>
      <c r="C9" s="4">
        <f>COUNTIFS('セミナー一覧'!$J$2:$J$56,A9,'セミナー一覧'!$M$2:$M$56,"&gt;0")</f>
        <v/>
      </c>
      <c r="D9" s="5">
        <f>SUMIFS('セミナー一覧'!$M$2:$M$56,'セミナー一覧'!$J$2:$J$56,A9,'セミナー一覧'!$N$2:$N$56,"来場者数")+SUMIFS('セミナー一覧'!$M$2:$M$56,'セミナー一覧'!$J$2:$J$56,A9,'セミナー一覧'!$N$2:$N$56,"来場登録者数")+SUMIFS('セミナー一覧'!$M$2:$M$56,'セミナー一覧'!$J$2:$J$56,A9,'セミナー一覧'!$N$2:$N$56,"参加者数")+SUMIFS('セミナー一覧'!$M$2:$M$56,'セミナー一覧'!$J$2:$J$56,A9,'セミナー一覧'!$N$2:$N$56,"申込数")</f>
        <v/>
      </c>
      <c r="E9" s="4">
        <f>COUNTIFS('セミナー一覧'!$J$2:$J$56,A9,'セミナー一覧'!$D$2:$D$56,"7月")</f>
        <v/>
      </c>
      <c r="F9" s="4">
        <f>COUNTIFS('セミナー一覧'!$J$2:$J$56,A9,'セミナー一覧'!$D$2:$D$56,"8月")</f>
        <v/>
      </c>
      <c r="G9" s="4">
        <f>COUNTIFS('セミナー一覧'!$J$2:$J$56,A9,'セミナー一覧'!$D$2:$D$56,"9月")</f>
        <v/>
      </c>
    </row>
    <row r="10">
      <c r="A10" s="6" t="inlineStr">
        <is>
          <t>合計</t>
        </is>
      </c>
      <c r="B10" s="6">
        <f>SUM(B5:B9)</f>
        <v/>
      </c>
      <c r="C10" s="6">
        <f>SUM(C5:C9)</f>
        <v/>
      </c>
      <c r="D10" s="7">
        <f>SUM(D5:D9)</f>
        <v/>
      </c>
      <c r="E10" s="6">
        <f>SUM(E5:E9)</f>
        <v/>
      </c>
      <c r="F10" s="6">
        <f>SUM(F5:F9)</f>
        <v/>
      </c>
      <c r="G10" s="6">
        <f>SUM(G5:G9)</f>
        <v/>
      </c>
    </row>
    <row r="12">
      <c r="A12" s="3" t="inlineStr">
        <is>
          <t>AIエージェント/MCPの扱い</t>
        </is>
      </c>
      <c r="B12" s="3" t="inlineStr">
        <is>
          <t>件数</t>
        </is>
      </c>
    </row>
    <row r="13">
      <c r="A13" s="4" t="inlineStr">
        <is>
          <t>MCPを含む（MCP/両方）</t>
        </is>
      </c>
      <c r="B13" s="4">
        <f>COUNTIF('セミナー一覧'!$K$2:$K$56,"MCP*")+COUNTIF('セミナー一覧'!$K$2:$K$56,"両方*")</f>
        <v/>
      </c>
    </row>
    <row r="14">
      <c r="A14" s="4" t="inlineStr">
        <is>
          <t>AIエージェントのみ</t>
        </is>
      </c>
      <c r="B14" s="4">
        <f>COUNTIF('セミナー一覧'!$K$2:$K$56,"AIエージェント*")</f>
        <v/>
      </c>
    </row>
    <row r="15">
      <c r="A15" s="4" t="inlineStr">
        <is>
          <t>その他（AI営業自動化等）</t>
        </is>
      </c>
      <c r="B15" s="4">
        <f>COUNTA('セミナー一覧'!$K$2:$K$56)-B13-B14</f>
        <v/>
      </c>
    </row>
    <row r="17">
      <c r="A17" s="8" t="inlineStr">
        <is>
          <t>凡例・注意事項</t>
        </is>
      </c>
    </row>
    <row r="18" ht="30" customHeight="1">
      <c r="A18" s="9" t="inlineStr">
        <is>
          <t>・「集客数」には公表値のみを入れています。種別（来場者数／参加者数／申込数／定員／予定来場者数）は「集客数の種別」列を確認してください。定員は実際の参加数ではありません。</t>
        </is>
      </c>
    </row>
    <row r="19" ht="30" customHeight="1">
      <c r="A19" s="9" t="inlineStr">
        <is>
          <t>・展示会の来場者数は、同時開催展を含む全体の数値です。AIエージェント関連ブースだけの来場者数ではありません。</t>
        </is>
      </c>
    </row>
    <row r="20" ht="30" customHeight="1">
      <c r="A20" s="9" t="inlineStr">
        <is>
          <t>・connpassの数値は調査時点の表示値（申込・参加登録数）です。</t>
        </is>
      </c>
    </row>
    <row r="21" ht="30" customHeight="1">
      <c r="A21" s="9" t="inlineStr">
        <is>
          <t>・企業主催ウェビナーの多くは集客数を公表していないため「不明」としています。</t>
        </is>
      </c>
    </row>
    <row r="22" ht="30" customHeight="1">
      <c r="A22" s="9" t="inlineStr">
        <is>
          <t>・サマリーの「実数合計」は、来場者・来場登録・参加者・申込の数値だけを合計しています（定員と予定値は除外）。種別の異なる数値を足しているため、目安として見てください。</t>
        </is>
      </c>
    </row>
    <row r="23" ht="30" customHeight="1">
      <c r="A23" s="9" t="inlineStr">
        <is>
          <t>・「情報確度」: 高＝出典ページで日付と内容を確認済み／中＝一部を検索要約で補ったもの、またはテーマとの関連が弱めのもの。</t>
        </is>
      </c>
    </row>
    <row r="24" ht="30" customHeight="1">
      <c r="A24" s="9" t="inlineStr">
        <is>
          <t>・関連が弱い候補と未検証の候補は「参考（関連弱・未検証）」シートに分けています。</t>
        </is>
      </c>
    </row>
    <row r="25" ht="30" customHeight="1">
      <c r="A25" s="9" t="inlineStr">
        <is>
          <t>・期間外として除外した主なイベント: Agentforce World Tour Tokyo（6/9-10）、AWS Summit Japan（6/25-26）、LayerX バックオフィスAIサミット（10/14）、Sansan Innovation Summit（10/14）、Japan DX &amp; AX Week秋（10/21-23）、AI・人工知能EXPO秋（11/11-13）。</t>
        </is>
      </c>
    </row>
  </sheetData>
  <mergeCells count="8">
    <mergeCell ref="A18:G18"/>
    <mergeCell ref="A21:G21"/>
    <mergeCell ref="A22:G22"/>
    <mergeCell ref="A20:G20"/>
    <mergeCell ref="A24:G24"/>
    <mergeCell ref="A25:G25"/>
    <mergeCell ref="A19:G19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6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8" customWidth="1" min="4" max="4"/>
    <col width="46" customWidth="1" min="5" max="5"/>
    <col width="26" customWidth="1" min="6" max="6"/>
    <col width="26" customWidth="1" min="7" max="7"/>
    <col width="12" customWidth="1" min="8" max="8"/>
    <col width="28" customWidth="1" min="9" max="9"/>
    <col width="20" customWidth="1" min="10" max="10"/>
    <col width="16" customWidth="1" min="11" max="11"/>
    <col width="60" customWidth="1" min="12" max="12"/>
    <col width="11" customWidth="1" min="13" max="13"/>
    <col width="13" customWidth="1" min="14" max="14"/>
    <col width="40" customWidth="1" min="15" max="15"/>
    <col width="48" customWidth="1" min="16" max="16"/>
    <col width="48" customWidth="1" min="17" max="17"/>
    <col width="8" customWidth="1" min="18" max="18"/>
    <col width="30" customWidth="1" min="19" max="19"/>
  </cols>
  <sheetData>
    <row r="1" ht="30" customHeight="1">
      <c r="A1" s="3" t="inlineStr">
        <is>
          <t>No</t>
        </is>
      </c>
      <c r="B1" s="3" t="inlineStr">
        <is>
          <t>開催日（開始）</t>
        </is>
      </c>
      <c r="C1" s="3" t="inlineStr">
        <is>
          <t>開催日（終了）</t>
        </is>
      </c>
      <c r="D1" s="3" t="inlineStr">
        <is>
          <t>開催月</t>
        </is>
      </c>
      <c r="E1" s="3" t="inlineStr">
        <is>
          <t>セミナー名</t>
        </is>
      </c>
      <c r="F1" s="3" t="inlineStr">
        <is>
          <t>主催者</t>
        </is>
      </c>
      <c r="G1" s="3" t="inlineStr">
        <is>
          <t>共催・登壇企業</t>
        </is>
      </c>
      <c r="H1" s="3" t="inlineStr">
        <is>
          <t>形式</t>
        </is>
      </c>
      <c r="I1" s="3" t="inlineStr">
        <is>
          <t>会場・配信</t>
        </is>
      </c>
      <c r="J1" s="3" t="inlineStr">
        <is>
          <t>テーマ分類</t>
        </is>
      </c>
      <c r="K1" s="3" t="inlineStr">
        <is>
          <t>AIエージェント/MCP</t>
        </is>
      </c>
      <c r="L1" s="3" t="inlineStr">
        <is>
          <t>概要</t>
        </is>
      </c>
      <c r="M1" s="3" t="inlineStr">
        <is>
          <t>集客数</t>
        </is>
      </c>
      <c r="N1" s="3" t="inlineStr">
        <is>
          <t>集客数の種別</t>
        </is>
      </c>
      <c r="O1" s="3" t="inlineStr">
        <is>
          <t>集客数の補足</t>
        </is>
      </c>
      <c r="P1" s="3" t="inlineStr">
        <is>
          <t>ソースURL</t>
        </is>
      </c>
      <c r="Q1" s="3" t="inlineStr">
        <is>
          <t>補足URL</t>
        </is>
      </c>
      <c r="R1" s="3" t="inlineStr">
        <is>
          <t>情報確度</t>
        </is>
      </c>
      <c r="S1" s="3" t="inlineStr">
        <is>
          <t>備考</t>
        </is>
      </c>
    </row>
    <row r="2">
      <c r="A2" s="10" t="n">
        <v>1</v>
      </c>
      <c r="B2" s="11" t="n">
        <v>46204</v>
      </c>
      <c r="C2" s="11" t="n">
        <v>46206</v>
      </c>
      <c r="D2" s="10">
        <f>MONTH(B2)&amp;"月"</f>
        <v/>
      </c>
      <c r="E2" s="10" t="inlineStr">
        <is>
          <t>ものづくり ワールド［東京］2026</t>
        </is>
      </c>
      <c r="F2" s="10" t="inlineStr">
        <is>
          <t>RX Japan</t>
        </is>
      </c>
      <c r="G2" s="10" t="inlineStr"/>
      <c r="H2" s="10" t="inlineStr">
        <is>
          <t>会場</t>
        </is>
      </c>
      <c r="I2" s="10" t="inlineStr">
        <is>
          <t>東京ビッグサイト</t>
        </is>
      </c>
      <c r="J2" s="10" t="inlineStr">
        <is>
          <t>生産管理・製造・SCM</t>
        </is>
      </c>
      <c r="K2" s="10" t="inlineStr">
        <is>
          <t>AIエージェント</t>
        </is>
      </c>
      <c r="L2" s="10" t="inlineStr">
        <is>
          <t>日本最大級の製造業展示会。製造業DX展、製造業×フィジカルAI展、設計・製造ソリューション展などで構成されている。</t>
        </is>
      </c>
      <c r="M2" s="12" t="n">
        <v>81697</v>
      </c>
      <c r="N2" s="10" t="inlineStr">
        <is>
          <t>来場者数</t>
        </is>
      </c>
      <c r="O2" s="10" t="inlineStr">
        <is>
          <t>3日間の合計（併催展を含む）。7/1は20,534名、7/2は25,577名、7/3は35,586名。</t>
        </is>
      </c>
      <c r="P2" s="13" t="inlineStr">
        <is>
          <t>https://www.manufacturing-world.jp/tokyo/ja-jp/previous/visitorcount.html</t>
        </is>
      </c>
      <c r="Q2" s="10" t="n"/>
      <c r="R2" s="10" t="inlineStr">
        <is>
          <t>高</t>
        </is>
      </c>
      <c r="S2" s="10" t="inlineStr">
        <is>
          <t>展示会。AIエージェント専門の展示ではない</t>
        </is>
      </c>
    </row>
    <row r="3">
      <c r="A3" s="10" t="n">
        <v>2</v>
      </c>
      <c r="B3" s="11" t="n">
        <v>46211</v>
      </c>
      <c r="C3" s="11" t="n">
        <v>46211</v>
      </c>
      <c r="D3" s="10">
        <f>MONTH(B3)&amp;"月"</f>
        <v/>
      </c>
      <c r="E3" s="10" t="inlineStr">
        <is>
          <t>これからのサプライチェーンのあるべき姿を解説 キナクシス×JFEシステムズ ウェビナー</t>
        </is>
      </c>
      <c r="F3" s="10" t="inlineStr">
        <is>
          <t>キナクシス・ジャパン</t>
        </is>
      </c>
      <c r="G3" s="10" t="inlineStr">
        <is>
          <t>JFEシステムズ（共催）</t>
        </is>
      </c>
      <c r="H3" s="10" t="inlineStr">
        <is>
          <t>オンライン</t>
        </is>
      </c>
      <c r="I3" s="10" t="inlineStr"/>
      <c r="J3" s="10" t="inlineStr">
        <is>
          <t>生産管理・製造・SCM</t>
        </is>
      </c>
      <c r="K3" s="10" t="inlineStr">
        <is>
          <t>AIエージェント</t>
        </is>
      </c>
      <c r="L3" s="10" t="inlineStr">
        <is>
          <t>予測できない変化を前提に、AIエージェント技術で適応型サプライチェーンを実現する方法を、デモを交えて解説する。</t>
        </is>
      </c>
      <c r="M3" s="12" t="n"/>
      <c r="N3" s="10" t="inlineStr">
        <is>
          <t>不明</t>
        </is>
      </c>
      <c r="O3" s="10" t="inlineStr"/>
      <c r="P3" s="13" t="inlineStr">
        <is>
          <t>https://www.jfe-systems.com/press/2026/20260616_news.html</t>
        </is>
      </c>
      <c r="Q3" s="10" t="n"/>
      <c r="R3" s="10" t="inlineStr">
        <is>
          <t>高</t>
        </is>
      </c>
      <c r="S3" s="10" t="n"/>
    </row>
    <row r="4">
      <c r="A4" s="10" t="n">
        <v>3</v>
      </c>
      <c r="B4" s="11" t="n">
        <v>46212</v>
      </c>
      <c r="C4" s="11" t="n">
        <v>46213</v>
      </c>
      <c r="D4" s="10">
        <f>MONTH(B4)&amp;"月"</f>
        <v/>
      </c>
      <c r="E4" s="10" t="inlineStr">
        <is>
          <t>製造業DXサミット2026〜AIとデータの時代へ動き始めた製造業の未来像〜</t>
        </is>
      </c>
      <c r="F4" s="10" t="inlineStr">
        <is>
          <t>日経クロステック（日経BP）</t>
        </is>
      </c>
      <c r="G4" s="10" t="inlineStr"/>
      <c r="H4" s="10" t="inlineStr">
        <is>
          <t>オンライン</t>
        </is>
      </c>
      <c r="I4" s="10" t="inlineStr"/>
      <c r="J4" s="10" t="inlineStr">
        <is>
          <t>生産管理・製造・SCM</t>
        </is>
      </c>
      <c r="K4" s="10" t="inlineStr">
        <is>
          <t>AIエージェント</t>
        </is>
      </c>
      <c r="L4" s="10" t="inlineStr">
        <is>
          <t>データとAIの活用による製造業DXがテーマ。システムをまたいで業務を支援するAIエージェントや、フィジカルAIのセッションがある。</t>
        </is>
      </c>
      <c r="M4" s="12" t="n"/>
      <c r="N4" s="10" t="inlineStr">
        <is>
          <t>不明</t>
        </is>
      </c>
      <c r="O4" s="10" t="inlineStr"/>
      <c r="P4" s="13" t="inlineStr">
        <is>
          <t>https://events.nikkeibp.co.jp/event/2026/nxt0709/</t>
        </is>
      </c>
      <c r="Q4" s="10" t="n"/>
      <c r="R4" s="10" t="inlineStr">
        <is>
          <t>高</t>
        </is>
      </c>
      <c r="S4" s="10" t="n"/>
    </row>
    <row r="5">
      <c r="A5" s="10" t="n">
        <v>4</v>
      </c>
      <c r="B5" s="11" t="n">
        <v>46217</v>
      </c>
      <c r="C5" s="11" t="n">
        <v>46217</v>
      </c>
      <c r="D5" s="10">
        <f>MONTH(B5)&amp;"月"</f>
        <v/>
      </c>
      <c r="E5" s="10" t="inlineStr">
        <is>
          <t>SoftBank World 2026「AX for Japan」</t>
        </is>
      </c>
      <c r="F5" s="10" t="inlineStr">
        <is>
          <t>ソフトバンク</t>
        </is>
      </c>
      <c r="G5" s="10" t="inlineStr"/>
      <c r="H5" s="10" t="inlineStr">
        <is>
          <t>ハイブリッド</t>
        </is>
      </c>
      <c r="I5" s="10" t="inlineStr">
        <is>
          <t>ライブ配信・会場展示（オンデマンド配信は7/21〜8/31）</t>
        </is>
      </c>
      <c r="J5" s="10" t="inlineStr">
        <is>
          <t>大型カンファレンス・展示会</t>
        </is>
      </c>
      <c r="K5" s="10" t="inlineStr">
        <is>
          <t>AIエージェント</t>
        </is>
      </c>
      <c r="L5" s="10" t="inlineStr">
        <is>
          <t>孫正義氏が「2040年に100兆個のAIエージェント」と講演した。自律型AIやフィジカルAIを紹介し、安川電機のロボットを展示した。</t>
        </is>
      </c>
      <c r="M5" s="12" t="n"/>
      <c r="N5" s="10" t="inlineStr">
        <is>
          <t>不明</t>
        </is>
      </c>
      <c r="O5" s="10" t="inlineStr"/>
      <c r="P5" s="13" t="inlineStr">
        <is>
          <t>https://www.softbank.jp/corp/news/press/sbkk/2026/20260518_01/</t>
        </is>
      </c>
      <c r="Q5" s="13" t="inlineStr">
        <is>
          <t>https://k-tai.watch.impress.co.jp/docs/news/2109522.html</t>
        </is>
      </c>
      <c r="R5" s="10" t="inlineStr">
        <is>
          <t>高</t>
        </is>
      </c>
      <c r="S5" s="10" t="n"/>
    </row>
    <row r="6">
      <c r="A6" s="10" t="n">
        <v>5</v>
      </c>
      <c r="B6" s="11" t="n">
        <v>46218</v>
      </c>
      <c r="C6" s="11" t="n">
        <v>46219</v>
      </c>
      <c r="D6" s="10">
        <f>MONTH(B6)&amp;"月"</f>
        <v/>
      </c>
      <c r="E6" s="10" t="inlineStr">
        <is>
          <t>CC AI BENCHMARK 2026（2Daysオンラインカンファレンス）</t>
        </is>
      </c>
      <c r="F6" s="10" t="inlineStr">
        <is>
          <t>株式会社Edge Works</t>
        </is>
      </c>
      <c r="G6" s="10" t="inlineStr">
        <is>
          <t>コンタクトセンター向けAI企業20社</t>
        </is>
      </c>
      <c r="H6" s="10" t="inlineStr">
        <is>
          <t>オンライン</t>
        </is>
      </c>
      <c r="I6" s="10" t="inlineStr">
        <is>
          <t>Zoom Webinar</t>
        </is>
      </c>
      <c r="J6" s="10" t="inlineStr">
        <is>
          <t>営業・マーケ・CS</t>
        </is>
      </c>
      <c r="K6" s="10" t="inlineStr">
        <is>
          <t>AIエージェント</t>
        </is>
      </c>
      <c r="L6" s="10" t="inlineStr">
        <is>
          <t>コンタクトセンター向けAIサービス20社を2日間で比較する無料カンファレンス。ベンチマークレポートの配布もある。</t>
        </is>
      </c>
      <c r="M6" s="12" t="n">
        <v>500</v>
      </c>
      <c r="N6" s="10" t="inlineStr">
        <is>
          <t>申込数</t>
        </is>
      </c>
      <c r="O6" s="10" t="inlineStr">
        <is>
          <t>告知時点で「申込500名突破」（各日の定員は1,000名）</t>
        </is>
      </c>
      <c r="P6" s="13" t="inlineStr">
        <is>
          <t>https://prtimes.jp/main/html/rd/p/000000006.000163625.html</t>
        </is>
      </c>
      <c r="Q6" s="10" t="n"/>
      <c r="R6" s="10" t="inlineStr">
        <is>
          <t>高</t>
        </is>
      </c>
      <c r="S6" s="10" t="inlineStr">
        <is>
          <t>CS・コンタクトセンター領域</t>
        </is>
      </c>
    </row>
    <row r="7">
      <c r="A7" s="10" t="n">
        <v>6</v>
      </c>
      <c r="B7" s="11" t="n">
        <v>46218</v>
      </c>
      <c r="C7" s="11" t="n">
        <v>46219</v>
      </c>
      <c r="D7" s="10">
        <f>MONTH(B7)&amp;"月"</f>
        <v/>
      </c>
      <c r="E7" s="10" t="inlineStr">
        <is>
          <t>Fujitsu Experience Day 2026</t>
        </is>
      </c>
      <c r="F7" s="10" t="inlineStr">
        <is>
          <t>富士通</t>
        </is>
      </c>
      <c r="G7" s="10" t="inlineStr"/>
      <c r="H7" s="10" t="inlineStr">
        <is>
          <t>会場</t>
        </is>
      </c>
      <c r="I7" s="10" t="inlineStr">
        <is>
          <t>TAKANAWA GATEWAY Convention Center</t>
        </is>
      </c>
      <c r="J7" s="10" t="inlineStr">
        <is>
          <t>大型カンファレンス・展示会</t>
        </is>
      </c>
      <c r="K7" s="10" t="inlineStr">
        <is>
          <t>AIエージェント</t>
        </is>
      </c>
      <c r="L7" s="10" t="inlineStr">
        <is>
          <t>自己進化型マルチAIエージェントや、店舗・在庫向けのAIエージェントなど、44の技術・ソリューションを展示した。</t>
        </is>
      </c>
      <c r="M7" s="12" t="n"/>
      <c r="N7" s="10" t="inlineStr">
        <is>
          <t>不明</t>
        </is>
      </c>
      <c r="O7" s="10" t="inlineStr"/>
      <c r="P7" s="13" t="inlineStr">
        <is>
          <t>https://cloud.watch.impress.co.jp/docs/event/2125529.html</t>
        </is>
      </c>
      <c r="Q7" s="10" t="n"/>
      <c r="R7" s="10" t="inlineStr">
        <is>
          <t>高</t>
        </is>
      </c>
      <c r="S7" s="10" t="n"/>
    </row>
    <row r="8">
      <c r="A8" s="10" t="n">
        <v>7</v>
      </c>
      <c r="B8" s="11" t="n">
        <v>46218</v>
      </c>
      <c r="C8" s="11" t="n">
        <v>46220</v>
      </c>
      <c r="D8" s="10">
        <f>MONTH(B8)&amp;"月"</f>
        <v/>
      </c>
      <c r="E8" s="10" t="inlineStr">
        <is>
          <t>TECHNO-FRONTIER 2026（製造業向け生成AI展を新設）</t>
        </is>
      </c>
      <c r="F8" s="10" t="inlineStr">
        <is>
          <t>日本能率協会</t>
        </is>
      </c>
      <c r="G8" s="10" t="inlineStr"/>
      <c r="H8" s="10" t="inlineStr">
        <is>
          <t>会場</t>
        </is>
      </c>
      <c r="I8" s="10" t="inlineStr">
        <is>
          <t>東京ビッグサイト西展示棟</t>
        </is>
      </c>
      <c r="J8" s="10" t="inlineStr">
        <is>
          <t>生産管理・製造・SCM</t>
        </is>
      </c>
      <c r="K8" s="10" t="inlineStr">
        <is>
          <t>AIエージェント（生成AI中心）</t>
        </is>
      </c>
      <c r="L8" s="10" t="inlineStr">
        <is>
          <t>生成AI、スマートファクトリーDX、FA・ロボット、OTセキュリティなどを展示した。出展は440社・842小間。</t>
        </is>
      </c>
      <c r="M8" s="12" t="n">
        <v>33637</v>
      </c>
      <c r="N8" s="10" t="inlineStr">
        <is>
          <t>来場者数</t>
        </is>
      </c>
      <c r="O8" s="10" t="inlineStr"/>
      <c r="P8" s="13" t="inlineStr">
        <is>
          <t>https://jma-news.com/archives/7037</t>
        </is>
      </c>
      <c r="Q8" s="10" t="n"/>
      <c r="R8" s="10" t="inlineStr">
        <is>
          <t>高</t>
        </is>
      </c>
      <c r="S8" s="10" t="inlineStr">
        <is>
          <t>AIエージェントとしての打ち出しは弱い</t>
        </is>
      </c>
    </row>
    <row r="9">
      <c r="A9" s="10" t="n">
        <v>8</v>
      </c>
      <c r="B9" s="11" t="n">
        <v>46220</v>
      </c>
      <c r="C9" s="11" t="n">
        <v>46220</v>
      </c>
      <c r="D9" s="10">
        <f>MONTH(B9)&amp;"月"</f>
        <v/>
      </c>
      <c r="E9" s="10" t="inlineStr">
        <is>
          <t>「製造業のAIエージェント」の活用方策フォーラム 成果発表会</t>
        </is>
      </c>
      <c r="F9" s="10" t="inlineStr">
        <is>
          <t>一般財団法人 機械システム振興協会</t>
        </is>
      </c>
      <c r="G9" s="10" t="inlineStr">
        <is>
          <t>国立情報学研究所・アールティ・旭化成・経産省が登壇</t>
        </is>
      </c>
      <c r="H9" s="10" t="inlineStr">
        <is>
          <t>オンライン</t>
        </is>
      </c>
      <c r="I9" s="10" t="inlineStr">
        <is>
          <t>Zoom</t>
        </is>
      </c>
      <c r="J9" s="10" t="inlineStr">
        <is>
          <t>生産管理・製造・SCM</t>
        </is>
      </c>
      <c r="K9" s="10" t="inlineStr">
        <is>
          <t>AIエージェント</t>
        </is>
      </c>
      <c r="L9" s="10" t="inlineStr">
        <is>
          <t>製造業でAIエージェントを使う効果と留意点、フィジカルAIの事例、海外動向、法的責任を解説する無料セミナー。</t>
        </is>
      </c>
      <c r="M9" s="12" t="n">
        <v>500</v>
      </c>
      <c r="N9" s="10" t="inlineStr">
        <is>
          <t>定員</t>
        </is>
      </c>
      <c r="O9" s="10" t="inlineStr">
        <is>
          <t>創業手帳の記事では「一般参加者 定員200」とあり、情報が食い違う</t>
        </is>
      </c>
      <c r="P9" s="13" t="inlineStr">
        <is>
          <t>https://www.mssf.or.jp/news_r08004/</t>
        </is>
      </c>
      <c r="Q9" s="13" t="inlineStr">
        <is>
          <t>https://prtimes.jp/main/html/rd/p/000000017.000122726.html</t>
        </is>
      </c>
      <c r="R9" s="10" t="inlineStr">
        <is>
          <t>高</t>
        </is>
      </c>
      <c r="S9" s="10" t="n"/>
    </row>
    <row r="10">
      <c r="A10" s="10" t="n">
        <v>9</v>
      </c>
      <c r="B10" s="11" t="n">
        <v>46226</v>
      </c>
      <c r="C10" s="11" t="n">
        <v>46226</v>
      </c>
      <c r="D10" s="10">
        <f>MONTH(B10)&amp;"月"</f>
        <v/>
      </c>
      <c r="E10" s="10" t="inlineStr">
        <is>
          <t>【Claude編】Speeda MCPで広がる「データ資産」の新たな活用方法－経営企画・事業開発・法人営業のユースケース</t>
        </is>
      </c>
      <c r="F10" s="10" t="inlineStr">
        <is>
          <t>株式会社ユーザベース（Speeda）</t>
        </is>
      </c>
      <c r="G10" s="10" t="inlineStr"/>
      <c r="H10" s="10" t="inlineStr">
        <is>
          <t>オンライン</t>
        </is>
      </c>
      <c r="I10" s="10" t="inlineStr">
        <is>
          <t>Zoom</t>
        </is>
      </c>
      <c r="J10" s="10" t="inlineStr">
        <is>
          <t>営業・マーケ・CS</t>
        </is>
      </c>
      <c r="K10" s="10" t="inlineStr">
        <is>
          <t>MCP</t>
        </is>
      </c>
      <c r="L10" s="10" t="inlineStr">
        <is>
          <t>Speeda MCPとClaudeを使い、ターゲットリストの抽出、企業動向アラート、CRMや商談記録をまたいだ商談準備資料の自動生成を紹介する。</t>
        </is>
      </c>
      <c r="M10" s="12" t="n"/>
      <c r="N10" s="10" t="inlineStr">
        <is>
          <t>不明</t>
        </is>
      </c>
      <c r="O10" s="10" t="inlineStr">
        <is>
          <t>「好評につき申込終了」と表示されていた</t>
        </is>
      </c>
      <c r="P10" s="13" t="inlineStr">
        <is>
          <t>https://jp.ub-speeda.com/seminar/20260723_mcp/</t>
        </is>
      </c>
      <c r="Q10" s="10" t="n"/>
      <c r="R10" s="10" t="inlineStr">
        <is>
          <t>高</t>
        </is>
      </c>
      <c r="S10" s="10" t="inlineStr">
        <is>
          <t>MCPを営業に使う事例として貴重</t>
        </is>
      </c>
    </row>
    <row r="11">
      <c r="A11" s="10" t="n">
        <v>10</v>
      </c>
      <c r="B11" s="11" t="n">
        <v>46226</v>
      </c>
      <c r="C11" s="11" t="n">
        <v>46227</v>
      </c>
      <c r="D11" s="10">
        <f>MONTH(B11)&amp;"月"</f>
        <v/>
      </c>
      <c r="E11" s="10" t="inlineStr">
        <is>
          <t>AI Agent Day 2026 Summer</t>
        </is>
      </c>
      <c r="F11" s="10" t="inlineStr">
        <is>
          <t>一般社団法人AICX協会</t>
        </is>
      </c>
      <c r="G11" s="10" t="inlineStr">
        <is>
          <t>Salesforce・AWS・メルカリ・みずほ銀行など</t>
        </is>
      </c>
      <c r="H11" s="10" t="inlineStr">
        <is>
          <t>オンライン（会場参加は有料との記載もあり）</t>
        </is>
      </c>
      <c r="I11" s="10" t="inlineStr">
        <is>
          <t>YouTube/Zoom配信</t>
        </is>
      </c>
      <c r="J11" s="10" t="inlineStr">
        <is>
          <t>生産性向上・業務効率化</t>
        </is>
      </c>
      <c r="K11" s="10" t="inlineStr">
        <is>
          <t>AIエージェント</t>
        </is>
      </c>
      <c r="L11" s="10" t="inlineStr">
        <is>
          <t>「事例完全解剖 5つの壁を事例で解体する2日間」がテーマ。製造・航空・教育などの業界で、AIエージェントを本番運用した事例を紹介する。</t>
        </is>
      </c>
      <c r="M11" s="12" t="n"/>
      <c r="N11" s="10" t="inlineStr">
        <is>
          <t>不明</t>
        </is>
      </c>
      <c r="O11" s="10" t="inlineStr">
        <is>
          <t>過去イベントの累計視聴登録者数は12,857名（2026/2/1時点）。今回回の数値は未公表</t>
        </is>
      </c>
      <c r="P11" s="13" t="inlineStr">
        <is>
          <t>https://prtimes.jp/main/html/rd/p/000000132.000155740.html</t>
        </is>
      </c>
      <c r="Q11" s="13" t="inlineStr">
        <is>
          <t>https://prtimes.jp/main/html/rd/p/000000117.000155740.html</t>
        </is>
      </c>
      <c r="R11" s="10" t="inlineStr">
        <is>
          <t>高</t>
        </is>
      </c>
      <c r="S11" s="10" t="inlineStr">
        <is>
          <t>国内最大級をうたうAIエージェントのカンファレンス</t>
        </is>
      </c>
    </row>
    <row r="12">
      <c r="A12" s="10" t="n">
        <v>11</v>
      </c>
      <c r="B12" s="11" t="n">
        <v>46230</v>
      </c>
      <c r="C12" s="11" t="n">
        <v>46230</v>
      </c>
      <c r="D12" s="10">
        <f>MONTH(B12)&amp;"月"</f>
        <v/>
      </c>
      <c r="E12" s="10" t="inlineStr">
        <is>
          <t>コンタクトセンター支援AIエージェント情報交換会（CCCAA）</t>
        </is>
      </c>
      <c r="F12" s="10" t="inlineStr">
        <is>
          <t>株式会社JALデジタル</t>
        </is>
      </c>
      <c r="G12" s="10" t="inlineStr"/>
      <c r="H12" s="10" t="inlineStr">
        <is>
          <t>会場</t>
        </is>
      </c>
      <c r="I12" s="10" t="inlineStr">
        <is>
          <t>msb Tamachi 田町ステーションタワーN 13F</t>
        </is>
      </c>
      <c r="J12" s="10" t="inlineStr">
        <is>
          <t>営業・マーケ・CS</t>
        </is>
      </c>
      <c r="K12" s="10" t="inlineStr">
        <is>
          <t>AIエージェント</t>
        </is>
      </c>
      <c r="L12" s="10" t="inlineStr">
        <is>
          <t>インバウンド業務でAIエージェントを導入している企業同士が、導入・運用の課題を共有する情報交換会。</t>
        </is>
      </c>
      <c r="M12" s="12" t="n"/>
      <c r="N12" s="10" t="inlineStr">
        <is>
          <t>不明</t>
        </is>
      </c>
      <c r="O12" s="10" t="inlineStr">
        <is>
          <t>申込多数の場合は抽選</t>
        </is>
      </c>
      <c r="P12" s="13" t="inlineStr">
        <is>
          <t>https://www.jaldx.co.jp/news/9369.html</t>
        </is>
      </c>
      <c r="Q12" s="10" t="n"/>
      <c r="R12" s="10" t="inlineStr">
        <is>
          <t>高</t>
        </is>
      </c>
      <c r="S12" s="10" t="n"/>
    </row>
    <row r="13">
      <c r="A13" s="10" t="n">
        <v>12</v>
      </c>
      <c r="B13" s="11" t="n">
        <v>46231</v>
      </c>
      <c r="C13" s="11" t="n">
        <v>46231</v>
      </c>
      <c r="D13" s="10">
        <f>MONTH(B13)&amp;"月"</f>
        <v/>
      </c>
      <c r="E13" s="10" t="inlineStr">
        <is>
          <t>世界は「AIエージェント自走」へ、なぜ日本企業のAI活用は失速するのか？</t>
        </is>
      </c>
      <c r="F13" s="10" t="inlineStr">
        <is>
          <t>テックタッチ株式会社</t>
        </is>
      </c>
      <c r="G13" s="10" t="inlineStr"/>
      <c r="H13" s="10" t="inlineStr">
        <is>
          <t>オンライン</t>
        </is>
      </c>
      <c r="I13" s="10" t="inlineStr">
        <is>
          <t>EventHub</t>
        </is>
      </c>
      <c r="J13" s="10" t="inlineStr">
        <is>
          <t>生産性向上・業務効率化</t>
        </is>
      </c>
      <c r="K13" s="10" t="inlineStr">
        <is>
          <t>AIエージェント</t>
        </is>
      </c>
      <c r="L13" s="10" t="inlineStr">
        <is>
          <t>Transform 2026の現地レポートをもとに海外のAI実装トレンドを紹介し、AIエージェント時代のガバナンスと組織実装を解説する。</t>
        </is>
      </c>
      <c r="M13" s="12" t="n">
        <v>100</v>
      </c>
      <c r="N13" s="10" t="inlineStr">
        <is>
          <t>定員</t>
        </is>
      </c>
      <c r="O13" s="10" t="inlineStr"/>
      <c r="P13" s="13" t="inlineStr">
        <is>
          <t>https://prtimes.jp/main/html/rd/p/000000442.000048939.html</t>
        </is>
      </c>
      <c r="Q13" s="10" t="n"/>
      <c r="R13" s="10" t="inlineStr">
        <is>
          <t>高</t>
        </is>
      </c>
      <c r="S13" s="10" t="n"/>
    </row>
    <row r="14">
      <c r="A14" s="10" t="n">
        <v>13</v>
      </c>
      <c r="B14" s="11" t="n">
        <v>46231</v>
      </c>
      <c r="C14" s="11" t="n">
        <v>46231</v>
      </c>
      <c r="D14" s="10">
        <f>MONTH(B14)&amp;"月"</f>
        <v/>
      </c>
      <c r="E14" s="10" t="inlineStr">
        <is>
          <t>製造業 経営企画サミット2026「AX(AI変革)で変わる経営判断の在り方」</t>
        </is>
      </c>
      <c r="F14" s="10" t="inlineStr">
        <is>
          <t>NEC</t>
        </is>
      </c>
      <c r="G14" s="10" t="inlineStr">
        <is>
          <t>元AGC副社長 宮地氏が基調講演</t>
        </is>
      </c>
      <c r="H14" s="10" t="inlineStr">
        <is>
          <t>オンライン</t>
        </is>
      </c>
      <c r="I14" s="10" t="inlineStr"/>
      <c r="J14" s="10" t="inlineStr">
        <is>
          <t>生産管理・製造・SCM</t>
        </is>
      </c>
      <c r="K14" s="10" t="inlineStr">
        <is>
          <t>AIエージェント（AX）</t>
        </is>
      </c>
      <c r="L14" s="10" t="inlineStr">
        <is>
          <t>AI Native Companyへの道のりと経営企画部門の役割を扱う。NECの製造業AX推進の事例を紹介する。</t>
        </is>
      </c>
      <c r="M14" s="12" t="n"/>
      <c r="N14" s="10" t="inlineStr">
        <is>
          <t>不明</t>
        </is>
      </c>
      <c r="O14" s="10" t="inlineStr"/>
      <c r="P14" s="13" t="inlineStr">
        <is>
          <t>https://jpn.nec.com/event/260728seizo-cox/index.html</t>
        </is>
      </c>
      <c r="Q14" s="10" t="n"/>
      <c r="R14" s="10" t="inlineStr">
        <is>
          <t>中</t>
        </is>
      </c>
      <c r="S14" s="10" t="inlineStr">
        <is>
          <t>ページ本文は取得できず（403）、検索要約で確認した</t>
        </is>
      </c>
    </row>
    <row r="15">
      <c r="A15" s="10" t="n">
        <v>14</v>
      </c>
      <c r="B15" s="11" t="n">
        <v>46232</v>
      </c>
      <c r="C15" s="11" t="n">
        <v>46232</v>
      </c>
      <c r="D15" s="10">
        <f>MONTH(B15)&amp;"月"</f>
        <v/>
      </c>
      <c r="E15" s="10" t="inlineStr">
        <is>
          <t>AIエージェントサミットSummer2026</t>
        </is>
      </c>
      <c r="F15" s="10" t="inlineStr">
        <is>
          <t>株式会社アイスマイリー</t>
        </is>
      </c>
      <c r="G15" s="10" t="inlineStr">
        <is>
          <t>ストックマーク・PKSHA・ミライのゲンバ・発注ナビなど11社</t>
        </is>
      </c>
      <c r="H15" s="10" t="inlineStr">
        <is>
          <t>オンライン</t>
        </is>
      </c>
      <c r="I15" s="10" t="inlineStr"/>
      <c r="J15" s="10" t="inlineStr">
        <is>
          <t>生産性向上・業務効率化</t>
        </is>
      </c>
      <c r="K15" s="10" t="inlineStr">
        <is>
          <t>AIエージェント</t>
        </is>
      </c>
      <c r="L15" s="10" t="inlineStr">
        <is>
          <t>自律型AIの最新動向と、生成AIの枠を超えた業務自動化を11社が解説する。マーケの効率化や社内DXも扱う。</t>
        </is>
      </c>
      <c r="M15" s="12" t="n"/>
      <c r="N15" s="10" t="inlineStr">
        <is>
          <t>不明</t>
        </is>
      </c>
      <c r="O15" s="10" t="inlineStr"/>
      <c r="P15" s="13" t="inlineStr">
        <is>
          <t>https://aismiley.co.jp/company_news/20260729webinar/</t>
        </is>
      </c>
      <c r="Q15" s="13" t="inlineStr">
        <is>
          <t>https://gais.jp/ai-agent-summit-summer2026/</t>
        </is>
      </c>
      <c r="R15" s="10" t="inlineStr">
        <is>
          <t>高</t>
        </is>
      </c>
      <c r="S15" s="10" t="n"/>
    </row>
    <row r="16">
      <c r="A16" s="10" t="n">
        <v>15</v>
      </c>
      <c r="B16" s="11" t="n">
        <v>46232</v>
      </c>
      <c r="C16" s="11" t="n">
        <v>46233</v>
      </c>
      <c r="D16" s="10">
        <f>MONTH(B16)&amp;"月"</f>
        <v/>
      </c>
      <c r="E16" s="10" t="inlineStr">
        <is>
          <t>ITインフラSummit 2026 Summer〜AIエージェント時代に不可欠なITインフラの条件とは〜</t>
        </is>
      </c>
      <c r="F16" s="10" t="inlineStr">
        <is>
          <t>日経クロステック（日経BP）</t>
        </is>
      </c>
      <c r="G16" s="10" t="inlineStr"/>
      <c r="H16" s="10" t="inlineStr">
        <is>
          <t>オンライン</t>
        </is>
      </c>
      <c r="I16" s="10" t="inlineStr"/>
      <c r="J16" s="10" t="inlineStr">
        <is>
          <t>生産性向上・業務効率化</t>
        </is>
      </c>
      <c r="K16" s="10" t="inlineStr">
        <is>
          <t>両方</t>
        </is>
      </c>
      <c r="L16" s="10" t="inlineStr">
        <is>
          <t>AIエージェントを動かすためのデータ基盤、APIマネジメント、セキュリティを解説する。MCPはクラウド連携の技術として扱われる。</t>
        </is>
      </c>
      <c r="M16" s="12" t="n"/>
      <c r="N16" s="10" t="inlineStr">
        <is>
          <t>不明</t>
        </is>
      </c>
      <c r="O16" s="10" t="inlineStr">
        <is>
          <t>先着順</t>
        </is>
      </c>
      <c r="P16" s="13" t="inlineStr">
        <is>
          <t>https://events.nikkeibp.co.jp/event/2026/nxt0729infra/</t>
        </is>
      </c>
      <c r="Q16" s="10" t="n"/>
      <c r="R16" s="10" t="inlineStr">
        <is>
          <t>高</t>
        </is>
      </c>
      <c r="S16" s="10" t="inlineStr">
        <is>
          <t>IT部門向け</t>
        </is>
      </c>
    </row>
    <row r="17">
      <c r="A17" s="10" t="n">
        <v>16</v>
      </c>
      <c r="B17" s="11" t="n">
        <v>46232</v>
      </c>
      <c r="C17" s="11" t="n">
        <v>46234</v>
      </c>
      <c r="D17" s="10">
        <f>MONTH(B17)&amp;"月"</f>
        <v/>
      </c>
      <c r="E17" s="10" t="inlineStr">
        <is>
          <t>イプロスAI 2026 夏（講演：富士通「自社で実証。AIエージェントがもたらす別次元の業務変革」）</t>
        </is>
      </c>
      <c r="F17" s="10" t="inlineStr">
        <is>
          <t>イプロス</t>
        </is>
      </c>
      <c r="G17" s="10" t="inlineStr">
        <is>
          <t>富士通（講演）</t>
        </is>
      </c>
      <c r="H17" s="10" t="inlineStr">
        <is>
          <t>会場</t>
        </is>
      </c>
      <c r="I17" s="10" t="inlineStr">
        <is>
          <t>有明GYM-EX</t>
        </is>
      </c>
      <c r="J17" s="10" t="inlineStr">
        <is>
          <t>生産管理・製造・SCM</t>
        </is>
      </c>
      <c r="K17" s="10" t="inlineStr">
        <is>
          <t>AIエージェント</t>
        </is>
      </c>
      <c r="L17" s="10" t="inlineStr">
        <is>
          <t>製造業DXを含むAIソリューションの展示会。7/29の富士通の講演は満員となった。</t>
        </is>
      </c>
      <c r="M17" s="12" t="n">
        <v>10000</v>
      </c>
      <c r="N17" s="10" t="inlineStr">
        <is>
          <t>予定来場者数</t>
        </is>
      </c>
      <c r="O17" s="10" t="inlineStr">
        <is>
          <t>実績値は未確認。予定値は検索要約から取得した</t>
        </is>
      </c>
      <c r="P17" s="13" t="inlineStr">
        <is>
          <t>https://ex.ipros.jp/expo/iprosai/</t>
        </is>
      </c>
      <c r="Q17" s="13" t="inlineStr">
        <is>
          <t>https://prtimes.jp/main/html/rd/p/000000144.000001332.html</t>
        </is>
      </c>
      <c r="R17" s="10" t="inlineStr">
        <is>
          <t>中</t>
        </is>
      </c>
      <c r="S17" s="10" t="n"/>
    </row>
    <row r="18">
      <c r="A18" s="10" t="n">
        <v>17</v>
      </c>
      <c r="B18" s="11" t="n">
        <v>46233</v>
      </c>
      <c r="C18" s="11" t="n">
        <v>46234</v>
      </c>
      <c r="D18" s="10">
        <f>MONTH(B18)&amp;"月"</f>
        <v/>
      </c>
      <c r="E18" s="10" t="inlineStr">
        <is>
          <t>Google Cloud Next Tokyo 26</t>
        </is>
      </c>
      <c r="F18" s="10" t="inlineStr">
        <is>
          <t>グーグル・クラウド・ジャパン</t>
        </is>
      </c>
      <c r="G18" s="10" t="inlineStr"/>
      <c r="H18" s="10" t="inlineStr">
        <is>
          <t>会場</t>
        </is>
      </c>
      <c r="I18" s="10" t="inlineStr">
        <is>
          <t>東京ビッグサイト南展示棟</t>
        </is>
      </c>
      <c r="J18" s="10" t="inlineStr">
        <is>
          <t>大型カンファレンス・展示会</t>
        </is>
      </c>
      <c r="K18" s="10" t="inlineStr">
        <is>
          <t>AIエージェント</t>
        </is>
      </c>
      <c r="L18" s="10" t="inlineStr">
        <is>
          <t>基調講演のテーマは「AIエージェントは検証から本番運用へ」。SOMPOが作った1万体超のAIエージェントなどを紹介した。セッション数は200以上。</t>
        </is>
      </c>
      <c r="M18" s="12" t="n"/>
      <c r="N18" s="10" t="inlineStr">
        <is>
          <t>不明</t>
        </is>
      </c>
      <c r="O18" s="10" t="inlineStr"/>
      <c r="P18" s="13" t="inlineStr">
        <is>
          <t>https://xtech.nikkei.com/atcl/nxt/news/24/03322/</t>
        </is>
      </c>
      <c r="Q18" s="10" t="n"/>
      <c r="R18" s="10" t="inlineStr">
        <is>
          <t>高</t>
        </is>
      </c>
      <c r="S18" s="10" t="n"/>
    </row>
    <row r="19">
      <c r="A19" s="10" t="n">
        <v>18</v>
      </c>
      <c r="B19" s="11" t="n">
        <v>46233</v>
      </c>
      <c r="C19" s="11" t="n">
        <v>46234</v>
      </c>
      <c r="D19" s="10">
        <f>MONTH(B19)&amp;"月"</f>
        <v/>
      </c>
      <c r="E19" s="10" t="inlineStr">
        <is>
          <t>AI駆動開発カンファレンス 2026夏</t>
        </is>
      </c>
      <c r="F19" s="10" t="inlineStr">
        <is>
          <t>AI駆動開発カンファレンス実行委員会</t>
        </is>
      </c>
      <c r="G19" s="10" t="inlineStr"/>
      <c r="H19" s="10" t="inlineStr">
        <is>
          <t>ハイブリッド</t>
        </is>
      </c>
      <c r="I19" s="10" t="inlineStr">
        <is>
          <t>日本マイクロソフト品川オフィス＋YouTube Live</t>
        </is>
      </c>
      <c r="J19" s="10" t="inlineStr">
        <is>
          <t>開発生産性</t>
        </is>
      </c>
      <c r="K19" s="10" t="inlineStr">
        <is>
          <t>AIエージェント</t>
        </is>
      </c>
      <c r="L19" s="10" t="inlineStr">
        <is>
          <t>GitHub CopilotやCursorなどのコーディングエージェントを使い、開発ライフサイクル全体をAIで進める方法を扱うカンファレンス。</t>
        </is>
      </c>
      <c r="M19" s="12" t="n">
        <v>3860</v>
      </c>
      <c r="N19" s="10" t="inlineStr">
        <is>
          <t>申込数</t>
        </is>
      </c>
      <c r="O19" s="10" t="inlineStr">
        <is>
          <t>オンライン申込3,560名（定員4,500名）と会場300名（満席）の合計。connpassの表示</t>
        </is>
      </c>
      <c r="P19" s="13" t="inlineStr">
        <is>
          <t>https://aid.connpass.com/event/392229/</t>
        </is>
      </c>
      <c r="Q19" s="13" t="inlineStr">
        <is>
          <t>https://aid.connpass.com/event/392230/</t>
        </is>
      </c>
      <c r="R19" s="10" t="inlineStr">
        <is>
          <t>高</t>
        </is>
      </c>
      <c r="S19" s="10" t="inlineStr">
        <is>
          <t>開発者向け</t>
        </is>
      </c>
    </row>
    <row r="20">
      <c r="A20" s="10" t="n">
        <v>19</v>
      </c>
      <c r="B20" s="11" t="n">
        <v>46239</v>
      </c>
      <c r="C20" s="11" t="n">
        <v>46239</v>
      </c>
      <c r="D20" s="10">
        <f>MONTH(B20)&amp;"月"</f>
        <v/>
      </c>
      <c r="E20" s="10" t="inlineStr">
        <is>
          <t>AIコーディングエージェント知見共有会</t>
        </is>
      </c>
      <c r="F20" s="10" t="inlineStr">
        <is>
          <t>FFFFF Cafe（株式会社リロード）</t>
        </is>
      </c>
      <c r="G20" s="10" t="inlineStr"/>
      <c r="H20" s="10" t="inlineStr">
        <is>
          <t>会場</t>
        </is>
      </c>
      <c r="I20" s="10" t="inlineStr">
        <is>
          <t>FFFFF Cafe（東京都千代田区）</t>
        </is>
      </c>
      <c r="J20" s="10" t="inlineStr">
        <is>
          <t>開発生産性</t>
        </is>
      </c>
      <c r="K20" s="10" t="inlineStr">
        <is>
          <t>両方</t>
        </is>
      </c>
      <c r="L20" s="10" t="inlineStr">
        <is>
          <t>Claude Code・Codex・Gemini CLI・Cursorの実践ノウハウ、MCP、AIによる業務改善例を共有する勉強会。</t>
        </is>
      </c>
      <c r="M20" s="12" t="n">
        <v>7</v>
      </c>
      <c r="N20" s="10" t="inlineStr">
        <is>
          <t>参加者数</t>
        </is>
      </c>
      <c r="O20" s="10" t="inlineStr">
        <is>
          <t>定員15名。connpassの表示</t>
        </is>
      </c>
      <c r="P20" s="13" t="inlineStr">
        <is>
          <t>https://fffff.connpass.com/event/401155/</t>
        </is>
      </c>
      <c r="Q20" s="10" t="n"/>
      <c r="R20" s="10" t="inlineStr">
        <is>
          <t>高</t>
        </is>
      </c>
      <c r="S20" s="10" t="inlineStr">
        <is>
          <t>小規模</t>
        </is>
      </c>
    </row>
    <row r="21">
      <c r="A21" s="10" t="n">
        <v>20</v>
      </c>
      <c r="B21" s="11" t="n">
        <v>46239</v>
      </c>
      <c r="C21" s="11" t="n">
        <v>46261</v>
      </c>
      <c r="D21" s="10">
        <f>MONTH(B21)&amp;"月"</f>
        <v/>
      </c>
      <c r="E21" s="10" t="inlineStr">
        <is>
          <t>HubSpot AI Breeze エージェント実践ラボ（全6回）</t>
        </is>
      </c>
      <c r="F21" s="10" t="inlineStr">
        <is>
          <t>株式会社100（HubSpot Eliteパートナー）</t>
        </is>
      </c>
      <c r="G21" s="10" t="inlineStr"/>
      <c r="H21" s="10" t="inlineStr">
        <is>
          <t>オンライン</t>
        </is>
      </c>
      <c r="I21" s="10" t="inlineStr">
        <is>
          <t>各回40分</t>
        </is>
      </c>
      <c r="J21" s="10" t="inlineStr">
        <is>
          <t>営業・マーケ・CS</t>
        </is>
      </c>
      <c r="K21" s="10" t="inlineStr">
        <is>
          <t>AIエージェント</t>
        </is>
      </c>
      <c r="L21" s="10" t="inlineStr">
        <is>
          <t>データ・営業・マーケ・カスタマーサービス・カスタムの各Breezeエージェントを、段階的に実務で使えるようにする連続講座。</t>
        </is>
      </c>
      <c r="M21" s="12" t="n"/>
      <c r="N21" s="10" t="inlineStr">
        <is>
          <t>不明</t>
        </is>
      </c>
      <c r="O21" s="10" t="inlineStr">
        <is>
          <t>定員なし</t>
        </is>
      </c>
      <c r="P21" s="13" t="inlineStr">
        <is>
          <t>https://www.100inc.co.jp/news/20260710-webinar-hubspot-ai-breeze-lab</t>
        </is>
      </c>
      <c r="Q21" s="10" t="n"/>
      <c r="R21" s="10" t="inlineStr">
        <is>
          <t>高</t>
        </is>
      </c>
      <c r="S21" s="10" t="n"/>
    </row>
    <row r="22">
      <c r="A22" s="10" t="n">
        <v>21</v>
      </c>
      <c r="B22" s="11" t="n">
        <v>46240</v>
      </c>
      <c r="C22" s="11" t="n">
        <v>46240</v>
      </c>
      <c r="D22" s="10">
        <f>MONTH(B22)&amp;"月"</f>
        <v/>
      </c>
      <c r="E22" s="10" t="inlineStr">
        <is>
          <t>熟練者のノウハウをAIで継承―スキル継承×暗黙知の可視化で実現</t>
        </is>
      </c>
      <c r="F22" s="10" t="inlineStr">
        <is>
          <t>ストックマーク</t>
        </is>
      </c>
      <c r="G22" s="10" t="inlineStr">
        <is>
          <t>Skillnote（共催）</t>
        </is>
      </c>
      <c r="H22" s="10" t="inlineStr">
        <is>
          <t>オンライン</t>
        </is>
      </c>
      <c r="I22" s="10" t="inlineStr"/>
      <c r="J22" s="10" t="inlineStr">
        <is>
          <t>生産管理・製造・SCM</t>
        </is>
      </c>
      <c r="K22" s="10" t="inlineStr">
        <is>
          <t>AIエージェント</t>
        </is>
      </c>
      <c r="L22" s="10" t="inlineStr">
        <is>
          <t>製造業向けAIエージェント「Aconnect」を使い、熟練者の暗黙知を可視化して技能を継承する方法を紹介する。</t>
        </is>
      </c>
      <c r="M22" s="12" t="n"/>
      <c r="N22" s="10" t="inlineStr">
        <is>
          <t>不明</t>
        </is>
      </c>
      <c r="O22" s="10" t="inlineStr">
        <is>
          <t>2026/4/22開催回の再配信</t>
        </is>
      </c>
      <c r="P22" s="13" t="inlineStr">
        <is>
          <t>https://aconnect.stockmark.co.jp/seminar/20260806/</t>
        </is>
      </c>
      <c r="Q22" s="10" t="n"/>
      <c r="R22" s="10" t="inlineStr">
        <is>
          <t>高</t>
        </is>
      </c>
      <c r="S22" s="10" t="n"/>
    </row>
    <row r="23">
      <c r="A23" s="10" t="n">
        <v>22</v>
      </c>
      <c r="B23" s="11" t="n">
        <v>46254</v>
      </c>
      <c r="C23" s="11" t="n">
        <v>46255</v>
      </c>
      <c r="D23" s="10">
        <f>MONTH(B23)&amp;"月"</f>
        <v/>
      </c>
      <c r="E23" s="10" t="inlineStr">
        <is>
          <t>第1回【営業・マーケ・DX推進】AIエージェントDXPO東京'26【夏】</t>
        </is>
      </c>
      <c r="F23" s="10" t="inlineStr">
        <is>
          <t>株式会社ブティックス</t>
        </is>
      </c>
      <c r="G23" s="10" t="inlineStr"/>
      <c r="H23" s="10" t="inlineStr">
        <is>
          <t>会場</t>
        </is>
      </c>
      <c r="I23" s="10" t="inlineStr">
        <is>
          <t>東京ビッグサイト西1-3ホール</t>
        </is>
      </c>
      <c r="J23" s="10" t="inlineStr">
        <is>
          <t>営業・マーケ・CS</t>
        </is>
      </c>
      <c r="K23" s="10" t="inlineStr">
        <is>
          <t>AIエージェント</t>
        </is>
      </c>
      <c r="L23" s="10" t="inlineStr">
        <is>
          <t>営業に特化したAIエージェントの展示会。会話解析・資料作成・議事録AIなどを展示し、専門セミナーは64本。</t>
        </is>
      </c>
      <c r="M23" s="12" t="n"/>
      <c r="N23" s="10" t="inlineStr">
        <is>
          <t>不明</t>
        </is>
      </c>
      <c r="O23" s="10" t="inlineStr">
        <is>
          <t>同時開催のDXPO全体で予定来場者数52,200名との記載があるが、ページ本文では確認できていない</t>
        </is>
      </c>
      <c r="P23" s="13" t="inlineStr">
        <is>
          <t>https://bizexpo.jp/exhibitions/dx-ai-dxpo-202608</t>
        </is>
      </c>
      <c r="Q23" s="13" t="inlineStr">
        <is>
          <t>https://prtimes.jp/main/html/rd/p/000000247.000017704.html</t>
        </is>
      </c>
      <c r="R23" s="10" t="inlineStr">
        <is>
          <t>高</t>
        </is>
      </c>
      <c r="S23" s="10" t="n"/>
    </row>
    <row r="24">
      <c r="A24" s="10" t="n">
        <v>23</v>
      </c>
      <c r="B24" s="11" t="n">
        <v>46260</v>
      </c>
      <c r="C24" s="11" t="n">
        <v>46260</v>
      </c>
      <c r="D24" s="10">
        <f>MONTH(B24)&amp;"月"</f>
        <v/>
      </c>
      <c r="E24" s="10" t="inlineStr">
        <is>
          <t>「導入しただけ」で終わらせない！現場を変えるAI活用ウェビナー</t>
        </is>
      </c>
      <c r="F24" s="10" t="inlineStr">
        <is>
          <t>株式会社アイスマイリー</t>
        </is>
      </c>
      <c r="G24" s="10" t="inlineStr">
        <is>
          <t>中央コンピューター株式会社ほか（3社共催）</t>
        </is>
      </c>
      <c r="H24" s="10" t="inlineStr">
        <is>
          <t>オンライン</t>
        </is>
      </c>
      <c r="I24" s="10" t="inlineStr"/>
      <c r="J24" s="10" t="inlineStr">
        <is>
          <t>生産性向上・業務効率化</t>
        </is>
      </c>
      <c r="K24" s="10" t="inlineStr">
        <is>
          <t>AIエージェント</t>
        </is>
      </c>
      <c r="L24" s="10" t="inlineStr">
        <is>
          <t>AIエージェントを適用する業務の選び方、社内ナレッジの活用、現場への定着を、デモを交えて解説する。</t>
        </is>
      </c>
      <c r="M24" s="12" t="n"/>
      <c r="N24" s="10" t="inlineStr">
        <is>
          <t>不明</t>
        </is>
      </c>
      <c r="O24" s="10" t="inlineStr"/>
      <c r="P24" s="13" t="inlineStr">
        <is>
          <t>https://www.chuo-computer.co.jp/news/20260821/</t>
        </is>
      </c>
      <c r="Q24" s="10" t="n"/>
      <c r="R24" s="10" t="inlineStr">
        <is>
          <t>高</t>
        </is>
      </c>
      <c r="S24" s="10" t="n"/>
    </row>
    <row r="25">
      <c r="A25" s="10" t="n">
        <v>24</v>
      </c>
      <c r="B25" s="11" t="n">
        <v>46260</v>
      </c>
      <c r="C25" s="11" t="n">
        <v>46261</v>
      </c>
      <c r="D25" s="10">
        <f>MONTH(B25)&amp;"月"</f>
        <v/>
      </c>
      <c r="E25" s="10" t="inlineStr">
        <is>
          <t>AI博覧会 Summer 2026</t>
        </is>
      </c>
      <c r="F25" s="10" t="inlineStr">
        <is>
          <t>株式会社アイスマイリー</t>
        </is>
      </c>
      <c r="G25" s="10" t="inlineStr">
        <is>
          <t>出展80社</t>
        </is>
      </c>
      <c r="H25" s="10" t="inlineStr">
        <is>
          <t>会場</t>
        </is>
      </c>
      <c r="I25" s="10" t="inlineStr">
        <is>
          <t>新宿住友ビル三角広場</t>
        </is>
      </c>
      <c r="J25" s="10" t="inlineStr">
        <is>
          <t>大型カンファレンス・展示会</t>
        </is>
      </c>
      <c r="K25" s="10" t="inlineStr">
        <is>
          <t>AIエージェント</t>
        </is>
      </c>
      <c r="L25" s="10" t="inlineStr">
        <is>
          <t>80社が200以上のAI製品を展示し、講演は約40本。AIエージェントやフィジカルAIのゾーンがある。</t>
        </is>
      </c>
      <c r="M25" s="12" t="n">
        <v>8739</v>
      </c>
      <c r="N25" s="10" t="inlineStr">
        <is>
          <t>来場者数</t>
        </is>
      </c>
      <c r="O25" s="10" t="inlineStr">
        <is>
          <t>初日4,245名、2日目4,494名</t>
        </is>
      </c>
      <c r="P25" s="13" t="inlineStr">
        <is>
          <t>https://aismiley.co.jp/ai_news/aihaku-sum2026-report02/</t>
        </is>
      </c>
      <c r="Q25" s="10" t="n"/>
      <c r="R25" s="10" t="inlineStr">
        <is>
          <t>高</t>
        </is>
      </c>
      <c r="S25" s="10" t="n"/>
    </row>
    <row r="26">
      <c r="A26" s="10" t="n">
        <v>25</v>
      </c>
      <c r="B26" s="11" t="n">
        <v>46261</v>
      </c>
      <c r="C26" s="11" t="n">
        <v>46261</v>
      </c>
      <c r="D26" s="10">
        <f>MONTH(B26)&amp;"月"</f>
        <v/>
      </c>
      <c r="E26" s="10" t="inlineStr">
        <is>
          <t>製造DXセミナー #1「見積支援AIエージェント『匠フォース』」</t>
        </is>
      </c>
      <c r="F26" s="10" t="inlineStr">
        <is>
          <t>茨城県産業技術イノベーションセンター</t>
        </is>
      </c>
      <c r="G26" s="10" t="inlineStr">
        <is>
          <t>匠技研工業（講師）</t>
        </is>
      </c>
      <c r="H26" s="10" t="inlineStr">
        <is>
          <t>ハイブリッド</t>
        </is>
      </c>
      <c r="I26" s="10" t="inlineStr"/>
      <c r="J26" s="10" t="inlineStr">
        <is>
          <t>生産管理・製造・SCM</t>
        </is>
      </c>
      <c r="K26" s="10" t="inlineStr">
        <is>
          <t>AIエージェント</t>
        </is>
      </c>
      <c r="L26" s="10" t="inlineStr">
        <is>
          <t>見積と原価管理を自律的に進める、製造業向けAIエージェントを紹介する。対象は県内の中小製造業。</t>
        </is>
      </c>
      <c r="M26" s="12" t="n">
        <v>80</v>
      </c>
      <c r="N26" s="10" t="inlineStr">
        <is>
          <t>定員</t>
        </is>
      </c>
      <c r="O26" s="10" t="inlineStr">
        <is>
          <t>現地30名とオンライン50名の合計</t>
        </is>
      </c>
      <c r="P26" s="13" t="inlineStr">
        <is>
          <t>https://www.itic.pref.ibaraki.jp/infolist/seminar_training/info-20260731/</t>
        </is>
      </c>
      <c r="Q26" s="10" t="n"/>
      <c r="R26" s="10" t="inlineStr">
        <is>
          <t>高</t>
        </is>
      </c>
      <c r="S26" s="10" t="inlineStr">
        <is>
          <t>生産管理（見積・原価）に直結するテーマ</t>
        </is>
      </c>
    </row>
    <row r="27">
      <c r="A27" s="10" t="n">
        <v>26</v>
      </c>
      <c r="B27" s="11" t="n">
        <v>46261</v>
      </c>
      <c r="C27" s="11" t="n">
        <v>46261</v>
      </c>
      <c r="D27" s="10">
        <f>MONTH(B27)&amp;"月"</f>
        <v/>
      </c>
      <c r="E27" s="10" t="inlineStr">
        <is>
          <t>電通デジタル CX Shift Session 2026 Vol.2 人と生成AIが共創する次世代CRM・シナリオ設計</t>
        </is>
      </c>
      <c r="F27" s="10" t="inlineStr">
        <is>
          <t>株式会社電通デジタル</t>
        </is>
      </c>
      <c r="G27" s="10" t="inlineStr">
        <is>
          <t>トレジャーデータ（Treasure AI）</t>
        </is>
      </c>
      <c r="H27" s="10" t="inlineStr">
        <is>
          <t>会場</t>
        </is>
      </c>
      <c r="I27" s="10" t="inlineStr">
        <is>
          <t>電通本社</t>
        </is>
      </c>
      <c r="J27" s="10" t="inlineStr">
        <is>
          <t>営業・マーケ・CS</t>
        </is>
      </c>
      <c r="K27" s="10" t="inlineStr">
        <is>
          <t>AIエージェント</t>
        </is>
      </c>
      <c r="L27" s="10" t="inlineStr">
        <is>
          <t>CDP上に作ったAIエージェントを使い、CRM施策のシナリオ設計から実行・運用までを実演し、参加者も体験する。</t>
        </is>
      </c>
      <c r="M27" s="12" t="n">
        <v>40</v>
      </c>
      <c r="N27" s="10" t="inlineStr">
        <is>
          <t>定員</t>
        </is>
      </c>
      <c r="O27" s="10" t="inlineStr">
        <is>
          <t>申込多数のため受付終了</t>
        </is>
      </c>
      <c r="P27" s="13" t="inlineStr">
        <is>
          <t>https://pages2.dentsudigital.co.jp/seminar/20260827/</t>
        </is>
      </c>
      <c r="Q27" s="10" t="n"/>
      <c r="R27" s="10" t="inlineStr">
        <is>
          <t>高</t>
        </is>
      </c>
      <c r="S27" s="10" t="n"/>
    </row>
    <row r="28">
      <c r="A28" s="10" t="n">
        <v>27</v>
      </c>
      <c r="B28" s="11" t="n">
        <v>46262</v>
      </c>
      <c r="C28" s="11" t="n">
        <v>46262</v>
      </c>
      <c r="D28" s="10">
        <f>MONTH(B28)&amp;"月"</f>
        <v/>
      </c>
      <c r="E28" s="10" t="inlineStr">
        <is>
          <t>Claude Code Meetup Japan #7（Claude Code祭り!）</t>
        </is>
      </c>
      <c r="F28" s="10" t="inlineStr">
        <is>
          <t>AI駆動開発勉強会</t>
        </is>
      </c>
      <c r="G28" s="10" t="inlineStr">
        <is>
          <t>SHIFT（会場提供）</t>
        </is>
      </c>
      <c r="H28" s="10" t="inlineStr">
        <is>
          <t>ハイブリッド</t>
        </is>
      </c>
      <c r="I28" s="10" t="inlineStr">
        <is>
          <t>麻布台ヒルズ森JPタワー48F（SHIFT本社）</t>
        </is>
      </c>
      <c r="J28" s="10" t="inlineStr">
        <is>
          <t>開発生産性</t>
        </is>
      </c>
      <c r="K28" s="10" t="inlineStr">
        <is>
          <t>AIエージェント</t>
        </is>
      </c>
      <c r="L28" s="10" t="inlineStr">
        <is>
          <t>自律型エージェントによるAI駆動開発がテーマ。「開発以外の業務も爆速化」など、非開発業務での活用も扱った。</t>
        </is>
      </c>
      <c r="M28" s="12" t="n">
        <v>1190</v>
      </c>
      <c r="N28" s="10" t="inlineStr">
        <is>
          <t>参加者数</t>
        </is>
      </c>
      <c r="O28" s="10" t="inlineStr">
        <is>
          <t>現地191名（定員250名）とリモート999名（定員1,000名）の合計。connpassの表示</t>
        </is>
      </c>
      <c r="P28" s="13" t="inlineStr">
        <is>
          <t>https://aid.connpass.com/event/402949/</t>
        </is>
      </c>
      <c r="Q28" s="10" t="n"/>
      <c r="R28" s="10" t="inlineStr">
        <is>
          <t>高</t>
        </is>
      </c>
      <c r="S28" s="10" t="n"/>
    </row>
    <row r="29">
      <c r="A29" s="10" t="n">
        <v>28</v>
      </c>
      <c r="B29" s="11" t="n">
        <v>46262</v>
      </c>
      <c r="C29" s="11" t="n">
        <v>46262</v>
      </c>
      <c r="D29" s="10">
        <f>MONTH(B29)&amp;"月"</f>
        <v/>
      </c>
      <c r="E29" s="10" t="inlineStr">
        <is>
          <t>【製造業向け】現場改革＆DX推進ウェビナー！AI導入を全社DXにつなげるには？</t>
        </is>
      </c>
      <c r="F29" s="10" t="inlineStr">
        <is>
          <t>株式会社アイスマイリー</t>
        </is>
      </c>
      <c r="G29" s="10" t="inlineStr">
        <is>
          <t>JINGS・マーレ</t>
        </is>
      </c>
      <c r="H29" s="10" t="inlineStr">
        <is>
          <t>オンライン</t>
        </is>
      </c>
      <c r="I29" s="10" t="inlineStr"/>
      <c r="J29" s="10" t="inlineStr">
        <is>
          <t>生産管理・製造・SCM</t>
        </is>
      </c>
      <c r="K29" s="10" t="inlineStr">
        <is>
          <t>AIエージェント（扱いは小さい）</t>
        </is>
      </c>
      <c r="L29" s="10" t="inlineStr">
        <is>
          <t>トラブルデータのAI活用、品質の作り込み、全社DXの進め方を紹介する。</t>
        </is>
      </c>
      <c r="M29" s="12" t="n"/>
      <c r="N29" s="10" t="inlineStr">
        <is>
          <t>不明</t>
        </is>
      </c>
      <c r="O29" s="10" t="inlineStr"/>
      <c r="P29" s="13" t="inlineStr">
        <is>
          <t>https://aismiley.co.jp/ai_news/20260828webinar/</t>
        </is>
      </c>
      <c r="Q29" s="10" t="n"/>
      <c r="R29" s="10" t="inlineStr">
        <is>
          <t>中</t>
        </is>
      </c>
      <c r="S29" s="10" t="inlineStr">
        <is>
          <t>AIエージェントはテーマの中心ではない</t>
        </is>
      </c>
    </row>
    <row r="30">
      <c r="A30" s="10" t="n">
        <v>29</v>
      </c>
      <c r="B30" s="11" t="n">
        <v>46262</v>
      </c>
      <c r="C30" s="11" t="n">
        <v>46280</v>
      </c>
      <c r="D30" s="10">
        <f>MONTH(B30)&amp;"月"</f>
        <v/>
      </c>
      <c r="E30" s="10" t="inlineStr">
        <is>
          <t>freee Advisor Day 2026「その業務、AIに預けて。その思考、もっと自由に。」</t>
        </is>
      </c>
      <c r="F30" s="10" t="inlineStr">
        <is>
          <t>freee株式会社</t>
        </is>
      </c>
      <c r="G30" s="10" t="inlineStr">
        <is>
          <t>Anthropic Japanが登壇</t>
        </is>
      </c>
      <c r="H30" s="10" t="inlineStr">
        <is>
          <t>会場</t>
        </is>
      </c>
      <c r="I30" s="10" t="inlineStr">
        <is>
          <t>福岡国際会議場（8/28）、うめきたSOUTHホール（9/3）、高輪ゲートウェイコンベンションセンター（9/15）</t>
        </is>
      </c>
      <c r="J30" s="10" t="inlineStr">
        <is>
          <t>生産性向上・業務効率化</t>
        </is>
      </c>
      <c r="K30" s="10" t="inlineStr">
        <is>
          <t>両方（要確認）</t>
        </is>
      </c>
      <c r="L30" s="10" t="inlineStr">
        <is>
          <t>会計事務所のAI活用がテーマ。士業向けのAIエージェント開発基盤「freee Agent Hub」を体験できる。</t>
        </is>
      </c>
      <c r="M30" s="12" t="n"/>
      <c r="N30" s="10" t="inlineStr">
        <is>
          <t>不明</t>
        </is>
      </c>
      <c r="O30" s="10" t="inlineStr">
        <is>
          <t>今年の数値は未公表。前年は3都市合計で約2,000名が参加（公式LPの記載）</t>
        </is>
      </c>
      <c r="P30" s="13" t="inlineStr">
        <is>
          <t>https://www.freee.co.jp/lp2/freee-advisor-day/</t>
        </is>
      </c>
      <c r="Q30" s="13" t="inlineStr">
        <is>
          <t>https://corp.freee.co.jp/news/20260807freee_AIagent&amp;fAH.html</t>
        </is>
      </c>
      <c r="R30" s="10" t="inlineStr">
        <is>
          <t>高</t>
        </is>
      </c>
      <c r="S30" s="10" t="inlineStr">
        <is>
          <t>MCPを扱ったかどうかは関連リリースからの推測</t>
        </is>
      </c>
    </row>
    <row r="31">
      <c r="A31" s="10" t="n">
        <v>30</v>
      </c>
      <c r="B31" s="11" t="n">
        <v>46265</v>
      </c>
      <c r="C31" s="11" t="n">
        <v>46289</v>
      </c>
      <c r="D31" s="10">
        <f>MONTH(B31)&amp;"月"</f>
        <v/>
      </c>
      <c r="E31" s="10" t="inlineStr">
        <is>
          <t>Copilot Studioで加速する業務効率化とAIエージェント活用（8/31・9/10・9/24ほか）</t>
        </is>
      </c>
      <c r="F31" s="10" t="inlineStr">
        <is>
          <t>テクバン株式会社</t>
        </is>
      </c>
      <c r="G31" s="10" t="inlineStr"/>
      <c r="H31" s="10" t="inlineStr">
        <is>
          <t>オンライン</t>
        </is>
      </c>
      <c r="I31" s="10" t="inlineStr">
        <is>
          <t>各回20分</t>
        </is>
      </c>
      <c r="J31" s="10" t="inlineStr">
        <is>
          <t>生産性向上・業務効率化</t>
        </is>
      </c>
      <c r="K31" s="10" t="inlineStr">
        <is>
          <t>AIエージェント</t>
        </is>
      </c>
      <c r="L31" s="10" t="inlineStr">
        <is>
          <t>Copilot StudioでAIエージェントを作って業務を自動化する方法を、導入ステップと事例とともに解説する入門セミナー。</t>
        </is>
      </c>
      <c r="M31" s="12" t="n">
        <v>50</v>
      </c>
      <c r="N31" s="10" t="inlineStr">
        <is>
          <t>定員</t>
        </is>
      </c>
      <c r="O31" s="10" t="inlineStr">
        <is>
          <t>各回の定員。10/6と10/20にも開催予定</t>
        </is>
      </c>
      <c r="P31" s="13" t="inlineStr">
        <is>
          <t>https://www.techvan.co.jp/news/2026/08/0831_14webcopilotstudio.html</t>
        </is>
      </c>
      <c r="Q31" s="10" t="n"/>
      <c r="R31" s="10" t="inlineStr">
        <is>
          <t>高</t>
        </is>
      </c>
      <c r="S31" s="10" t="n"/>
    </row>
    <row r="32">
      <c r="A32" s="10" t="n">
        <v>31</v>
      </c>
      <c r="B32" s="11" t="n">
        <v>46267</v>
      </c>
      <c r="C32" s="11" t="n">
        <v>46267</v>
      </c>
      <c r="D32" s="10">
        <f>MONTH(B32)&amp;"月"</f>
        <v/>
      </c>
      <c r="E32" s="10" t="inlineStr">
        <is>
          <t>HubSpot AIエージェント実装ワークショップ</t>
        </is>
      </c>
      <c r="F32" s="10" t="inlineStr">
        <is>
          <t>HubSpot Japan</t>
        </is>
      </c>
      <c r="G32" s="10" t="inlineStr">
        <is>
          <t>株式会社100（共催）</t>
        </is>
      </c>
      <c r="H32" s="10" t="inlineStr">
        <is>
          <t>会場</t>
        </is>
      </c>
      <c r="I32" s="10" t="inlineStr">
        <is>
          <t>渋谷ソラスタコンファレンス</t>
        </is>
      </c>
      <c r="J32" s="10" t="inlineStr">
        <is>
          <t>営業・マーケ・CS</t>
        </is>
      </c>
      <c r="K32" s="10" t="inlineStr">
        <is>
          <t>AIエージェント</t>
        </is>
      </c>
      <c r="L32" s="10" t="inlineStr">
        <is>
          <t>BreezeエージェントとClaude Codeを使い、重複データの整理、案件創出、問い合わせ対応の自動化を体験するハンズオン。</t>
        </is>
      </c>
      <c r="M32" s="12" t="n">
        <v>50</v>
      </c>
      <c r="N32" s="10" t="inlineStr">
        <is>
          <t>定員</t>
        </is>
      </c>
      <c r="O32" s="10" t="inlineStr">
        <is>
          <t>定員を超えた場合は抽選</t>
        </is>
      </c>
      <c r="P32" s="13" t="inlineStr">
        <is>
          <t>https://www.100inc.co.jp/news/20260805-event-hubspot-ai-agent-workshop</t>
        </is>
      </c>
      <c r="Q32" s="10" t="n"/>
      <c r="R32" s="10" t="inlineStr">
        <is>
          <t>高</t>
        </is>
      </c>
      <c r="S32" s="10" t="n"/>
    </row>
    <row r="33">
      <c r="A33" s="10" t="n">
        <v>32</v>
      </c>
      <c r="B33" s="11" t="n">
        <v>46268</v>
      </c>
      <c r="C33" s="11" t="n">
        <v>46268</v>
      </c>
      <c r="D33" s="10">
        <f>MONTH(B33)&amp;"月"</f>
        <v/>
      </c>
      <c r="E33" s="10" t="inlineStr">
        <is>
          <t>Hello Joule!ウェビナー〜AIで部門を横断し、判断と実行を同期するサプライチェーン〜</t>
        </is>
      </c>
      <c r="F33" s="10" t="inlineStr">
        <is>
          <t>SAPジャパン</t>
        </is>
      </c>
      <c r="G33" s="10" t="inlineStr">
        <is>
          <t>JSUG（掲載）</t>
        </is>
      </c>
      <c r="H33" s="10" t="inlineStr">
        <is>
          <t>オンライン</t>
        </is>
      </c>
      <c r="I33" s="10" t="inlineStr"/>
      <c r="J33" s="10" t="inlineStr">
        <is>
          <t>生産管理・製造・SCM</t>
        </is>
      </c>
      <c r="K33" s="10" t="inlineStr">
        <is>
          <t>AIエージェント</t>
        </is>
      </c>
      <c r="L33" s="10" t="inlineStr">
        <is>
          <t>SAPのAIエージェントが、需要・供給・在庫・製造・物流のデータを横断して分析し、自律型サプライチェーンを支える様子を紹介する。</t>
        </is>
      </c>
      <c r="M33" s="12" t="n"/>
      <c r="N33" s="10" t="inlineStr">
        <is>
          <t>不明</t>
        </is>
      </c>
      <c r="O33" s="10" t="inlineStr"/>
      <c r="P33" s="13" t="inlineStr">
        <is>
          <t>https://www.jsug.org/post/schedule-joule-webiner-20260903</t>
        </is>
      </c>
      <c r="Q33" s="10" t="n"/>
      <c r="R33" s="10" t="inlineStr">
        <is>
          <t>高</t>
        </is>
      </c>
      <c r="S33" s="10" t="n"/>
    </row>
    <row r="34">
      <c r="A34" s="10" t="n">
        <v>33</v>
      </c>
      <c r="B34" s="11" t="n">
        <v>46268</v>
      </c>
      <c r="C34" s="11" t="n">
        <v>46269</v>
      </c>
      <c r="D34" s="10">
        <f>MONTH(B34)&amp;"月"</f>
        <v/>
      </c>
      <c r="E34" s="10" t="inlineStr">
        <is>
          <t>DXシステム開発 Expo／ものづくりDX Expo／AI Innovation Tokyo 2026</t>
        </is>
      </c>
      <c r="F34" s="10" t="inlineStr">
        <is>
          <t>ナノオプト・メディア</t>
        </is>
      </c>
      <c r="G34" s="10" t="inlineStr"/>
      <c r="H34" s="10" t="inlineStr">
        <is>
          <t>会場</t>
        </is>
      </c>
      <c r="I34" s="10" t="inlineStr">
        <is>
          <t>東京都立産業貿易センター浜松町館</t>
        </is>
      </c>
      <c r="J34" s="10" t="inlineStr">
        <is>
          <t>生産管理・製造・SCM</t>
        </is>
      </c>
      <c r="K34" s="10" t="inlineStr">
        <is>
          <t>AIエージェント</t>
        </is>
      </c>
      <c r="L34" s="10" t="inlineStr">
        <is>
          <t>3展の同時開催。Google Cloudが「GeminiでのAIエージェント開発・運用」を講演し、製造業でのAI導入に関する講演もあった。</t>
        </is>
      </c>
      <c r="M34" s="12" t="n">
        <v>3118</v>
      </c>
      <c r="N34" s="10" t="inlineStr">
        <is>
          <t>来場者数</t>
        </is>
      </c>
      <c r="O34" s="10" t="inlineStr">
        <is>
          <t>前回は2,664名</t>
        </is>
      </c>
      <c r="P34" s="13" t="inlineStr">
        <is>
          <t>https://f2ff.jp/event/dx-ai</t>
        </is>
      </c>
      <c r="Q34" s="10" t="n"/>
      <c r="R34" s="10" t="inlineStr">
        <is>
          <t>中</t>
        </is>
      </c>
      <c r="S34" s="10" t="n"/>
    </row>
    <row r="35">
      <c r="A35" s="10" t="n">
        <v>34</v>
      </c>
      <c r="B35" s="11" t="n">
        <v>46269</v>
      </c>
      <c r="C35" s="11" t="n">
        <v>46280</v>
      </c>
      <c r="D35" s="10">
        <f>MONTH(B35)&amp;"月"</f>
        <v/>
      </c>
      <c r="E35" s="10" t="inlineStr">
        <is>
          <t>Optimize Next MCP ライブ実演ウェビナー（9/4・9/9・9/15）</t>
        </is>
      </c>
      <c r="F35" s="10" t="inlineStr">
        <is>
          <t>PROJECT GROUP株式会社</t>
        </is>
      </c>
      <c r="G35" s="10" t="inlineStr">
        <is>
          <t>株式会社A1Growth（9/9のみ共催）</t>
        </is>
      </c>
      <c r="H35" s="10" t="inlineStr">
        <is>
          <t>オンライン</t>
        </is>
      </c>
      <c r="I35" s="10" t="inlineStr">
        <is>
          <t>Zoom</t>
        </is>
      </c>
      <c r="J35" s="10" t="inlineStr">
        <is>
          <t>営業・マーケ・CS</t>
        </is>
      </c>
      <c r="K35" s="10" t="inlineStr">
        <is>
          <t>両方（MCPが中心）</t>
        </is>
      </c>
      <c r="L35" s="10" t="inlineStr">
        <is>
          <t>AIにチャットで指示するだけでABテストを実装・公開する様子を実演し、MCPを使う手順を解説する。</t>
        </is>
      </c>
      <c r="M35" s="12" t="n"/>
      <c r="N35" s="10" t="inlineStr">
        <is>
          <t>不明</t>
        </is>
      </c>
      <c r="O35" s="10" t="inlineStr"/>
      <c r="P35" s="13" t="inlineStr">
        <is>
          <t>https://prtimes.jp/main/html/rd/p/000000032.000042640.html</t>
        </is>
      </c>
      <c r="Q35" s="10" t="n"/>
      <c r="R35" s="10" t="inlineStr">
        <is>
          <t>高</t>
        </is>
      </c>
      <c r="S35" s="10" t="inlineStr">
        <is>
          <t>マーケ業務の自動化</t>
        </is>
      </c>
    </row>
    <row r="36">
      <c r="A36" s="10" t="n">
        <v>35</v>
      </c>
      <c r="B36" s="11" t="n">
        <v>46273</v>
      </c>
      <c r="C36" s="11" t="n">
        <v>46274</v>
      </c>
      <c r="D36" s="10">
        <f>MONTH(B36)&amp;"月"</f>
        <v/>
      </c>
      <c r="E36" s="10" t="inlineStr">
        <is>
          <t>MarkeZine Day 2026 Autumn「RE-VISION」</t>
        </is>
      </c>
      <c r="F36" s="10" t="inlineStr">
        <is>
          <t>翔泳社 MarkeZine編集部</t>
        </is>
      </c>
      <c r="G36" s="10" t="inlineStr"/>
      <c r="H36" s="10" t="inlineStr">
        <is>
          <t>会場</t>
        </is>
      </c>
      <c r="I36" s="10" t="inlineStr">
        <is>
          <t>JPタワー ホール&amp;カンファレンス（KITTE 4F）</t>
        </is>
      </c>
      <c r="J36" s="10" t="inlineStr">
        <is>
          <t>営業・マーケ・CS</t>
        </is>
      </c>
      <c r="K36" s="10" t="inlineStr">
        <is>
          <t>AIエージェント</t>
        </is>
      </c>
      <c r="L36" s="10" t="inlineStr">
        <is>
          <t>60以上のセッション。オープニングは「AIエージェント時代のマーケティング変革」で、エージェンティックコマースも扱った。</t>
        </is>
      </c>
      <c r="M36" s="12" t="n"/>
      <c r="N36" s="10" t="inlineStr">
        <is>
          <t>不明</t>
        </is>
      </c>
      <c r="O36" s="10" t="inlineStr">
        <is>
          <t>当日登録枠を追加したとの告知あり</t>
        </is>
      </c>
      <c r="P36" s="13" t="inlineStr">
        <is>
          <t>https://event.shoeisha.jp/mzday</t>
        </is>
      </c>
      <c r="Q36" s="13" t="inlineStr">
        <is>
          <t>https://corp.intimatemerger.com/news/20260813_markezinday/</t>
        </is>
      </c>
      <c r="R36" s="10" t="inlineStr">
        <is>
          <t>高</t>
        </is>
      </c>
      <c r="S36" s="10" t="inlineStr">
        <is>
          <t>セッション名は検索要約から取得した</t>
        </is>
      </c>
    </row>
    <row r="37">
      <c r="A37" s="10" t="n">
        <v>36</v>
      </c>
      <c r="B37" s="11" t="n">
        <v>46273</v>
      </c>
      <c r="C37" s="11" t="n">
        <v>46276</v>
      </c>
      <c r="D37" s="10">
        <f>MONTH(B37)&amp;"月"</f>
        <v/>
      </c>
      <c r="E37" s="10" t="inlineStr">
        <is>
          <t>第17回 国際物流総合展 2026（Logis-Tech Tokyo）</t>
        </is>
      </c>
      <c r="F37" s="10" t="inlineStr">
        <is>
          <t>日本ロジスティクスシステム協会・日本能率協会</t>
        </is>
      </c>
      <c r="G37" s="10" t="inlineStr"/>
      <c r="H37" s="10" t="inlineStr">
        <is>
          <t>会場</t>
        </is>
      </c>
      <c r="I37" s="10" t="inlineStr">
        <is>
          <t>東京ビッグサイト東・西</t>
        </is>
      </c>
      <c r="J37" s="10" t="inlineStr">
        <is>
          <t>生産管理・製造・SCM</t>
        </is>
      </c>
      <c r="K37" s="10" t="inlineStr">
        <is>
          <t>AIエージェント</t>
        </is>
      </c>
      <c r="L37" s="10" t="inlineStr">
        <is>
          <t>物流の自動化とAI活用を扱う展示とセミナー。AI時代の次世代WMSやAI自動発注など、AI関連の講演が多い。</t>
        </is>
      </c>
      <c r="M37" s="12" t="n">
        <v>77940</v>
      </c>
      <c r="N37" s="10" t="inlineStr">
        <is>
          <t>来場登録者数</t>
        </is>
      </c>
      <c r="O37" s="10" t="inlineStr">
        <is>
          <t>前回は84,193名。出展は565社・団体</t>
        </is>
      </c>
      <c r="P37" s="13" t="inlineStr">
        <is>
          <t>https://www.logis-tech-tokyo.gr.jp/ltt/report/quick.html</t>
        </is>
      </c>
      <c r="Q37" s="13" t="inlineStr">
        <is>
          <t>https://www.logis-tech-tokyo.gr.jp/ltt/seminar/</t>
        </is>
      </c>
      <c r="R37" s="10" t="inlineStr">
        <is>
          <t>高</t>
        </is>
      </c>
      <c r="S37" s="10" t="n"/>
    </row>
    <row r="38">
      <c r="A38" s="10" t="n">
        <v>37</v>
      </c>
      <c r="B38" s="11" t="n">
        <v>46274</v>
      </c>
      <c r="C38" s="11" t="n">
        <v>46274</v>
      </c>
      <c r="D38" s="10">
        <f>MONTH(B38)&amp;"月"</f>
        <v/>
      </c>
      <c r="E38" s="10" t="inlineStr">
        <is>
          <t>【水曜のDX道場】GitHub MCPを使ってみましょう（Vol.33）</t>
        </is>
      </c>
      <c r="F38" s="10" t="inlineStr">
        <is>
          <t>水曜のDX道場</t>
        </is>
      </c>
      <c r="G38" s="10" t="inlineStr"/>
      <c r="H38" s="10" t="inlineStr">
        <is>
          <t>ハイブリッド</t>
        </is>
      </c>
      <c r="I38" s="10" t="inlineStr">
        <is>
          <t>コミュニティスペース5.6（大阪市北区）＋オンライン</t>
        </is>
      </c>
      <c r="J38" s="10" t="inlineStr">
        <is>
          <t>開発生産性</t>
        </is>
      </c>
      <c r="K38" s="10" t="inlineStr">
        <is>
          <t>MCP</t>
        </is>
      </c>
      <c r="L38" s="10" t="inlineStr">
        <is>
          <t>GitHub MCPをハンズオンで試し、GitHub Actionsによる自動デプロイまでを体験する勉強会。</t>
        </is>
      </c>
      <c r="M38" s="12" t="n">
        <v>7</v>
      </c>
      <c r="N38" s="10" t="inlineStr">
        <is>
          <t>参加者数</t>
        </is>
      </c>
      <c r="O38" s="10" t="inlineStr">
        <is>
          <t>オンライン5名と会場2名の合計。connpassの表示</t>
        </is>
      </c>
      <c r="P38" s="13" t="inlineStr">
        <is>
          <t>https://dxdojo.connpass.com/event/406058/</t>
        </is>
      </c>
      <c r="Q38" s="10" t="n"/>
      <c r="R38" s="10" t="inlineStr">
        <is>
          <t>高</t>
        </is>
      </c>
      <c r="S38" s="10" t="inlineStr">
        <is>
          <t>小規模</t>
        </is>
      </c>
    </row>
    <row r="39">
      <c r="A39" s="10" t="n">
        <v>38</v>
      </c>
      <c r="B39" s="11" t="n">
        <v>46274</v>
      </c>
      <c r="C39" s="11" t="n">
        <v>46274</v>
      </c>
      <c r="D39" s="10">
        <f>MONTH(B39)&amp;"月"</f>
        <v/>
      </c>
      <c r="E39" s="10" t="inlineStr">
        <is>
          <t>AIミーティング 2026/09/09 #AIエージェント #MCP</t>
        </is>
      </c>
      <c r="F39" s="10" t="inlineStr">
        <is>
          <t>大阪駆動開発</t>
        </is>
      </c>
      <c r="G39" s="10" t="inlineStr"/>
      <c r="H39" s="10" t="inlineStr">
        <is>
          <t>オンライン</t>
        </is>
      </c>
      <c r="I39" s="10" t="inlineStr">
        <is>
          <t>YouTube＋Zoom</t>
        </is>
      </c>
      <c r="J39" s="10" t="inlineStr">
        <is>
          <t>開発生産性</t>
        </is>
      </c>
      <c r="K39" s="10" t="inlineStr">
        <is>
          <t>両方</t>
        </is>
      </c>
      <c r="L39" s="10" t="inlineStr">
        <is>
          <t>LLMやAIエージェントについて「調べてみた・作ってみた」を共有するLTイベント。</t>
        </is>
      </c>
      <c r="M39" s="12" t="n">
        <v>56</v>
      </c>
      <c r="N39" s="10" t="inlineStr">
        <is>
          <t>参加者数</t>
        </is>
      </c>
      <c r="O39" s="10" t="inlineStr">
        <is>
          <t>connpassの表示</t>
        </is>
      </c>
      <c r="P39" s="13" t="inlineStr">
        <is>
          <t>https://osaka-driven-dev.connpass.com/event/403631/</t>
        </is>
      </c>
      <c r="Q39" s="10" t="n"/>
      <c r="R39" s="10" t="inlineStr">
        <is>
          <t>高</t>
        </is>
      </c>
      <c r="S39" s="10" t="n"/>
    </row>
    <row r="40">
      <c r="A40" s="10" t="n">
        <v>39</v>
      </c>
      <c r="B40" s="11" t="n">
        <v>46274</v>
      </c>
      <c r="C40" s="11" t="n">
        <v>46276</v>
      </c>
      <c r="D40" s="10">
        <f>MONTH(B40)&amp;"月"</f>
        <v/>
      </c>
      <c r="E40" s="10" t="inlineStr">
        <is>
          <t>ファクトリーイノベーションWeek［秋］2026（スマート工場EXPO・生成AI World ほか）</t>
        </is>
      </c>
      <c r="F40" s="10" t="inlineStr">
        <is>
          <t>RX Japan</t>
        </is>
      </c>
      <c r="G40" s="10" t="inlineStr"/>
      <c r="H40" s="10" t="inlineStr">
        <is>
          <t>会場</t>
        </is>
      </c>
      <c r="I40" s="10" t="inlineStr">
        <is>
          <t>幕張メッセ</t>
        </is>
      </c>
      <c r="J40" s="10" t="inlineStr">
        <is>
          <t>生産管理・製造・SCM</t>
        </is>
      </c>
      <c r="K40" s="10" t="inlineStr">
        <is>
          <t>AIエージェント</t>
        </is>
      </c>
      <c r="L40" s="10" t="inlineStr">
        <is>
          <t>IoTによる見える化、生成AI、AI外観検査、生産管理システムなど、工場DXの製品が集まる展示会。</t>
        </is>
      </c>
      <c r="M40" s="12" t="n">
        <v>33925</v>
      </c>
      <c r="N40" s="10" t="inlineStr">
        <is>
          <t>来場者数</t>
        </is>
      </c>
      <c r="O40" s="10" t="inlineStr">
        <is>
          <t>速報値（同時開催展を含む）。9/9は9,771名、9/10は11,281名、9/11は12,873名</t>
        </is>
      </c>
      <c r="P40" s="13" t="inlineStr">
        <is>
          <t>https://www.fiweek.jp/autumn/ja-jp/about/previous/visitorcount.html</t>
        </is>
      </c>
      <c r="Q40" s="10" t="n"/>
      <c r="R40" s="10" t="inlineStr">
        <is>
          <t>高</t>
        </is>
      </c>
      <c r="S40" s="10" t="inlineStr">
        <is>
          <t>生産管理システムの展示あり</t>
        </is>
      </c>
    </row>
    <row r="41">
      <c r="A41" s="10" t="n">
        <v>40</v>
      </c>
      <c r="B41" s="11" t="n">
        <v>46275</v>
      </c>
      <c r="C41" s="11" t="n">
        <v>46275</v>
      </c>
      <c r="D41" s="10">
        <f>MONTH(B41)&amp;"月"</f>
        <v/>
      </c>
      <c r="E41" s="10" t="inlineStr">
        <is>
          <t>【Claude超入門】チャットで終わらせない、AIエージェント活用の第一歩</t>
        </is>
      </c>
      <c r="F41" s="10" t="inlineStr">
        <is>
          <t>アジアクエスト株式会社</t>
        </is>
      </c>
      <c r="G41" s="10" t="inlineStr"/>
      <c r="H41" s="10" t="inlineStr">
        <is>
          <t>オンライン</t>
        </is>
      </c>
      <c r="I41" s="10" t="inlineStr"/>
      <c r="J41" s="10" t="inlineStr">
        <is>
          <t>生産性向上・業務効率化</t>
        </is>
      </c>
      <c r="K41" s="10" t="inlineStr">
        <is>
          <t>AIエージェント</t>
        </is>
      </c>
      <c r="L41" s="10" t="inlineStr">
        <is>
          <t>チャット型AIから、実際に作業を任せるAIエージェントへの移り方を、Claude CodeとClaude Coworkのデモで紹介する。</t>
        </is>
      </c>
      <c r="M41" s="12" t="n">
        <v>58</v>
      </c>
      <c r="N41" s="10" t="inlineStr">
        <is>
          <t>参加者数</t>
        </is>
      </c>
      <c r="O41" s="10" t="inlineStr">
        <is>
          <t>connpassの表示</t>
        </is>
      </c>
      <c r="P41" s="13" t="inlineStr">
        <is>
          <t>https://asiaquest.connpass.com/event/404823/</t>
        </is>
      </c>
      <c r="Q41" s="10" t="n"/>
      <c r="R41" s="10" t="inlineStr">
        <is>
          <t>高</t>
        </is>
      </c>
      <c r="S41" s="10" t="n"/>
    </row>
    <row r="42">
      <c r="A42" s="10" t="n">
        <v>41</v>
      </c>
      <c r="B42" s="11" t="n">
        <v>46275</v>
      </c>
      <c r="C42" s="11" t="n">
        <v>46275</v>
      </c>
      <c r="D42" s="10">
        <f>MONTH(B42)&amp;"月"</f>
        <v/>
      </c>
      <c r="E42" s="10" t="inlineStr">
        <is>
          <t>AI Sales Conference 2026〜AIで、一人あたりの生産性を最大化し、売上を伸ばす〜</t>
        </is>
      </c>
      <c r="F42" s="10" t="inlineStr">
        <is>
          <t>株式会社SalesNow</t>
        </is>
      </c>
      <c r="G42" s="10" t="inlineStr">
        <is>
          <t>Salesforce Japan・Zoom・SALESCORE・Magic Moment ほか</t>
        </is>
      </c>
      <c r="H42" s="10" t="inlineStr">
        <is>
          <t>オンライン</t>
        </is>
      </c>
      <c r="I42" s="10" t="inlineStr"/>
      <c r="J42" s="10" t="inlineStr">
        <is>
          <t>営業・マーケ・CS</t>
        </is>
      </c>
      <c r="K42" s="10" t="inlineStr">
        <is>
          <t>AIエージェント</t>
        </is>
      </c>
      <c r="L42" s="10" t="inlineStr">
        <is>
          <t>AIと人の分業設計、定型業務の自動化、商談品質の向上を扱う。対象はAI導入後も成果が出ない営業組織。</t>
        </is>
      </c>
      <c r="M42" s="12" t="n"/>
      <c r="N42" s="10" t="inlineStr">
        <is>
          <t>不明</t>
        </is>
      </c>
      <c r="O42" s="10" t="inlineStr"/>
      <c r="P42" s="13" t="inlineStr">
        <is>
          <t>https://salesnow.jp/seminars/58/</t>
        </is>
      </c>
      <c r="Q42" s="13" t="inlineStr">
        <is>
          <t>https://techplay.jp/event/999720</t>
        </is>
      </c>
      <c r="R42" s="10" t="inlineStr">
        <is>
          <t>高</t>
        </is>
      </c>
      <c r="S42" s="10" t="n"/>
    </row>
    <row r="43">
      <c r="A43" s="10" t="n">
        <v>42</v>
      </c>
      <c r="B43" s="11" t="n">
        <v>46275</v>
      </c>
      <c r="C43" s="11" t="n">
        <v>46275</v>
      </c>
      <c r="D43" s="10">
        <f>MONTH(B43)&amp;"月"</f>
        <v/>
      </c>
      <c r="E43" s="10" t="inlineStr">
        <is>
          <t>AI Marketing Day 2026</t>
        </is>
      </c>
      <c r="F43" s="10" t="inlineStr">
        <is>
          <t>Media Innovation（株式会社イード）</t>
        </is>
      </c>
      <c r="G43" s="10" t="inlineStr">
        <is>
          <t>博報堂テクノロジーズ ほか</t>
        </is>
      </c>
      <c r="H43" s="10" t="inlineStr">
        <is>
          <t>ハイブリッド</t>
        </is>
      </c>
      <c r="I43" s="10" t="inlineStr">
        <is>
          <t>大手町プレイス ホール&amp;カンファレンス</t>
        </is>
      </c>
      <c r="J43" s="10" t="inlineStr">
        <is>
          <t>営業・マーケ・CS</t>
        </is>
      </c>
      <c r="K43" s="10" t="inlineStr">
        <is>
          <t>AIエージェント</t>
        </is>
      </c>
      <c r="L43" s="10" t="inlineStr">
        <is>
          <t>エージェンティックAIがマーケティングをどう変えるかを議論し、AIエージェントの開発事例をデモで紹介する。</t>
        </is>
      </c>
      <c r="M43" s="12" t="n"/>
      <c r="N43" s="10" t="inlineStr">
        <is>
          <t>不明</t>
        </is>
      </c>
      <c r="O43" s="10" t="inlineStr"/>
      <c r="P43" s="13" t="inlineStr">
        <is>
          <t>https://media-innovation.jp/article/2026/07/06/143478.html</t>
        </is>
      </c>
      <c r="Q43" s="10" t="n"/>
      <c r="R43" s="10" t="inlineStr">
        <is>
          <t>高</t>
        </is>
      </c>
      <c r="S43" s="10" t="n"/>
    </row>
    <row r="44">
      <c r="A44" s="10" t="n">
        <v>43</v>
      </c>
      <c r="B44" s="11" t="n">
        <v>46275</v>
      </c>
      <c r="C44" s="11" t="n">
        <v>46276</v>
      </c>
      <c r="D44" s="10">
        <f>MONTH(B44)&amp;"月"</f>
        <v/>
      </c>
      <c r="E44" s="10" t="inlineStr">
        <is>
          <t>AGNTCon + MCPCon Japan 2026</t>
        </is>
      </c>
      <c r="F44" s="10" t="inlineStr">
        <is>
          <t>Agentic AI Foundation（AAIF）／Linux Foundation</t>
        </is>
      </c>
      <c r="G44" s="10" t="inlineStr">
        <is>
          <t>Anthropic・日立・ソフトバンク・NTT・Workato ほか</t>
        </is>
      </c>
      <c r="H44" s="10" t="inlineStr">
        <is>
          <t>会場</t>
        </is>
      </c>
      <c r="I44" s="10" t="inlineStr">
        <is>
          <t>ベルサール渋谷ガーデン</t>
        </is>
      </c>
      <c r="J44" s="10" t="inlineStr">
        <is>
          <t>大型カンファレンス・展示会</t>
        </is>
      </c>
      <c r="K44" s="10" t="inlineStr">
        <is>
          <t>両方</t>
        </is>
      </c>
      <c r="L44" s="10" t="inlineStr">
        <is>
          <t>日本で初めてのAgentic AI・MCPのカンファレンス。MCPの共同作者David Soria Parra氏が基調講演し、企業システムとの接続課題を議論した。</t>
        </is>
      </c>
      <c r="M44" s="12" t="n"/>
      <c r="N44" s="10" t="inlineStr">
        <is>
          <t>不明</t>
        </is>
      </c>
      <c r="O44" s="10" t="inlineStr">
        <is>
          <t>通常の入場券は6万円</t>
        </is>
      </c>
      <c r="P44" s="13" t="inlineStr">
        <is>
          <t>https://www.publickey1.jp/blog/26/anthropicmcpmcpagntconmcpcon_japan_2026.html</t>
        </is>
      </c>
      <c r="Q44" s="13" t="inlineStr">
        <is>
          <t>https://gihyo.jp/article/2026/09/aaif-mcp-a2a-briefing</t>
        </is>
      </c>
      <c r="R44" s="10" t="inlineStr">
        <is>
          <t>高</t>
        </is>
      </c>
      <c r="S44" s="10" t="inlineStr">
        <is>
          <t>MCPを主題とする最大のイベント</t>
        </is>
      </c>
    </row>
    <row r="45">
      <c r="A45" s="10" t="n">
        <v>44</v>
      </c>
      <c r="B45" s="11" t="n">
        <v>46275</v>
      </c>
      <c r="C45" s="11" t="n">
        <v>46276</v>
      </c>
      <c r="D45" s="10">
        <f>MONTH(B45)&amp;"月"</f>
        <v/>
      </c>
      <c r="E45" s="10" t="inlineStr">
        <is>
          <t>第29回 カスタマーサポートシンポジウム</t>
        </is>
      </c>
      <c r="F45" s="10" t="inlineStr">
        <is>
          <t>公益社団法人企業情報化協会（IT協会）</t>
        </is>
      </c>
      <c r="G45" s="10" t="inlineStr">
        <is>
          <t>AI²（講演）ほか</t>
        </is>
      </c>
      <c r="H45" s="10" t="inlineStr">
        <is>
          <t>ハイブリッド</t>
        </is>
      </c>
      <c r="I45" s="10" t="inlineStr">
        <is>
          <t>東京プリンスホテル</t>
        </is>
      </c>
      <c r="J45" s="10" t="inlineStr">
        <is>
          <t>営業・マーケ・CS</t>
        </is>
      </c>
      <c r="K45" s="10" t="inlineStr">
        <is>
          <t>AIエージェント（一部セッション）</t>
        </is>
      </c>
      <c r="L45" s="10" t="inlineStr">
        <is>
          <t>生成AIによるCXと現場の改革を扱う。質問型AIエージェント「Navie」などが紹介された。</t>
        </is>
      </c>
      <c r="M45" s="12" t="n"/>
      <c r="N45" s="10" t="inlineStr">
        <is>
          <t>不明</t>
        </is>
      </c>
      <c r="O45" s="10" t="inlineStr"/>
      <c r="P45" s="13" t="inlineStr">
        <is>
          <t>https://ai2-jp.com/news/2026/07/17/20055/</t>
        </is>
      </c>
      <c r="Q45" s="10" t="n"/>
      <c r="R45" s="10" t="inlineStr">
        <is>
          <t>高</t>
        </is>
      </c>
      <c r="S45" s="10" t="n"/>
    </row>
    <row r="46">
      <c r="A46" s="10" t="n">
        <v>45</v>
      </c>
      <c r="B46" s="11" t="n">
        <v>46276</v>
      </c>
      <c r="C46" s="11" t="n">
        <v>46276</v>
      </c>
      <c r="D46" s="10">
        <f>MONTH(B46)&amp;"月"</f>
        <v/>
      </c>
      <c r="E46" s="10" t="inlineStr">
        <is>
          <t>AI&amp;DX Leaders' Conference 2026 AIエージェント時代に『描く』人・組織・事業の未来</t>
        </is>
      </c>
      <c r="F46" s="10" t="inlineStr">
        <is>
          <t>産経新聞社</t>
        </is>
      </c>
      <c r="G46" s="10" t="inlineStr">
        <is>
          <t>一般社団法人生成AI活用普及協会（GUGA）</t>
        </is>
      </c>
      <c r="H46" s="10" t="inlineStr">
        <is>
          <t>会場</t>
        </is>
      </c>
      <c r="I46" s="10" t="inlineStr">
        <is>
          <t>大手町プレイス ホール&amp;カンファレンス</t>
        </is>
      </c>
      <c r="J46" s="10" t="inlineStr">
        <is>
          <t>生産性向上・業務効率化</t>
        </is>
      </c>
      <c r="K46" s="10" t="inlineStr">
        <is>
          <t>AIエージェント</t>
        </is>
      </c>
      <c r="L46" s="10" t="inlineStr">
        <is>
          <t>効率化のための生成AIから、自律型AIエージェントやフィジカルAIへの進化を踏まえ、経営戦略と組織のあり方を議論する。</t>
        </is>
      </c>
      <c r="M46" s="12" t="n">
        <v>1000</v>
      </c>
      <c r="N46" s="10" t="inlineStr">
        <is>
          <t>定員</t>
        </is>
      </c>
      <c r="O46" s="10" t="inlineStr"/>
      <c r="P46" s="13" t="inlineStr">
        <is>
          <t>https://prtimes.jp/main/html/rd/p/000002092.000022608.html</t>
        </is>
      </c>
      <c r="Q46" s="10" t="n"/>
      <c r="R46" s="10" t="inlineStr">
        <is>
          <t>高</t>
        </is>
      </c>
      <c r="S46" s="10" t="n"/>
    </row>
    <row r="47">
      <c r="A47" s="10" t="n">
        <v>46</v>
      </c>
      <c r="B47" s="11" t="n">
        <v>46279</v>
      </c>
      <c r="C47" s="11" t="n">
        <v>46279</v>
      </c>
      <c r="D47" s="10">
        <f>MONTH(B47)&amp;"月"</f>
        <v/>
      </c>
      <c r="E47" s="10" t="inlineStr">
        <is>
          <t>そのCRM、3年後も使えますか？-AIと働く時代に後悔しないための4つの選定基準-</t>
        </is>
      </c>
      <c r="F47" s="10" t="inlineStr">
        <is>
          <t>株式会社セールスフォース・ジャパン</t>
        </is>
      </c>
      <c r="G47" s="10" t="inlineStr"/>
      <c r="H47" s="10" t="inlineStr">
        <is>
          <t>オンライン</t>
        </is>
      </c>
      <c r="I47" s="10" t="inlineStr">
        <is>
          <t>オンデマンド配信あり</t>
        </is>
      </c>
      <c r="J47" s="10" t="inlineStr">
        <is>
          <t>営業・マーケ・CS</t>
        </is>
      </c>
      <c r="K47" s="10" t="inlineStr">
        <is>
          <t>AIエージェント</t>
        </is>
      </c>
      <c r="L47" s="10" t="inlineStr">
        <is>
          <t>AIエージェントへの対応、マルチAIのガバナンス、Slack/Teams連携など、AI時代にCRMを選ぶ4つの基準を解説する。</t>
        </is>
      </c>
      <c r="M47" s="12" t="n"/>
      <c r="N47" s="10" t="inlineStr">
        <is>
          <t>不明</t>
        </is>
      </c>
      <c r="O47" s="10" t="inlineStr"/>
      <c r="P47" s="13" t="inlineStr">
        <is>
          <t>https://www.salesforce.com/jp/events/webinars/no-regret-crm/</t>
        </is>
      </c>
      <c r="Q47" s="10" t="n"/>
      <c r="R47" s="10" t="inlineStr">
        <is>
          <t>高</t>
        </is>
      </c>
      <c r="S47" s="10" t="n"/>
    </row>
    <row r="48">
      <c r="A48" s="10" t="n">
        <v>47</v>
      </c>
      <c r="B48" s="11" t="n">
        <v>46280</v>
      </c>
      <c r="C48" s="11" t="n">
        <v>46280</v>
      </c>
      <c r="D48" s="10">
        <f>MONTH(B48)&amp;"月"</f>
        <v/>
      </c>
      <c r="E48" s="10" t="inlineStr">
        <is>
          <t>バズワードに惑わされないAIエージェント実装のためのデータ戦略</t>
        </is>
      </c>
      <c r="F48" s="10" t="inlineStr">
        <is>
          <t>株式会社セールスフォース・ジャパン</t>
        </is>
      </c>
      <c r="G48" s="10" t="inlineStr"/>
      <c r="H48" s="10" t="inlineStr">
        <is>
          <t>オンライン</t>
        </is>
      </c>
      <c r="I48" s="10" t="inlineStr"/>
      <c r="J48" s="10" t="inlineStr">
        <is>
          <t>営業・マーケ・CS</t>
        </is>
      </c>
      <c r="K48" s="10" t="inlineStr">
        <is>
          <t>AIエージェント</t>
        </is>
      </c>
      <c r="L48" s="10" t="inlineStr">
        <is>
          <t>エージェンティックAIに必要なデータ基盤と、信頼できるコンテキスト、オントロジーの位置づけを解説する。</t>
        </is>
      </c>
      <c r="M48" s="12" t="n"/>
      <c r="N48" s="10" t="inlineStr">
        <is>
          <t>不明</t>
        </is>
      </c>
      <c r="O48" s="10" t="inlineStr"/>
      <c r="P48" s="13" t="inlineStr">
        <is>
          <t>https://www.salesforce.com/jp/events/webinars/ontology-is-buzzword/</t>
        </is>
      </c>
      <c r="Q48" s="10" t="n"/>
      <c r="R48" s="10" t="inlineStr">
        <is>
          <t>高</t>
        </is>
      </c>
      <c r="S48" s="10" t="inlineStr">
        <is>
          <t>IT部門寄りの内容</t>
        </is>
      </c>
    </row>
    <row r="49">
      <c r="A49" s="10" t="n">
        <v>48</v>
      </c>
      <c r="B49" s="11" t="n">
        <v>46280</v>
      </c>
      <c r="C49" s="11" t="n">
        <v>46280</v>
      </c>
      <c r="D49" s="10">
        <f>MONTH(B49)&amp;"月"</f>
        <v/>
      </c>
      <c r="E49" s="10" t="inlineStr">
        <is>
          <t>「どこまでAIに任せる？」商談数を最大化する営業自動化ユースケース集</t>
        </is>
      </c>
      <c r="F49" s="10" t="inlineStr">
        <is>
          <t>Magic Moment</t>
        </is>
      </c>
      <c r="G49" s="10" t="inlineStr">
        <is>
          <t>5社共催カンファレンスの1セッション</t>
        </is>
      </c>
      <c r="H49" s="10" t="inlineStr">
        <is>
          <t>オンライン</t>
        </is>
      </c>
      <c r="I49" s="10" t="inlineStr"/>
      <c r="J49" s="10" t="inlineStr">
        <is>
          <t>営業・マーケ・CS</t>
        </is>
      </c>
      <c r="K49" s="10" t="inlineStr">
        <is>
          <t>AI営業自動化</t>
        </is>
      </c>
      <c r="L49" s="10" t="inlineStr">
        <is>
          <t>AIと人の役割分担をどう設計するかを扱い、ハウスリストからの商談数を250%増やした事例を紹介する。</t>
        </is>
      </c>
      <c r="M49" s="12" t="n"/>
      <c r="N49" s="10" t="inlineStr">
        <is>
          <t>不明</t>
        </is>
      </c>
      <c r="O49" s="10" t="inlineStr">
        <is>
          <t>TECH PLAY経由の申込は2名（定員30名）。媒体別の数値</t>
        </is>
      </c>
      <c r="P49" s="13" t="inlineStr">
        <is>
          <t>https://techplay.jp/event/999348</t>
        </is>
      </c>
      <c r="Q49" s="10" t="n"/>
      <c r="R49" s="10" t="inlineStr">
        <is>
          <t>中</t>
        </is>
      </c>
      <c r="S49" s="10" t="inlineStr">
        <is>
          <t>AIエージェントの明記は弱い</t>
        </is>
      </c>
    </row>
    <row r="50">
      <c r="A50" s="10" t="n">
        <v>49</v>
      </c>
      <c r="B50" s="11" t="n">
        <v>46280</v>
      </c>
      <c r="C50" s="11" t="n">
        <v>46281</v>
      </c>
      <c r="D50" s="10">
        <f>MONTH(B50)&amp;"月"</f>
        <v/>
      </c>
      <c r="E50" s="10" t="inlineStr">
        <is>
          <t>インプレス AI Days 2026〜対話から自律・協働へ─ビジネスを再定義するAI〜</t>
        </is>
      </c>
      <c r="F50" s="10" t="inlineStr">
        <is>
          <t>株式会社インプレス</t>
        </is>
      </c>
      <c r="G50" s="10" t="inlineStr"/>
      <c r="H50" s="10" t="inlineStr">
        <is>
          <t>オンライン</t>
        </is>
      </c>
      <c r="I50" s="10" t="inlineStr">
        <is>
          <t>ライブ配信</t>
        </is>
      </c>
      <c r="J50" s="10" t="inlineStr">
        <is>
          <t>生産性向上・業務効率化</t>
        </is>
      </c>
      <c r="K50" s="10" t="inlineStr">
        <is>
          <t>AIエージェント</t>
        </is>
      </c>
      <c r="L50" s="10" t="inlineStr">
        <is>
          <t>生成AIとAIエージェントの企業導入、業務プロセスの再設計、ガバナンスを4トラックで扱う。製造業での事例もある。</t>
        </is>
      </c>
      <c r="M50" s="12" t="n">
        <v>700</v>
      </c>
      <c r="N50" s="10" t="inlineStr">
        <is>
          <t>定員</t>
        </is>
      </c>
      <c r="O50" s="10" t="inlineStr">
        <is>
          <t>募集人数</t>
        </is>
      </c>
      <c r="P50" s="13" t="inlineStr">
        <is>
          <t>https://academy.impress.co.jp/event/ai-day2026/</t>
        </is>
      </c>
      <c r="Q50" s="13" t="inlineStr">
        <is>
          <t>https://prtimes.jp/main/html/rd/p/000007625.000005875.html</t>
        </is>
      </c>
      <c r="R50" s="10" t="inlineStr">
        <is>
          <t>高</t>
        </is>
      </c>
      <c r="S50" s="10" t="n"/>
    </row>
    <row r="51">
      <c r="A51" s="10" t="n">
        <v>50</v>
      </c>
      <c r="B51" s="11" t="n">
        <v>46281</v>
      </c>
      <c r="C51" s="11" t="n">
        <v>46283</v>
      </c>
      <c r="D51" s="10">
        <f>MONTH(B51)&amp;"月"</f>
        <v/>
      </c>
      <c r="E51" s="10" t="inlineStr">
        <is>
          <t>バックオフィスAIエージェント EXPO【東京】（第26回 総務・人事・経理Week内）</t>
        </is>
      </c>
      <c r="F51" s="10" t="inlineStr">
        <is>
          <t>RX Japan</t>
        </is>
      </c>
      <c r="G51" s="10" t="inlineStr"/>
      <c r="H51" s="10" t="inlineStr">
        <is>
          <t>会場</t>
        </is>
      </c>
      <c r="I51" s="10" t="inlineStr">
        <is>
          <t>東京ビッグサイト</t>
        </is>
      </c>
      <c r="J51" s="10" t="inlineStr">
        <is>
          <t>生産性向上・業務効率化</t>
        </is>
      </c>
      <c r="K51" s="10" t="inlineStr">
        <is>
          <t>AIエージェント</t>
        </is>
      </c>
      <c r="L51" s="10" t="inlineStr">
        <is>
          <t>総務・人事・経理・法務の業務を変える、生成AI・AIエージェント・AI-OCRなどのソリューションを集めた新設の専門展。</t>
        </is>
      </c>
      <c r="M51" s="12" t="n"/>
      <c r="N51" s="10" t="inlineStr">
        <is>
          <t>不明</t>
        </is>
      </c>
      <c r="O51" s="10" t="inlineStr">
        <is>
          <t>本展の数値は未公表。参考として、2025年6月の東京展（総務・人事・経理Week）は33,150名が来場</t>
        </is>
      </c>
      <c r="P51" s="13" t="inlineStr">
        <is>
          <t>https://prtimes.jp/main/html/rd/p/000002058.000026157.html</t>
        </is>
      </c>
      <c r="Q51" s="13" t="inlineStr">
        <is>
          <t>https://www.office-expo.jp/hub/ja-jp/about/ai.html</t>
        </is>
      </c>
      <c r="R51" s="10" t="inlineStr">
        <is>
          <t>高</t>
        </is>
      </c>
      <c r="S51" s="10" t="inlineStr">
        <is>
          <t>展示会</t>
        </is>
      </c>
    </row>
    <row r="52">
      <c r="A52" s="10" t="n">
        <v>51</v>
      </c>
      <c r="B52" s="11" t="n">
        <v>46286</v>
      </c>
      <c r="C52" s="11" t="n">
        <v>46286</v>
      </c>
      <c r="D52" s="10">
        <f>MONTH(B52)&amp;"月"</f>
        <v/>
      </c>
      <c r="E52" s="10" t="inlineStr">
        <is>
          <t>営業DXが新局面へ──生成AIで営業生産性を最大化</t>
        </is>
      </c>
      <c r="F52" s="10" t="inlineStr">
        <is>
          <t>KOBUSHI MARKETING合同会社</t>
        </is>
      </c>
      <c r="G52" s="10" t="inlineStr">
        <is>
          <t>ピースフラットシステムズ（協力）</t>
        </is>
      </c>
      <c r="H52" s="10" t="inlineStr">
        <is>
          <t>オンライン</t>
        </is>
      </c>
      <c r="I52" s="10" t="inlineStr">
        <is>
          <t>Peatix経由</t>
        </is>
      </c>
      <c r="J52" s="10" t="inlineStr">
        <is>
          <t>営業・マーケ・CS</t>
        </is>
      </c>
      <c r="K52" s="10" t="inlineStr">
        <is>
          <t>AIエージェント</t>
        </is>
      </c>
      <c r="L52" s="10" t="inlineStr">
        <is>
          <t>リスト生成から商談後のフォローメールまでをAIワークフローでつなぎ、5〜6体のAIエージェントを同時に動かす手法を紹介する。</t>
        </is>
      </c>
      <c r="M52" s="12" t="n"/>
      <c r="N52" s="10" t="inlineStr">
        <is>
          <t>不明</t>
        </is>
      </c>
      <c r="O52" s="10" t="inlineStr"/>
      <c r="P52" s="13" t="inlineStr">
        <is>
          <t>https://prtimes.jp/main/html/rd/p/000000443.000061977.html</t>
        </is>
      </c>
      <c r="Q52" s="13" t="inlineStr">
        <is>
          <t>https://peatix.com/event/5123053</t>
        </is>
      </c>
      <c r="R52" s="10" t="inlineStr">
        <is>
          <t>中</t>
        </is>
      </c>
      <c r="S52" s="10" t="inlineStr">
        <is>
          <t>開催年は曜日の一致とリリース番号から推定</t>
        </is>
      </c>
    </row>
    <row r="53">
      <c r="A53" s="10" t="n">
        <v>52</v>
      </c>
      <c r="B53" s="11" t="n">
        <v>46290</v>
      </c>
      <c r="C53" s="11" t="n">
        <v>46290</v>
      </c>
      <c r="D53" s="10">
        <f>MONTH(B53)&amp;"月"</f>
        <v/>
      </c>
      <c r="E53" s="10" t="inlineStr">
        <is>
          <t>Zoholics Japan 2026「AI-Powered DX with Zoho」</t>
        </is>
      </c>
      <c r="F53" s="10" t="inlineStr">
        <is>
          <t>ゾーホージャパン株式会社</t>
        </is>
      </c>
      <c r="G53" s="10" t="inlineStr"/>
      <c r="H53" s="10" t="inlineStr">
        <is>
          <t>ハイブリッド</t>
        </is>
      </c>
      <c r="I53" s="10" t="inlineStr">
        <is>
          <t>JPタワー ホール&amp;カンファレンス＋オンライン</t>
        </is>
      </c>
      <c r="J53" s="10" t="inlineStr">
        <is>
          <t>営業・マーケ・CS</t>
        </is>
      </c>
      <c r="K53" s="10" t="inlineStr">
        <is>
          <t>AIエージェント</t>
        </is>
      </c>
      <c r="L53" s="10" t="inlineStr">
        <is>
          <t>Zohoの年次ユーザーイベント。Ziaエージェントの実績（約9,000社・約19,000エージェント）や、AIによる業務DXの事例を紹介する。</t>
        </is>
      </c>
      <c r="M53" s="12" t="n">
        <v>700</v>
      </c>
      <c r="N53" s="10" t="inlineStr">
        <is>
          <t>定員</t>
        </is>
      </c>
      <c r="O53" s="10" t="inlineStr">
        <is>
          <t>先着順</t>
        </is>
      </c>
      <c r="P53" s="13" t="inlineStr">
        <is>
          <t>https://prtimes.jp/main/html/rd/p/000000133.000101685.html</t>
        </is>
      </c>
      <c r="Q53" s="10" t="n"/>
      <c r="R53" s="10" t="inlineStr">
        <is>
          <t>高</t>
        </is>
      </c>
      <c r="S53" s="10" t="inlineStr">
        <is>
          <t>MCPのセッションは検索要約にのみ記載があり、未確認</t>
        </is>
      </c>
    </row>
    <row r="54">
      <c r="A54" s="10" t="n">
        <v>53</v>
      </c>
      <c r="B54" s="11" t="n">
        <v>46294</v>
      </c>
      <c r="C54" s="11" t="n">
        <v>46294</v>
      </c>
      <c r="D54" s="10">
        <f>MONTH(B54)&amp;"月"</f>
        <v/>
      </c>
      <c r="E54" s="10" t="inlineStr">
        <is>
          <t>CAIOのための「AI時代のBPR」Vol.2【カスタマーサービス編】</t>
        </is>
      </c>
      <c r="F54" s="10" t="inlineStr">
        <is>
          <t>株式会社セールスフォース・ジャパン</t>
        </is>
      </c>
      <c r="G54" s="10" t="inlineStr"/>
      <c r="H54" s="10" t="inlineStr">
        <is>
          <t>オンライン</t>
        </is>
      </c>
      <c r="I54" s="10" t="inlineStr">
        <is>
          <t>オンデマンド配信あり</t>
        </is>
      </c>
      <c r="J54" s="10" t="inlineStr">
        <is>
          <t>営業・マーケ・CS</t>
        </is>
      </c>
      <c r="K54" s="10" t="inlineStr">
        <is>
          <t>AIエージェント</t>
        </is>
      </c>
      <c r="L54" s="10" t="inlineStr">
        <is>
          <t>自社サポートで420万回を超えるAIエージェントの会話を行った実績をもとに、カスタマーサービスの組織と業務の再設計を解説する。</t>
        </is>
      </c>
      <c r="M54" s="12" t="n"/>
      <c r="N54" s="10" t="inlineStr">
        <is>
          <t>不明</t>
        </is>
      </c>
      <c r="O54" s="10" t="inlineStr"/>
      <c r="P54" s="13" t="inlineStr">
        <is>
          <t>https://www.salesforce.com/jp/events/webinars/ai-bpr-vol2/</t>
        </is>
      </c>
      <c r="Q54" s="10" t="n"/>
      <c r="R54" s="10" t="inlineStr">
        <is>
          <t>高</t>
        </is>
      </c>
      <c r="S54" s="10" t="n"/>
    </row>
    <row r="55">
      <c r="A55" s="10" t="n">
        <v>54</v>
      </c>
      <c r="B55" s="11" t="n">
        <v>46294</v>
      </c>
      <c r="C55" s="11" t="n">
        <v>46294</v>
      </c>
      <c r="D55" s="10">
        <f>MONTH(B55)&amp;"月"</f>
        <v/>
      </c>
      <c r="E55" s="10" t="inlineStr">
        <is>
          <t>「全社DX」実践ロードマップウェビナー〜外観検査AIの複数拠点展開×機密データを守る生成AI活用〜</t>
        </is>
      </c>
      <c r="F55" s="10" t="inlineStr">
        <is>
          <t>株式会社アイスマイリー</t>
        </is>
      </c>
      <c r="G55" s="10" t="inlineStr">
        <is>
          <t>Superb AI Japan・SCREENアドバンストシステムソリューションズ</t>
        </is>
      </c>
      <c r="H55" s="10" t="inlineStr">
        <is>
          <t>オンライン</t>
        </is>
      </c>
      <c r="I55" s="10" t="inlineStr"/>
      <c r="J55" s="10" t="inlineStr">
        <is>
          <t>生産管理・製造・SCM</t>
        </is>
      </c>
      <c r="K55" s="10" t="inlineStr">
        <is>
          <t>AIエージェント</t>
        </is>
      </c>
      <c r="L55" s="10" t="inlineStr">
        <is>
          <t>外観検査AIを全社に広げる方法と、安全な生成AI・AIエージェントの活用による品質改善を解説する。</t>
        </is>
      </c>
      <c r="M55" s="12" t="n"/>
      <c r="N55" s="10" t="inlineStr">
        <is>
          <t>不明</t>
        </is>
      </c>
      <c r="O55" s="10" t="inlineStr"/>
      <c r="P55" s="13" t="inlineStr">
        <is>
          <t>https://aismiley.co.jp/ai_news/20260929webinar/</t>
        </is>
      </c>
      <c r="Q55" s="10" t="n"/>
      <c r="R55" s="10" t="inlineStr">
        <is>
          <t>高</t>
        </is>
      </c>
      <c r="S55" s="10" t="inlineStr">
        <is>
          <t>品質管理</t>
        </is>
      </c>
    </row>
    <row r="56">
      <c r="A56" s="10" t="n">
        <v>55</v>
      </c>
      <c r="B56" s="11" t="n">
        <v>46294</v>
      </c>
      <c r="C56" s="11" t="n">
        <v>46295</v>
      </c>
      <c r="D56" s="10">
        <f>MONTH(B56)&amp;"月"</f>
        <v/>
      </c>
      <c r="E56" s="10" t="inlineStr">
        <is>
          <t>未来をつくるテクノロジー展 日経クロステックNEXT 東京 2026</t>
        </is>
      </c>
      <c r="F56" s="10" t="inlineStr">
        <is>
          <t>日経BP</t>
        </is>
      </c>
      <c r="G56" s="10" t="inlineStr">
        <is>
          <t>100以上の企業・団体が出展</t>
        </is>
      </c>
      <c r="H56" s="10" t="inlineStr">
        <is>
          <t>会場</t>
        </is>
      </c>
      <c r="I56" s="10" t="inlineStr">
        <is>
          <t>東京国際フォーラム</t>
        </is>
      </c>
      <c r="J56" s="10" t="inlineStr">
        <is>
          <t>大型カンファレンス・展示会</t>
        </is>
      </c>
      <c r="K56" s="10" t="inlineStr">
        <is>
          <t>AIエージェント</t>
        </is>
      </c>
      <c r="L56" s="10" t="inlineStr">
        <is>
          <t>「AIエージェントによる業務変革」を主要テーマのひとつとする展示と講演。製造業へのフィジカルAIの実装も扱う。</t>
        </is>
      </c>
      <c r="M56" s="12" t="n"/>
      <c r="N56" s="10" t="inlineStr">
        <is>
          <t>不明</t>
        </is>
      </c>
      <c r="O56" s="10" t="inlineStr">
        <is>
          <t>開催直後のため、数値は未発表</t>
        </is>
      </c>
      <c r="P56" s="13" t="inlineStr">
        <is>
          <t>https://www.nikkeibp.co.jp/atcl/newsrelease/corp/20260820_2/</t>
        </is>
      </c>
      <c r="Q56" s="13" t="inlineStr">
        <is>
          <t>https://xtech.nikkei.com/atcl/nxt/column/18/03745/092800023/</t>
        </is>
      </c>
      <c r="R56" s="10" t="inlineStr">
        <is>
          <t>高</t>
        </is>
      </c>
      <c r="S56" s="10" t="n"/>
    </row>
  </sheetData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Q5" r:id="rId5"/>
    <hyperlink xmlns:r="http://schemas.openxmlformats.org/officeDocument/2006/relationships" ref="P6" r:id="rId6"/>
    <hyperlink xmlns:r="http://schemas.openxmlformats.org/officeDocument/2006/relationships" ref="P7" r:id="rId7"/>
    <hyperlink xmlns:r="http://schemas.openxmlformats.org/officeDocument/2006/relationships" ref="P8" r:id="rId8"/>
    <hyperlink xmlns:r="http://schemas.openxmlformats.org/officeDocument/2006/relationships" ref="P9" r:id="rId9"/>
    <hyperlink xmlns:r="http://schemas.openxmlformats.org/officeDocument/2006/relationships" ref="Q9" r:id="rId10"/>
    <hyperlink xmlns:r="http://schemas.openxmlformats.org/officeDocument/2006/relationships" ref="P10" r:id="rId11"/>
    <hyperlink xmlns:r="http://schemas.openxmlformats.org/officeDocument/2006/relationships" ref="P11" r:id="rId12"/>
    <hyperlink xmlns:r="http://schemas.openxmlformats.org/officeDocument/2006/relationships" ref="Q11" r:id="rId13"/>
    <hyperlink xmlns:r="http://schemas.openxmlformats.org/officeDocument/2006/relationships" ref="P12" r:id="rId14"/>
    <hyperlink xmlns:r="http://schemas.openxmlformats.org/officeDocument/2006/relationships" ref="P13" r:id="rId15"/>
    <hyperlink xmlns:r="http://schemas.openxmlformats.org/officeDocument/2006/relationships" ref="P14" r:id="rId16"/>
    <hyperlink xmlns:r="http://schemas.openxmlformats.org/officeDocument/2006/relationships" ref="P15" r:id="rId17"/>
    <hyperlink xmlns:r="http://schemas.openxmlformats.org/officeDocument/2006/relationships" ref="Q15" r:id="rId18"/>
    <hyperlink xmlns:r="http://schemas.openxmlformats.org/officeDocument/2006/relationships" ref="P16" r:id="rId19"/>
    <hyperlink xmlns:r="http://schemas.openxmlformats.org/officeDocument/2006/relationships" ref="P17" r:id="rId20"/>
    <hyperlink xmlns:r="http://schemas.openxmlformats.org/officeDocument/2006/relationships" ref="Q17" r:id="rId21"/>
    <hyperlink xmlns:r="http://schemas.openxmlformats.org/officeDocument/2006/relationships" ref="P18" r:id="rId22"/>
    <hyperlink xmlns:r="http://schemas.openxmlformats.org/officeDocument/2006/relationships" ref="P19" r:id="rId23"/>
    <hyperlink xmlns:r="http://schemas.openxmlformats.org/officeDocument/2006/relationships" ref="Q19" r:id="rId24"/>
    <hyperlink xmlns:r="http://schemas.openxmlformats.org/officeDocument/2006/relationships" ref="P20" r:id="rId25"/>
    <hyperlink xmlns:r="http://schemas.openxmlformats.org/officeDocument/2006/relationships" ref="P21" r:id="rId26"/>
    <hyperlink xmlns:r="http://schemas.openxmlformats.org/officeDocument/2006/relationships" ref="P22" r:id="rId27"/>
    <hyperlink xmlns:r="http://schemas.openxmlformats.org/officeDocument/2006/relationships" ref="P23" r:id="rId28"/>
    <hyperlink xmlns:r="http://schemas.openxmlformats.org/officeDocument/2006/relationships" ref="Q23" r:id="rId29"/>
    <hyperlink xmlns:r="http://schemas.openxmlformats.org/officeDocument/2006/relationships" ref="P24" r:id="rId30"/>
    <hyperlink xmlns:r="http://schemas.openxmlformats.org/officeDocument/2006/relationships" ref="P25" r:id="rId31"/>
    <hyperlink xmlns:r="http://schemas.openxmlformats.org/officeDocument/2006/relationships" ref="P26" r:id="rId32"/>
    <hyperlink xmlns:r="http://schemas.openxmlformats.org/officeDocument/2006/relationships" ref="P27" r:id="rId33"/>
    <hyperlink xmlns:r="http://schemas.openxmlformats.org/officeDocument/2006/relationships" ref="P28" r:id="rId34"/>
    <hyperlink xmlns:r="http://schemas.openxmlformats.org/officeDocument/2006/relationships" ref="P29" r:id="rId35"/>
    <hyperlink xmlns:r="http://schemas.openxmlformats.org/officeDocument/2006/relationships" ref="P30" r:id="rId36"/>
    <hyperlink xmlns:r="http://schemas.openxmlformats.org/officeDocument/2006/relationships" ref="Q30" r:id="rId37"/>
    <hyperlink xmlns:r="http://schemas.openxmlformats.org/officeDocument/2006/relationships" ref="P31" r:id="rId38"/>
    <hyperlink xmlns:r="http://schemas.openxmlformats.org/officeDocument/2006/relationships" ref="P32" r:id="rId39"/>
    <hyperlink xmlns:r="http://schemas.openxmlformats.org/officeDocument/2006/relationships" ref="P33" r:id="rId40"/>
    <hyperlink xmlns:r="http://schemas.openxmlformats.org/officeDocument/2006/relationships" ref="P34" r:id="rId41"/>
    <hyperlink xmlns:r="http://schemas.openxmlformats.org/officeDocument/2006/relationships" ref="P35" r:id="rId42"/>
    <hyperlink xmlns:r="http://schemas.openxmlformats.org/officeDocument/2006/relationships" ref="P36" r:id="rId43"/>
    <hyperlink xmlns:r="http://schemas.openxmlformats.org/officeDocument/2006/relationships" ref="Q36" r:id="rId44"/>
    <hyperlink xmlns:r="http://schemas.openxmlformats.org/officeDocument/2006/relationships" ref="P37" r:id="rId45"/>
    <hyperlink xmlns:r="http://schemas.openxmlformats.org/officeDocument/2006/relationships" ref="Q37" r:id="rId46"/>
    <hyperlink xmlns:r="http://schemas.openxmlformats.org/officeDocument/2006/relationships" ref="P38" r:id="rId47"/>
    <hyperlink xmlns:r="http://schemas.openxmlformats.org/officeDocument/2006/relationships" ref="P39" r:id="rId48"/>
    <hyperlink xmlns:r="http://schemas.openxmlformats.org/officeDocument/2006/relationships" ref="P40" r:id="rId49"/>
    <hyperlink xmlns:r="http://schemas.openxmlformats.org/officeDocument/2006/relationships" ref="P41" r:id="rId50"/>
    <hyperlink xmlns:r="http://schemas.openxmlformats.org/officeDocument/2006/relationships" ref="P42" r:id="rId51"/>
    <hyperlink xmlns:r="http://schemas.openxmlformats.org/officeDocument/2006/relationships" ref="Q42" r:id="rId52"/>
    <hyperlink xmlns:r="http://schemas.openxmlformats.org/officeDocument/2006/relationships" ref="P43" r:id="rId53"/>
    <hyperlink xmlns:r="http://schemas.openxmlformats.org/officeDocument/2006/relationships" ref="P44" r:id="rId54"/>
    <hyperlink xmlns:r="http://schemas.openxmlformats.org/officeDocument/2006/relationships" ref="Q44" r:id="rId55"/>
    <hyperlink xmlns:r="http://schemas.openxmlformats.org/officeDocument/2006/relationships" ref="P45" r:id="rId56"/>
    <hyperlink xmlns:r="http://schemas.openxmlformats.org/officeDocument/2006/relationships" ref="P46" r:id="rId57"/>
    <hyperlink xmlns:r="http://schemas.openxmlformats.org/officeDocument/2006/relationships" ref="P47" r:id="rId58"/>
    <hyperlink xmlns:r="http://schemas.openxmlformats.org/officeDocument/2006/relationships" ref="P48" r:id="rId59"/>
    <hyperlink xmlns:r="http://schemas.openxmlformats.org/officeDocument/2006/relationships" ref="P49" r:id="rId60"/>
    <hyperlink xmlns:r="http://schemas.openxmlformats.org/officeDocument/2006/relationships" ref="P50" r:id="rId61"/>
    <hyperlink xmlns:r="http://schemas.openxmlformats.org/officeDocument/2006/relationships" ref="Q50" r:id="rId62"/>
    <hyperlink xmlns:r="http://schemas.openxmlformats.org/officeDocument/2006/relationships" ref="P51" r:id="rId63"/>
    <hyperlink xmlns:r="http://schemas.openxmlformats.org/officeDocument/2006/relationships" ref="Q51" r:id="rId64"/>
    <hyperlink xmlns:r="http://schemas.openxmlformats.org/officeDocument/2006/relationships" ref="P52" r:id="rId65"/>
    <hyperlink xmlns:r="http://schemas.openxmlformats.org/officeDocument/2006/relationships" ref="Q52" r:id="rId66"/>
    <hyperlink xmlns:r="http://schemas.openxmlformats.org/officeDocument/2006/relationships" ref="P53" r:id="rId67"/>
    <hyperlink xmlns:r="http://schemas.openxmlformats.org/officeDocument/2006/relationships" ref="P54" r:id="rId68"/>
    <hyperlink xmlns:r="http://schemas.openxmlformats.org/officeDocument/2006/relationships" ref="P55" r:id="rId69"/>
    <hyperlink xmlns:r="http://schemas.openxmlformats.org/officeDocument/2006/relationships" ref="P56" r:id="rId70"/>
    <hyperlink xmlns:r="http://schemas.openxmlformats.org/officeDocument/2006/relationships" ref="Q56" r:id="rId71"/>
  </hyperlinks>
  <pageMargins left="0.75" right="0.75" top="1" bottom="1" header="0.5" footer="0.5"/>
  <tableParts count="1">
    <tablePart xmlns:r="http://schemas.openxmlformats.org/officeDocument/2006/relationships" r:id="rId7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8" customWidth="1" min="3" max="3"/>
    <col width="18" customWidth="1" min="4" max="4"/>
    <col width="22" customWidth="1" min="5" max="5"/>
    <col width="22" customWidth="1" min="6" max="6"/>
    <col width="50" customWidth="1" min="7" max="7"/>
    <col width="50" customWidth="1" min="8" max="8"/>
  </cols>
  <sheetData>
    <row r="1">
      <c r="A1" s="3" t="inlineStr">
        <is>
          <t>開催日</t>
        </is>
      </c>
      <c r="B1" s="3" t="inlineStr">
        <is>
          <t>セミナー名</t>
        </is>
      </c>
      <c r="C1" s="3" t="inlineStr">
        <is>
          <t>主催者</t>
        </is>
      </c>
      <c r="D1" s="3" t="inlineStr">
        <is>
          <t>形式</t>
        </is>
      </c>
      <c r="E1" s="3" t="inlineStr">
        <is>
          <t>テーマ分類</t>
        </is>
      </c>
      <c r="F1" s="3" t="inlineStr">
        <is>
          <t>集客数</t>
        </is>
      </c>
      <c r="G1" s="3" t="inlineStr">
        <is>
          <t>ソースURL</t>
        </is>
      </c>
      <c r="H1" s="3" t="inlineStr">
        <is>
          <t>除外・参考扱いの理由</t>
        </is>
      </c>
    </row>
    <row r="2">
      <c r="A2" s="10" t="inlineStr">
        <is>
          <t>2026-07-23</t>
        </is>
      </c>
      <c r="B2" s="10" t="inlineStr">
        <is>
          <t>SALES AI SUMMIT 2026 -AIで、売上を科学する日-</t>
        </is>
      </c>
      <c r="C2" s="10" t="inlineStr">
        <is>
          <t>FAZOM株式会社</t>
        </is>
      </c>
      <c r="D2" s="10" t="inlineStr">
        <is>
          <t>オンライン</t>
        </is>
      </c>
      <c r="E2" s="10" t="inlineStr">
        <is>
          <t>営業・マーケ・CS</t>
        </is>
      </c>
      <c r="F2" s="10" t="inlineStr">
        <is>
          <t>不明</t>
        </is>
      </c>
      <c r="G2" s="13" t="inlineStr">
        <is>
          <t>https://prtimes.jp/main/html/rd/p/000000175.000149623.html</t>
        </is>
      </c>
      <c r="H2" s="10" t="inlineStr">
        <is>
          <t>AI活用全般の内容で、「AIエージェント」の明記はない</t>
        </is>
      </c>
    </row>
    <row r="3">
      <c r="A3" s="10" t="inlineStr">
        <is>
          <t>2026-07-29</t>
        </is>
      </c>
      <c r="B3" s="10" t="inlineStr">
        <is>
          <t>40分でわかる！ナレッジワーク AI商談記録の全貌</t>
        </is>
      </c>
      <c r="C3" s="10" t="inlineStr">
        <is>
          <t>リコージャパン株式会社</t>
        </is>
      </c>
      <c r="D3" s="10" t="inlineStr">
        <is>
          <t>オンライン</t>
        </is>
      </c>
      <c r="E3" s="10" t="inlineStr">
        <is>
          <t>営業・マーケ・CS</t>
        </is>
      </c>
      <c r="F3" s="10" t="inlineStr">
        <is>
          <t>定員300名</t>
        </is>
      </c>
      <c r="G3" s="13" t="inlineStr">
        <is>
          <t>https://event.ricoh.co.jp/public/seminar/view/68741</t>
        </is>
      </c>
      <c r="H3" s="10" t="inlineStr">
        <is>
          <t>SFA/CRMへのAI自動入力が中心で、エージェント色は弱い</t>
        </is>
      </c>
    </row>
    <row r="4">
      <c r="A4" s="10" t="inlineStr">
        <is>
          <t>2026-08-04</t>
        </is>
      </c>
      <c r="B4" s="10" t="inlineStr">
        <is>
          <t>ガチすぎるマーケ領域のAI活用最前線〜ラストワンマイル攻略編〜</t>
        </is>
      </c>
      <c r="C4" s="10" t="inlineStr">
        <is>
          <t>aimark</t>
        </is>
      </c>
      <c r="D4" s="10" t="inlineStr">
        <is>
          <t>会場（青山）</t>
        </is>
      </c>
      <c r="E4" s="10" t="inlineStr">
        <is>
          <t>営業・マーケ・CS</t>
        </is>
      </c>
      <c r="F4" s="10" t="inlineStr">
        <is>
          <t>参加登録30名／定員40名</t>
        </is>
      </c>
      <c r="G4" s="13" t="inlineStr">
        <is>
          <t>https://ai-marketing.connpass.com/event/399955/</t>
        </is>
      </c>
      <c r="H4" s="10" t="inlineStr">
        <is>
          <t>エージェントの明記は弱い</t>
        </is>
      </c>
    </row>
    <row r="5">
      <c r="A5" s="10" t="inlineStr">
        <is>
          <t>2026-08-18</t>
        </is>
      </c>
      <c r="B5" s="10" t="inlineStr">
        <is>
          <t>獲得リードとWEBサイト来訪を「商談に変え切る」プロセス設計</t>
        </is>
      </c>
      <c r="C5" s="10" t="inlineStr">
        <is>
          <t>Magic Moment</t>
        </is>
      </c>
      <c r="D5" s="10" t="inlineStr">
        <is>
          <t>オンライン</t>
        </is>
      </c>
      <c r="E5" s="10" t="inlineStr">
        <is>
          <t>営業・マーケ・CS</t>
        </is>
      </c>
      <c r="F5" s="10" t="inlineStr">
        <is>
          <t>TECH PLAY申込1名／定員30名</t>
        </is>
      </c>
      <c r="G5" s="13" t="inlineStr">
        <is>
          <t>https://techplay.jp/event/999317</t>
        </is>
      </c>
      <c r="H5" s="10" t="inlineStr">
        <is>
          <t>AIエージェントとの関連は未確認</t>
        </is>
      </c>
    </row>
    <row r="6">
      <c r="A6" s="10" t="inlineStr">
        <is>
          <t>2026-08-18</t>
        </is>
      </c>
      <c r="B6" s="10" t="inlineStr">
        <is>
          <t>製造現場のAI活用実践ウェビナー</t>
        </is>
      </c>
      <c r="C6" s="10" t="inlineStr">
        <is>
          <t>株式会社アイスマイリー</t>
        </is>
      </c>
      <c r="D6" s="10" t="inlineStr">
        <is>
          <t>オンライン</t>
        </is>
      </c>
      <c r="E6" s="10" t="inlineStr">
        <is>
          <t>生産管理・製造・SCM</t>
        </is>
      </c>
      <c r="F6" s="10" t="inlineStr">
        <is>
          <t>不明</t>
        </is>
      </c>
      <c r="G6" s="13" t="inlineStr">
        <is>
          <t>https://aismiley.co.jp/ai_news/20260818webinar/</t>
        </is>
      </c>
      <c r="H6" s="10" t="inlineStr">
        <is>
          <t>AI-OCRと異常予兆検知が中心で、エージェントの明記はない</t>
        </is>
      </c>
    </row>
    <row r="7">
      <c r="A7" s="10" t="inlineStr">
        <is>
          <t>2026-08-21</t>
        </is>
      </c>
      <c r="B7" s="10" t="inlineStr">
        <is>
          <t>AI需要予測×自動化で進めるサプライチェーン改革</t>
        </is>
      </c>
      <c r="C7" s="10" t="inlineStr">
        <is>
          <t>Mujin Japan／船井総研SCC</t>
        </is>
      </c>
      <c r="D7" s="10" t="inlineStr">
        <is>
          <t>オンライン</t>
        </is>
      </c>
      <c r="E7" s="10" t="inlineStr">
        <is>
          <t>生産管理・製造・SCM</t>
        </is>
      </c>
      <c r="F7" s="10" t="inlineStr">
        <is>
          <t>不明</t>
        </is>
      </c>
      <c r="G7" s="13" t="inlineStr">
        <is>
          <t>https://www.automation-news.jp/2026/08/107691/</t>
        </is>
      </c>
      <c r="H7" s="10" t="inlineStr">
        <is>
          <t>AI需要予測が中心で、エージェントの明記はない</t>
        </is>
      </c>
    </row>
    <row r="8">
      <c r="A8" s="10" t="inlineStr">
        <is>
          <t>2026-08-26</t>
        </is>
      </c>
      <c r="B8" s="10" t="inlineStr">
        <is>
          <t>MCPC 第13回事例紹介セミナー「生成AIは『カーナビ型』から『自動運転型』へ」</t>
        </is>
      </c>
      <c r="C8" s="10" t="inlineStr">
        <is>
          <t>モバイルコンピューティング推進コンソーシアム</t>
        </is>
      </c>
      <c r="D8" s="10" t="inlineStr">
        <is>
          <t>不明</t>
        </is>
      </c>
      <c r="E8" s="10" t="inlineStr">
        <is>
          <t>生産性向上・業務効率化</t>
        </is>
      </c>
      <c r="F8" s="10" t="inlineStr">
        <is>
          <t>不明</t>
        </is>
      </c>
      <c r="G8" s="13" t="inlineStr">
        <is>
          <t>https://www.mcpc-jp.org/</t>
        </is>
      </c>
      <c r="H8" s="10" t="inlineStr">
        <is>
          <t>日付と内容は未検証。「MCPC」はModel Context Protocolとは関係ない</t>
        </is>
      </c>
    </row>
    <row r="9">
      <c r="A9" s="10" t="inlineStr">
        <is>
          <t>2026-08-26</t>
        </is>
      </c>
      <c r="B9" s="10" t="inlineStr">
        <is>
          <t>【フィジカルAI最前線】製造業が知るべき最新動向と現場実装の鍵</t>
        </is>
      </c>
      <c r="C9" s="10" t="inlineStr">
        <is>
          <t>ストックマーク</t>
        </is>
      </c>
      <c r="D9" s="10" t="inlineStr">
        <is>
          <t>オンライン</t>
        </is>
      </c>
      <c r="E9" s="10" t="inlineStr">
        <is>
          <t>生産管理・製造・SCM</t>
        </is>
      </c>
      <c r="F9" s="10" t="inlineStr">
        <is>
          <t>不明</t>
        </is>
      </c>
      <c r="G9" s="13" t="inlineStr">
        <is>
          <t>https://aconnect.stockmark.co.jp/seminar/</t>
        </is>
      </c>
      <c r="H9" s="10" t="inlineStr">
        <is>
          <t>一覧ページで日付だけ確認した</t>
        </is>
      </c>
    </row>
    <row r="10">
      <c r="A10" s="10" t="inlineStr">
        <is>
          <t>2026-09-08</t>
        </is>
      </c>
      <c r="B10" s="10" t="inlineStr">
        <is>
          <t>ベテランの知恵を「組織の資産」へ。ノウハウ伝承</t>
        </is>
      </c>
      <c r="C10" s="10" t="inlineStr">
        <is>
          <t>ストックマーク</t>
        </is>
      </c>
      <c r="D10" s="10" t="inlineStr">
        <is>
          <t>オンライン</t>
        </is>
      </c>
      <c r="E10" s="10" t="inlineStr">
        <is>
          <t>生産管理・製造・SCM</t>
        </is>
      </c>
      <c r="F10" s="10" t="inlineStr">
        <is>
          <t>不明</t>
        </is>
      </c>
      <c r="G10" s="13" t="inlineStr">
        <is>
          <t>https://aconnect.stockmark.co.jp/seminar/20260908c/</t>
        </is>
      </c>
      <c r="H10" s="10" t="inlineStr">
        <is>
          <t>ノウハウ伝承が中心で、エージェントとの関連は弱い</t>
        </is>
      </c>
    </row>
    <row r="11">
      <c r="A11" s="10" t="inlineStr">
        <is>
          <t>2026-09-16</t>
        </is>
      </c>
      <c r="B11" s="10" t="inlineStr">
        <is>
          <t>60分でわかる 製造業×AI</t>
        </is>
      </c>
      <c r="C11" s="10" t="inlineStr">
        <is>
          <t>Dooox</t>
        </is>
      </c>
      <c r="D11" s="10" t="inlineStr">
        <is>
          <t>オンライン</t>
        </is>
      </c>
      <c r="E11" s="10" t="inlineStr">
        <is>
          <t>生産管理・製造・SCM</t>
        </is>
      </c>
      <c r="F11" s="10" t="inlineStr">
        <is>
          <t>定員100名</t>
        </is>
      </c>
      <c r="G11" s="13" t="inlineStr">
        <is>
          <t>https://prtimes.jp/main/html/rd/p/000000283.000085708.html</t>
        </is>
      </c>
      <c r="H11" s="10" t="inlineStr">
        <is>
          <t>AIエージェントの明記はない</t>
        </is>
      </c>
    </row>
    <row r="12">
      <c r="A12" s="10" t="inlineStr">
        <is>
          <t>2026-09-29</t>
        </is>
      </c>
      <c r="B12" s="10" t="inlineStr">
        <is>
          <t>ベーシック、営業現場の生産性を2倍にするAIネイティブな先進事例6つを公開</t>
        </is>
      </c>
      <c r="C12" s="10" t="inlineStr">
        <is>
          <t>SalesNow×ベーシック</t>
        </is>
      </c>
      <c r="D12" s="10" t="inlineStr">
        <is>
          <t>オンライン</t>
        </is>
      </c>
      <c r="E12" s="10" t="inlineStr">
        <is>
          <t>営業・マーケ・CS</t>
        </is>
      </c>
      <c r="F12" s="10" t="inlineStr">
        <is>
          <t>不明</t>
        </is>
      </c>
      <c r="G12" s="13" t="inlineStr">
        <is>
          <t>https://syncad.jp/event/103709/</t>
        </is>
      </c>
      <c r="H12" s="10" t="inlineStr">
        <is>
          <t>営業全工程のAI自動化が中心で、エージェントの明記はない</t>
        </is>
      </c>
    </row>
    <row r="13">
      <c r="A13" s="10" t="inlineStr">
        <is>
          <t>2026-09-30</t>
        </is>
      </c>
      <c r="B13" s="10" t="inlineStr">
        <is>
          <t>はじめてのMicrosoft 365 Copilot Agent Builder</t>
        </is>
      </c>
      <c r="C13" s="10" t="inlineStr">
        <is>
          <t>テクバン株式会社</t>
        </is>
      </c>
      <c r="D13" s="10" t="inlineStr">
        <is>
          <t>オンライン</t>
        </is>
      </c>
      <c r="E13" s="10" t="inlineStr">
        <is>
          <t>生産性向上・業務効率化</t>
        </is>
      </c>
      <c r="F13" s="10" t="inlineStr">
        <is>
          <t>不明</t>
        </is>
      </c>
      <c r="G13" s="13" t="inlineStr">
        <is>
          <t>https://www.techvan.co.jp/event/20260930_14webcopilotstudio/</t>
        </is>
      </c>
      <c r="H13" s="10" t="inlineStr">
        <is>
          <t>ページ本文は未確認</t>
        </is>
      </c>
    </row>
    <row r="14">
      <c r="A14" s="10" t="inlineStr">
        <is>
          <t>2026-09-30〜10-01</t>
        </is>
      </c>
      <c r="B14" s="10" t="inlineStr">
        <is>
          <t>AI博覧会 Fukuoka 2026</t>
        </is>
      </c>
      <c r="C14" s="10" t="inlineStr">
        <is>
          <t>株式会社アイスマイリー</t>
        </is>
      </c>
      <c r="D14" s="10" t="inlineStr">
        <is>
          <t>会場（博多国際展示場）</t>
        </is>
      </c>
      <c r="E14" s="10" t="inlineStr">
        <is>
          <t>大型カンファレンス・展示会</t>
        </is>
      </c>
      <c r="F14" s="10" t="inlineStr">
        <is>
          <t>約50社出展予定</t>
        </is>
      </c>
      <c r="G14" s="13" t="inlineStr">
        <is>
          <t>https://aismiley.co.jp/ai_news/aihaku-sum2026-report02/</t>
        </is>
      </c>
      <c r="H14" s="10" t="inlineStr">
        <is>
          <t>期間内なのは初日だけ。詳細は未確認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2026-09-30T02:11:56Z</dcterms:created>
  <dcterms:modified xsi:type="dcterms:W3CDTF">2026-09-30T02:11:56Z</dcterms:modified>
</cp:coreProperties>
</file>