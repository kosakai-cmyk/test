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サマリー" sheetId="1" state="visible" r:id="rId1"/>
    <sheet name="セミナー企画案" sheetId="2" state="visible" r:id="rId2"/>
    <sheet name="市場ニーズ分析" sheetId="3" state="visible" r:id="rId3"/>
    <sheet name="セミナー一覧" sheetId="4" state="visible" r:id="rId4"/>
    <sheet name="参考（AIエージェント明記なし）" sheetId="5" state="visible" r:id="rId5"/>
  </sheets>
  <definedNames>
    <definedName name="_xlnm._FilterDatabase" localSheetId="3" hidden="1">'セミナー一覧'!$A$1:$X$685</definedName>
  </definedNames>
  <calcPr calcId="124519" fullCalcOnLoad="1"/>
</workbook>
</file>

<file path=xl/styles.xml><?xml version="1.0" encoding="utf-8"?>
<styleSheet xmlns="http://schemas.openxmlformats.org/spreadsheetml/2006/main">
  <numFmts count="2">
    <numFmt numFmtId="164" formatCode="yyyy/mm/dd"/>
    <numFmt numFmtId="165" formatCode="0.0"/>
  </numFmts>
  <fonts count="8">
    <font>
      <name val="Calibri"/>
      <family val="2"/>
      <color theme="1"/>
      <sz val="11"/>
      <scheme val="minor"/>
    </font>
    <font>
      <name val="Arial"/>
      <b val="1"/>
      <color rgb="00FFFFFF"/>
      <sz val="10"/>
    </font>
    <font>
      <name val="Arial"/>
      <sz val="10"/>
    </font>
    <font>
      <name val="Arial"/>
      <color rgb="000563C1"/>
      <sz val="10"/>
      <u val="single"/>
    </font>
    <font>
      <name val="Arial"/>
      <b val="1"/>
      <sz val="14"/>
    </font>
    <font>
      <name val="Arial"/>
      <b val="1"/>
      <sz val="10"/>
    </font>
    <font>
      <name val="Arial"/>
      <color rgb="000000FF"/>
      <sz val="10"/>
    </font>
    <font>
      <name val="Arial"/>
      <color rgb="00595959"/>
      <sz val="9"/>
    </font>
  </fonts>
  <fills count="5">
    <fill>
      <patternFill/>
    </fill>
    <fill>
      <patternFill patternType="gray125"/>
    </fill>
    <fill>
      <patternFill patternType="solid">
        <fgColor rgb="001F3864"/>
      </patternFill>
    </fill>
    <fill>
      <patternFill patternType="solid">
        <fgColor rgb="00FFFF00"/>
      </patternFill>
    </fill>
    <fill>
      <patternFill patternType="solid">
        <fgColor rgb="00FFF2CC"/>
      </patternFill>
    </fill>
  </fills>
  <borders count="2">
    <border>
      <left/>
      <right/>
      <top/>
      <bottom/>
      <diagonal/>
    </border>
    <border>
      <left style="thin">
        <color rgb="00BFBFBF"/>
      </left>
      <right style="thin">
        <color rgb="00BFBFBF"/>
      </right>
      <top style="thin">
        <color rgb="00BFBFBF"/>
      </top>
      <bottom style="thin">
        <color rgb="00BFBFBF"/>
      </bottom>
    </border>
  </borders>
  <cellStyleXfs count="1">
    <xf numFmtId="0" fontId="0" fillId="0" borderId="0"/>
  </cellStyleXfs>
  <cellXfs count="25">
    <xf numFmtId="0" fontId="0" fillId="0" borderId="0" pivotButton="0" quotePrefix="0" xfId="0"/>
    <xf numFmtId="0" fontId="4" fillId="0" borderId="0" pivotButton="0" quotePrefix="0" xfId="0"/>
    <xf numFmtId="0" fontId="2" fillId="0" borderId="0" pivotButton="0" quotePrefix="0" xfId="0"/>
    <xf numFmtId="0" fontId="1" fillId="2" borderId="1" applyAlignment="1" pivotButton="0" quotePrefix="0" xfId="0">
      <alignment horizontal="center" vertical="center" wrapText="1"/>
    </xf>
    <xf numFmtId="0" fontId="2" fillId="0" borderId="1" pivotButton="0" quotePrefix="0" xfId="0"/>
    <xf numFmtId="3" fontId="2" fillId="0" borderId="1" pivotButton="0" quotePrefix="0" xfId="0"/>
    <xf numFmtId="0" fontId="5" fillId="0" borderId="1" pivotButton="0" quotePrefix="0" xfId="0"/>
    <xf numFmtId="3" fontId="5" fillId="0" borderId="1" pivotButton="0" quotePrefix="0" xfId="0"/>
    <xf numFmtId="0" fontId="5" fillId="0" borderId="0" pivotButton="0" quotePrefix="0" xfId="0"/>
    <xf numFmtId="0" fontId="2" fillId="0" borderId="0" applyAlignment="1" pivotButton="0" quotePrefix="0" xfId="0">
      <alignment vertical="top" wrapText="1"/>
    </xf>
    <xf numFmtId="0" fontId="2" fillId="0" borderId="1" applyAlignment="1" pivotButton="0" quotePrefix="0" xfId="0">
      <alignment vertical="top" wrapText="1"/>
    </xf>
    <xf numFmtId="164" fontId="2" fillId="0" borderId="1" applyAlignment="1" pivotButton="0" quotePrefix="0" xfId="0">
      <alignment vertical="top" wrapText="1"/>
    </xf>
    <xf numFmtId="0" fontId="2" fillId="0" borderId="1" applyAlignment="1" pivotButton="0" quotePrefix="0" xfId="0">
      <alignment horizontal="center" vertical="top" wrapText="1"/>
    </xf>
    <xf numFmtId="3" fontId="2" fillId="0" borderId="1" applyAlignment="1" pivotButton="0" quotePrefix="0" xfId="0">
      <alignment vertical="top" wrapText="1"/>
    </xf>
    <xf numFmtId="3" fontId="2" fillId="0" borderId="1" applyAlignment="1" pivotButton="0" quotePrefix="0" xfId="0">
      <alignment horizontal="center" vertical="top" wrapText="1"/>
    </xf>
    <xf numFmtId="0" fontId="3" fillId="0" borderId="1" applyAlignment="1" pivotButton="0" quotePrefix="0" xfId="0">
      <alignment vertical="top" wrapText="1"/>
    </xf>
    <xf numFmtId="9" fontId="6" fillId="3" borderId="1" pivotButton="0" quotePrefix="0" xfId="0"/>
    <xf numFmtId="0" fontId="7" fillId="0" borderId="0" pivotButton="0" quotePrefix="0" xfId="0"/>
    <xf numFmtId="0" fontId="6" fillId="3" borderId="1" applyAlignment="1" pivotButton="0" quotePrefix="0" xfId="0">
      <alignment horizontal="center" vertical="top" wrapText="1"/>
    </xf>
    <xf numFmtId="165" fontId="2" fillId="0" borderId="1" applyAlignment="1" pivotButton="0" quotePrefix="0" xfId="0">
      <alignment horizontal="center" vertical="top" wrapText="1"/>
    </xf>
    <xf numFmtId="0" fontId="2" fillId="4" borderId="1" applyAlignment="1" pivotButton="0" quotePrefix="0" xfId="0">
      <alignment horizontal="center" vertical="top" wrapText="1"/>
    </xf>
    <xf numFmtId="0" fontId="5" fillId="0" borderId="1" applyAlignment="1" pivotButton="0" quotePrefix="0" xfId="0">
      <alignment horizontal="center" vertical="top" wrapText="1"/>
    </xf>
    <xf numFmtId="165" fontId="5" fillId="0" borderId="1" applyAlignment="1" pivotButton="0" quotePrefix="0" xfId="0">
      <alignment horizontal="center" vertical="top" wrapText="1"/>
    </xf>
    <xf numFmtId="0" fontId="1" fillId="2" borderId="1" applyAlignment="1" pivotButton="0" quotePrefix="0" xfId="0">
      <alignment horizontal="center" vertical="top" wrapText="1"/>
    </xf>
    <xf numFmtId="164" fontId="2" fillId="0"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styles" Target="styles.xml" Id="rId6" /><Relationship Type="http://schemas.openxmlformats.org/officeDocument/2006/relationships/theme" Target="theme/theme1.xml" Id="rId7"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4.xml.rels><Relationships xmlns="http://schemas.openxmlformats.org/package/2006/relationships"><Relationship Type="http://schemas.openxmlformats.org/officeDocument/2006/relationships/hyperlink" Target="https://techplay.jp/event/996755" TargetMode="External" Id="rId1" /><Relationship Type="http://schemas.openxmlformats.org/officeDocument/2006/relationships/hyperlink" Target="https://hannari-python.connpass.com/event/397219/" TargetMode="External" Id="rId2" /><Relationship Type="http://schemas.openxmlformats.org/officeDocument/2006/relationships/hyperlink" Target="https://cssnite.doorkeeper.jp/events/197993" TargetMode="External" Id="rId3" /><Relationship Type="http://schemas.openxmlformats.org/officeDocument/2006/relationships/hyperlink" Target="https://www.manufacturing-world.jp/tokyo/ja-jp/previous/visitorcount.html" TargetMode="External" Id="rId4" /><Relationship Type="http://schemas.openxmlformats.org/officeDocument/2006/relationships/hyperlink" Target="https://jawsug.connpass.com/event/398118/" TargetMode="External" Id="rId5" /><Relationship Type="http://schemas.openxmlformats.org/officeDocument/2006/relationships/hyperlink" Target="https://prtimes.jp/main/html/rd/p/000000032.000115057.html" TargetMode="External" Id="rId6" /><Relationship Type="http://schemas.openxmlformats.org/officeDocument/2006/relationships/hyperlink" Target="https://hardening.doorkeeper.jp/events/196978" TargetMode="External" Id="rId7" /><Relationship Type="http://schemas.openxmlformats.org/officeDocument/2006/relationships/hyperlink" Target="https://www.kokuchpro.com/event/a91b6275bcbfff0a1e04532f6c25ecf3/3817804/" TargetMode="External" Id="rId8" /><Relationship Type="http://schemas.openxmlformats.org/officeDocument/2006/relationships/hyperlink" Target="https://techplay.jp/event/995896" TargetMode="External" Id="rId9" /><Relationship Type="http://schemas.openxmlformats.org/officeDocument/2006/relationships/hyperlink" Target="https://aiau.connpass.com/event/396073/" TargetMode="External" Id="rId10" /><Relationship Type="http://schemas.openxmlformats.org/officeDocument/2006/relationships/hyperlink" Target="https://techplay.jp/event/996433" TargetMode="External" Id="rId11" /><Relationship Type="http://schemas.openxmlformats.org/officeDocument/2006/relationships/hyperlink" Target="https://generative-agents.connpass.com/event/397776/" TargetMode="External" Id="rId12" /><Relationship Type="http://schemas.openxmlformats.org/officeDocument/2006/relationships/hyperlink" Target="https://cssnite.doorkeeper.jp/events/197947" TargetMode="External" Id="rId13" /><Relationship Type="http://schemas.openxmlformats.org/officeDocument/2006/relationships/hyperlink" Target="https://www.kokuchpro.com/event/a5d256165da52d3d1c762f606d771a51/" TargetMode="External" Id="rId14" /><Relationship Type="http://schemas.openxmlformats.org/officeDocument/2006/relationships/hyperlink" Target="https://womenwhogo-tokyo.connpass.com/event/398081/" TargetMode="External" Id="rId15" /><Relationship Type="http://schemas.openxmlformats.org/officeDocument/2006/relationships/hyperlink" Target="https://glass-sun.connpass.com/event/397320/" TargetMode="External" Id="rId16" /><Relationship Type="http://schemas.openxmlformats.org/officeDocument/2006/relationships/hyperlink" Target="https://www.kokuchpro.com/event/bb34ad45cb8a954b11e51e243e031fe6/" TargetMode="External" Id="rId17" /><Relationship Type="http://schemas.openxmlformats.org/officeDocument/2006/relationships/hyperlink" Target="https://www.kokuchpro.com/event/8d639521d6dab7ff6a25a9a1fff3340e/3819131/" TargetMode="External" Id="rId18" /><Relationship Type="http://schemas.openxmlformats.org/officeDocument/2006/relationships/hyperlink" Target="https://techplay.jp/event/997598" TargetMode="External" Id="rId19" /><Relationship Type="http://schemas.openxmlformats.org/officeDocument/2006/relationships/hyperlink" Target="https://agent365jp.connpass.com/event/396638/" TargetMode="External" Id="rId20" /><Relationship Type="http://schemas.openxmlformats.org/officeDocument/2006/relationships/hyperlink" Target="https://techplay.jp/event/997834" TargetMode="External" Id="rId21" /><Relationship Type="http://schemas.openxmlformats.org/officeDocument/2006/relationships/hyperlink" Target="https://weeyble-data.connpass.com/event/398804/" TargetMode="External" Id="rId22" /><Relationship Type="http://schemas.openxmlformats.org/officeDocument/2006/relationships/hyperlink" Target="https://study-group.connpass.com/event/398087/" TargetMode="External" Id="rId23" /><Relationship Type="http://schemas.openxmlformats.org/officeDocument/2006/relationships/hyperlink" Target="https://ai-developer-monetization-lab.connpass.com/event/397293/" TargetMode="External" Id="rId24" /><Relationship Type="http://schemas.openxmlformats.org/officeDocument/2006/relationships/hyperlink" Target="https://digital-labors.connpass.com/event/397379/" TargetMode="External" Id="rId25" /><Relationship Type="http://schemas.openxmlformats.org/officeDocument/2006/relationships/hyperlink" Target="https://techplay.jp/event/997138" TargetMode="External" Id="rId26" /><Relationship Type="http://schemas.openxmlformats.org/officeDocument/2006/relationships/hyperlink" Target="https://gameschool.doorkeeper.jp/events/197905" TargetMode="External" Id="rId27" /><Relationship Type="http://schemas.openxmlformats.org/officeDocument/2006/relationships/hyperlink" Target="https://devsumi.connpass.com/event/396236/" TargetMode="External" Id="rId28" /><Relationship Type="http://schemas.openxmlformats.org/officeDocument/2006/relationships/hyperlink" Target="https://www.kokuchpro.com/event/50d9c59588f29fcd31a0c4bba740d584/" TargetMode="External" Id="rId29" /><Relationship Type="http://schemas.openxmlformats.org/officeDocument/2006/relationships/hyperlink" Target="https://www.kokuchpro.com/event/462c32654e8582dc98f1d8324a64443d/" TargetMode="External" Id="rId30" /><Relationship Type="http://schemas.openxmlformats.org/officeDocument/2006/relationships/hyperlink" Target="https://cloudace.doorkeeper.jp/events/197917" TargetMode="External" Id="rId31" /><Relationship Type="http://schemas.openxmlformats.org/officeDocument/2006/relationships/hyperlink" Target="https://findy.connpass.com/event/396823/" TargetMode="External" Id="rId32" /><Relationship Type="http://schemas.openxmlformats.org/officeDocument/2006/relationships/hyperlink" Target="https://generative-agents.connpass.com/event/399060/" TargetMode="External" Id="rId33" /><Relationship Type="http://schemas.openxmlformats.org/officeDocument/2006/relationships/hyperlink" Target="https://japan.zdnet.com/event_info/30014942/" TargetMode="External" Id="rId34" /><Relationship Type="http://schemas.openxmlformats.org/officeDocument/2006/relationships/hyperlink" Target="https://techplay.jp/event/997993" TargetMode="External" Id="rId35" /><Relationship Type="http://schemas.openxmlformats.org/officeDocument/2006/relationships/hyperlink" Target="https://connpass.com/event/396661/" TargetMode="External" Id="rId36" /><Relationship Type="http://schemas.openxmlformats.org/officeDocument/2006/relationships/hyperlink" Target="https://www.kokuchpro.com/event/06a414b82ca253edd78099fa5ac8a980/" TargetMode="External" Id="rId37" /><Relationship Type="http://schemas.openxmlformats.org/officeDocument/2006/relationships/hyperlink" Target="https://www.kokuchpro.com/event/a79b4469b0d0538468ca8b3f0a02fe13/" TargetMode="External" Id="rId38" /><Relationship Type="http://schemas.openxmlformats.org/officeDocument/2006/relationships/hyperlink" Target="https://data-analysis-basics.connpass.com/event/399367/" TargetMode="External" Id="rId39" /><Relationship Type="http://schemas.openxmlformats.org/officeDocument/2006/relationships/hyperlink" Target="https://www.sbbit.jp/eventinfo/89048" TargetMode="External" Id="rId40" /><Relationship Type="http://schemas.openxmlformats.org/officeDocument/2006/relationships/hyperlink" Target="https://osaka-driven-dev.connpass.com/event/396961/" TargetMode="External" Id="rId41" /><Relationship Type="http://schemas.openxmlformats.org/officeDocument/2006/relationships/hyperlink" Target="https://majisemi-security.doorkeeper.jp/events/197735" TargetMode="External" Id="rId42" /><Relationship Type="http://schemas.openxmlformats.org/officeDocument/2006/relationships/hyperlink" Target="https://connpass.com/event/399507/" TargetMode="External" Id="rId43" /><Relationship Type="http://schemas.openxmlformats.org/officeDocument/2006/relationships/hyperlink" Target="https://techplay.jp/event/997571" TargetMode="External" Id="rId44" /><Relationship Type="http://schemas.openxmlformats.org/officeDocument/2006/relationships/hyperlink" Target="https://www.sbbit.jp/eventinfo/89273" TargetMode="External" Id="rId45" /><Relationship Type="http://schemas.openxmlformats.org/officeDocument/2006/relationships/hyperlink" Target="https://web-mining.doorkeeper.jp/events/197628" TargetMode="External" Id="rId46" /><Relationship Type="http://schemas.openxmlformats.org/officeDocument/2006/relationships/hyperlink" Target="https://kddi-agile.connpass.com/event/395678/" TargetMode="External" Id="rId47" /><Relationship Type="http://schemas.openxmlformats.org/officeDocument/2006/relationships/hyperlink" Target="https://www.jfe-systems.com/press/2026/20260616_news.html" TargetMode="External" Id="rId48" /><Relationship Type="http://schemas.openxmlformats.org/officeDocument/2006/relationships/hyperlink" Target="https://www.kokuchpro.com/event/cde4ce2c4b7294f0c83ee873f871ae9c/" TargetMode="External" Id="rId49" /><Relationship Type="http://schemas.openxmlformats.org/officeDocument/2006/relationships/hyperlink" Target="https://www.seminar-info.jp/entry/seminars/view/3/6845" TargetMode="External" Id="rId50" /><Relationship Type="http://schemas.openxmlformats.org/officeDocument/2006/relationships/hyperlink" Target="https://www.kokuchpro.com/event/260709_claudecode/" TargetMode="External" Id="rId51" /><Relationship Type="http://schemas.openxmlformats.org/officeDocument/2006/relationships/hyperlink" Target="https://techplay.jp/event/997208" TargetMode="External" Id="rId52" /><Relationship Type="http://schemas.openxmlformats.org/officeDocument/2006/relationships/hyperlink" Target="https://wakaran-reading.connpass.com/event/398586/" TargetMode="External" Id="rId53" /><Relationship Type="http://schemas.openxmlformats.org/officeDocument/2006/relationships/hyperlink" Target="https://offers-jp.connpass.com/event/396197/" TargetMode="External" Id="rId54" /><Relationship Type="http://schemas.openxmlformats.org/officeDocument/2006/relationships/hyperlink" Target="https://events.nikkeibp.co.jp/event/2026/nxt0709/" TargetMode="External" Id="rId55" /><Relationship Type="http://schemas.openxmlformats.org/officeDocument/2006/relationships/hyperlink" Target="https://namespace.connpass.com/event/395095/" TargetMode="External" Id="rId56" /><Relationship Type="http://schemas.openxmlformats.org/officeDocument/2006/relationships/hyperlink" Target="https://generative-agents.connpass.com/event/398435/" TargetMode="External" Id="rId57" /><Relationship Type="http://schemas.openxmlformats.org/officeDocument/2006/relationships/hyperlink" Target="https://classmethod.connpass.com/event/395374/" TargetMode="External" Id="rId58" /><Relationship Type="http://schemas.openxmlformats.org/officeDocument/2006/relationships/hyperlink" Target="https://aiau.connpass.com/event/394831/" TargetMode="External" Id="rId59" /><Relationship Type="http://schemas.openxmlformats.org/officeDocument/2006/relationships/hyperlink" Target="https://www.kokuchpro.com/event/74c3aed9a16d9d1838ba976b1b7a5170/3830827/" TargetMode="External" Id="rId60" /><Relationship Type="http://schemas.openxmlformats.org/officeDocument/2006/relationships/hyperlink" Target="https://web-mining.doorkeeper.jp/events/197927" TargetMode="External" Id="rId61" /><Relationship Type="http://schemas.openxmlformats.org/officeDocument/2006/relationships/hyperlink" Target="https://www.kokuchpro.com/event/union710/" TargetMode="External" Id="rId62" /><Relationship Type="http://schemas.openxmlformats.org/officeDocument/2006/relationships/hyperlink" Target="https://scalar.connpass.com/event/399339/" TargetMode="External" Id="rId63" /><Relationship Type="http://schemas.openxmlformats.org/officeDocument/2006/relationships/hyperlink" Target="https://majisemi-security.doorkeeper.jp/events/197789" TargetMode="External" Id="rId64" /><Relationship Type="http://schemas.openxmlformats.org/officeDocument/2006/relationships/hyperlink" Target="https://www.kokuchpro.com/event/30e777371171a23e6946ba9b829e6469/3830837/" TargetMode="External" Id="rId65" /><Relationship Type="http://schemas.openxmlformats.org/officeDocument/2006/relationships/hyperlink" Target="https://biosbootcamp.connpass.com/event/396378/" TargetMode="External" Id="rId66" /><Relationship Type="http://schemas.openxmlformats.org/officeDocument/2006/relationships/hyperlink" Target="https://www.seminar-info.jp/entry/seminars/view/3/6868" TargetMode="External" Id="rId67" /><Relationship Type="http://schemas.openxmlformats.org/officeDocument/2006/relationships/hyperlink" Target="https://techplay.jp/event/997810" TargetMode="External" Id="rId68" /><Relationship Type="http://schemas.openxmlformats.org/officeDocument/2006/relationships/hyperlink" Target="https://digital-labors.connpass.com/event/398250/" TargetMode="External" Id="rId69" /><Relationship Type="http://schemas.openxmlformats.org/officeDocument/2006/relationships/hyperlink" Target="https://www.kokuchpro.com/event/7fa5a272404e3a707e160fa8264c6f28/" TargetMode="External" Id="rId70" /><Relationship Type="http://schemas.openxmlformats.org/officeDocument/2006/relationships/hyperlink" Target="https://aid.connpass.com/event/397707/" TargetMode="External" Id="rId71" /><Relationship Type="http://schemas.openxmlformats.org/officeDocument/2006/relationships/hyperlink" Target="https://connpass.com/event/399282/" TargetMode="External" Id="rId72" /><Relationship Type="http://schemas.openxmlformats.org/officeDocument/2006/relationships/hyperlink" Target="https://techplay.jp/event/997912" TargetMode="External" Id="rId73" /><Relationship Type="http://schemas.openxmlformats.org/officeDocument/2006/relationships/hyperlink" Target="https://www.kokuchpro.com/event/53069532975ddcdbf3d1a3e8d44d7350/" TargetMode="External" Id="rId74" /><Relationship Type="http://schemas.openxmlformats.org/officeDocument/2006/relationships/hyperlink" Target="https://web-mining.doorkeeper.jp/events/198040" TargetMode="External" Id="rId75" /><Relationship Type="http://schemas.openxmlformats.org/officeDocument/2006/relationships/hyperlink" Target="https://prtimes.jp/main/html/rd/p/000005369.000054842.html" TargetMode="External" Id="rId76" /><Relationship Type="http://schemas.openxmlformats.org/officeDocument/2006/relationships/hyperlink" Target="https://www.sbbit.jp/eventinfo/88821" TargetMode="External" Id="rId77" /><Relationship Type="http://schemas.openxmlformats.org/officeDocument/2006/relationships/hyperlink" Target="https://www.softbank.jp/corp/news/press/sbkk/2026/20260518_01/" TargetMode="External" Id="rId78" /><Relationship Type="http://schemas.openxmlformats.org/officeDocument/2006/relationships/hyperlink" Target="https://k-tai.watch.impress.co.jp/docs/news/2109522.html" TargetMode="External" Id="rId79" /><Relationship Type="http://schemas.openxmlformats.org/officeDocument/2006/relationships/hyperlink" Target="https://findy.connpass.com/event/396881/" TargetMode="External" Id="rId80" /><Relationship Type="http://schemas.openxmlformats.org/officeDocument/2006/relationships/hyperlink" Target="https://www.kokuchpro.com/event/1699adb0baf47e1ec210c620530b609e/3820023/" TargetMode="External" Id="rId81" /><Relationship Type="http://schemas.openxmlformats.org/officeDocument/2006/relationships/hyperlink" Target="https://www.kokuchpro.com/event/tunagiai_260714/" TargetMode="External" Id="rId82" /><Relationship Type="http://schemas.openxmlformats.org/officeDocument/2006/relationships/hyperlink" Target="https://web-mining.doorkeeper.jp/events/197998" TargetMode="External" Id="rId83" /><Relationship Type="http://schemas.openxmlformats.org/officeDocument/2006/relationships/hyperlink" Target="https://japan.zdnet.com/event_info/30014951/" TargetMode="External" Id="rId84" /><Relationship Type="http://schemas.openxmlformats.org/officeDocument/2006/relationships/hyperlink" Target="https://skillupai.doorkeeper.jp/events/197871" TargetMode="External" Id="rId85" /><Relationship Type="http://schemas.openxmlformats.org/officeDocument/2006/relationships/hyperlink" Target="https://techplay.jp/event/997557" TargetMode="External" Id="rId86" /><Relationship Type="http://schemas.openxmlformats.org/officeDocument/2006/relationships/hyperlink" Target="https://majisemi-security.doorkeeper.jp/events/197893" TargetMode="External" Id="rId87" /><Relationship Type="http://schemas.openxmlformats.org/officeDocument/2006/relationships/hyperlink" Target="https://techplay.jp/event/997092" TargetMode="External" Id="rId88" /><Relationship Type="http://schemas.openxmlformats.org/officeDocument/2006/relationships/hyperlink" Target="https://techplay.jp/event/997980" TargetMode="External" Id="rId89" /><Relationship Type="http://schemas.openxmlformats.org/officeDocument/2006/relationships/hyperlink" Target="https://prtimes.jp/main/html/rd/p/000000006.000163625.html" TargetMode="External" Id="rId90" /><Relationship Type="http://schemas.openxmlformats.org/officeDocument/2006/relationships/hyperlink" Target="https://cloud.watch.impress.co.jp/docs/event/2125529.html" TargetMode="External" Id="rId91" /><Relationship Type="http://schemas.openxmlformats.org/officeDocument/2006/relationships/hyperlink" Target="https://jma-news.com/archives/7037" TargetMode="External" Id="rId92" /><Relationship Type="http://schemas.openxmlformats.org/officeDocument/2006/relationships/hyperlink" Target="https://techplay.jp/event/997013" TargetMode="External" Id="rId93" /><Relationship Type="http://schemas.openxmlformats.org/officeDocument/2006/relationships/hyperlink" Target="https://www.kokuchpro.com/event/ffd85486629ca5f8cedca3e74e382492/" TargetMode="External" Id="rId94" /><Relationship Type="http://schemas.openxmlformats.org/officeDocument/2006/relationships/hyperlink" Target="https://prtimes.jp/main/html/rd/p/000000124.000066765.html" TargetMode="External" Id="rId95" /><Relationship Type="http://schemas.openxmlformats.org/officeDocument/2006/relationships/hyperlink" Target="https://offers-jp.connpass.com/event/395255/" TargetMode="External" Id="rId96" /><Relationship Type="http://schemas.openxmlformats.org/officeDocument/2006/relationships/hyperlink" Target="https://web-mining.doorkeeper.jp/events/197930" TargetMode="External" Id="rId97" /><Relationship Type="http://schemas.openxmlformats.org/officeDocument/2006/relationships/hyperlink" Target="https://majisemi-operation.doorkeeper.jp/events/197891" TargetMode="External" Id="rId98" /><Relationship Type="http://schemas.openxmlformats.org/officeDocument/2006/relationships/hyperlink" Target="https://dxdojo.connpass.com/event/400043/" TargetMode="External" Id="rId99" /><Relationship Type="http://schemas.openxmlformats.org/officeDocument/2006/relationships/hyperlink" Target="https://www.kokuchpro.com/event/5a90e9ce3378e22b2b7efdec4b2b699d/" TargetMode="External" Id="rId100" /><Relationship Type="http://schemas.openxmlformats.org/officeDocument/2006/relationships/hyperlink" Target="https://cloud-shokudo.connpass.com/event/394462/" TargetMode="External" Id="rId101" /><Relationship Type="http://schemas.openxmlformats.org/officeDocument/2006/relationships/hyperlink" Target="https://prtimes.jp/main/html/rd/p/000000108.000108457.html" TargetMode="External" Id="rId102" /><Relationship Type="http://schemas.openxmlformats.org/officeDocument/2006/relationships/hyperlink" Target="https://peatix.com/event/5007284" TargetMode="External" Id="rId103" /><Relationship Type="http://schemas.openxmlformats.org/officeDocument/2006/relationships/hyperlink" Target="https://dockerjapan.connpass.com/event/399476/" TargetMode="External" Id="rId104" /><Relationship Type="http://schemas.openxmlformats.org/officeDocument/2006/relationships/hyperlink" Target="https://majisemi-business.doorkeeper.jp/events/197619" TargetMode="External" Id="rId105" /><Relationship Type="http://schemas.openxmlformats.org/officeDocument/2006/relationships/hyperlink" Target="https://currypurin-dojo.connpass.com/event/399708/" TargetMode="External" Id="rId106" /><Relationship Type="http://schemas.openxmlformats.org/officeDocument/2006/relationships/hyperlink" Target="https://techplay.jp/event/995363" TargetMode="External" Id="rId107" /><Relationship Type="http://schemas.openxmlformats.org/officeDocument/2006/relationships/hyperlink" Target="https://techplay.jp/event/997556" TargetMode="External" Id="rId108" /><Relationship Type="http://schemas.openxmlformats.org/officeDocument/2006/relationships/hyperlink" Target="https://techplay.jp/event/997790" TargetMode="External" Id="rId109" /><Relationship Type="http://schemas.openxmlformats.org/officeDocument/2006/relationships/hyperlink" Target="https://techplay.jp/event/997967" TargetMode="External" Id="rId110" /><Relationship Type="http://schemas.openxmlformats.org/officeDocument/2006/relationships/hyperlink" Target="https://findy-aiplus.connpass.com/event/399504/" TargetMode="External" Id="rId111" /><Relationship Type="http://schemas.openxmlformats.org/officeDocument/2006/relationships/hyperlink" Target="https://www.kokuchpro.com/event/bc0c1e38fe7bab499f3f6a2cb7fa845f/" TargetMode="External" Id="rId112" /><Relationship Type="http://schemas.openxmlformats.org/officeDocument/2006/relationships/hyperlink" Target="https://www.kokuchpro.com/event/c3e79baaa5fdcd0435ea2fc7bf6862db/" TargetMode="External" Id="rId113" /><Relationship Type="http://schemas.openxmlformats.org/officeDocument/2006/relationships/hyperlink" Target="https://polyscape.connpass.com/event/397802/" TargetMode="External" Id="rId114" /><Relationship Type="http://schemas.openxmlformats.org/officeDocument/2006/relationships/hyperlink" Target="https://www.kokuchpro.com/event/b8b6f08ec012022d14eb3956002a4c38/" TargetMode="External" Id="rId115" /><Relationship Type="http://schemas.openxmlformats.org/officeDocument/2006/relationships/hyperlink" Target="https://generative-agents.connpass.com/event/400162/" TargetMode="External" Id="rId116" /><Relationship Type="http://schemas.openxmlformats.org/officeDocument/2006/relationships/hyperlink" Target="https://prtimes.jp/main/html/rd/p/000000137.000119271.html" TargetMode="External" Id="rId117" /><Relationship Type="http://schemas.openxmlformats.org/officeDocument/2006/relationships/hyperlink" Target="https://techplay.jp/event/997301" TargetMode="External" Id="rId118" /><Relationship Type="http://schemas.openxmlformats.org/officeDocument/2006/relationships/hyperlink" Target="https://www.mssf.or.jp/news_r08004/" TargetMode="External" Id="rId119" /><Relationship Type="http://schemas.openxmlformats.org/officeDocument/2006/relationships/hyperlink" Target="https://prtimes.jp/main/html/rd/p/000000017.000122726.html" TargetMode="External" Id="rId120" /><Relationship Type="http://schemas.openxmlformats.org/officeDocument/2006/relationships/hyperlink" Target="https://techplay.jp/event/998366" TargetMode="External" Id="rId121" /><Relationship Type="http://schemas.openxmlformats.org/officeDocument/2006/relationships/hyperlink" Target="https://www.kokuchpro.com/event/e47f066e43052cf1e483078114cbd748/" TargetMode="External" Id="rId122" /><Relationship Type="http://schemas.openxmlformats.org/officeDocument/2006/relationships/hyperlink" Target="https://techplay.jp/event/995383" TargetMode="External" Id="rId123" /><Relationship Type="http://schemas.openxmlformats.org/officeDocument/2006/relationships/hyperlink" Target="https://www.kokuchpro.com/event/1e27c539582347552e6e91331e14bfda/3836625/" TargetMode="External" Id="rId124" /><Relationship Type="http://schemas.openxmlformats.org/officeDocument/2006/relationships/hyperlink" Target="https://techplay.jp/event/998307" TargetMode="External" Id="rId125" /><Relationship Type="http://schemas.openxmlformats.org/officeDocument/2006/relationships/hyperlink" Target="https://techplay.jp/event/997634" TargetMode="External" Id="rId126" /><Relationship Type="http://schemas.openxmlformats.org/officeDocument/2006/relationships/hyperlink" Target="https://www.kokuchpro.com/event/5033f0fd931fa6824e7af0a2013b05de/" TargetMode="External" Id="rId127" /><Relationship Type="http://schemas.openxmlformats.org/officeDocument/2006/relationships/hyperlink" Target="https://setk.connpass.com/event/399822/" TargetMode="External" Id="rId128" /><Relationship Type="http://schemas.openxmlformats.org/officeDocument/2006/relationships/hyperlink" Target="https://www.kokuchpro.com/event/f9067bf78d594cc91cbf084be457f410/" TargetMode="External" Id="rId129" /><Relationship Type="http://schemas.openxmlformats.org/officeDocument/2006/relationships/hyperlink" Target="https://prtimes.jp/main/html/rd/p/000001651.000080053.html" TargetMode="External" Id="rId130" /><Relationship Type="http://schemas.openxmlformats.org/officeDocument/2006/relationships/hyperlink" Target="https://hannari-python.connpass.com/event/399828/" TargetMode="External" Id="rId131" /><Relationship Type="http://schemas.openxmlformats.org/officeDocument/2006/relationships/hyperlink" Target="https://ai-agent-night-in-tokyo.connpass.com/event/397051/" TargetMode="External" Id="rId132" /><Relationship Type="http://schemas.openxmlformats.org/officeDocument/2006/relationships/hyperlink" Target="https://techplay.jp/event/997690" TargetMode="External" Id="rId133" /><Relationship Type="http://schemas.openxmlformats.org/officeDocument/2006/relationships/hyperlink" Target="https://techplay.jp/event/997723" TargetMode="External" Id="rId134" /><Relationship Type="http://schemas.openxmlformats.org/officeDocument/2006/relationships/hyperlink" Target="https://levtechlab.connpass.com/event/396162/" TargetMode="External" Id="rId135" /><Relationship Type="http://schemas.openxmlformats.org/officeDocument/2006/relationships/hyperlink" Target="https://techplay.jp/event/998088" TargetMode="External" Id="rId136" /><Relationship Type="http://schemas.openxmlformats.org/officeDocument/2006/relationships/hyperlink" Target="https://gmo.connpass.com/event/397434/" TargetMode="External" Id="rId137" /><Relationship Type="http://schemas.openxmlformats.org/officeDocument/2006/relationships/hyperlink" Target="https://web-mining.doorkeeper.jp/events/198127" TargetMode="External" Id="rId138" /><Relationship Type="http://schemas.openxmlformats.org/officeDocument/2006/relationships/hyperlink" Target="https://techplay.jp/event/998425" TargetMode="External" Id="rId139" /><Relationship Type="http://schemas.openxmlformats.org/officeDocument/2006/relationships/hyperlink" Target="https://prtimes.jp/main/html/rd/p/000000007.000179817.html" TargetMode="External" Id="rId140" /><Relationship Type="http://schemas.openxmlformats.org/officeDocument/2006/relationships/hyperlink" Target="https://techplay.jp/event/997804" TargetMode="External" Id="rId141" /><Relationship Type="http://schemas.openxmlformats.org/officeDocument/2006/relationships/hyperlink" Target="https://www.kokuchpro.com/event/c9084aa27288575e1ab9236f36a0cf69/3841475/" TargetMode="External" Id="rId142" /><Relationship Type="http://schemas.openxmlformats.org/officeDocument/2006/relationships/hyperlink" Target="https://nextfreelance.connpass.com/event/398486/" TargetMode="External" Id="rId143" /><Relationship Type="http://schemas.openxmlformats.org/officeDocument/2006/relationships/hyperlink" Target="https://techplay.jp/event/997646" TargetMode="External" Id="rId144" /><Relationship Type="http://schemas.openxmlformats.org/officeDocument/2006/relationships/hyperlink" Target="https://oracle-code-tokyo-dev.connpass.com/event/396910/" TargetMode="External" Id="rId145" /><Relationship Type="http://schemas.openxmlformats.org/officeDocument/2006/relationships/hyperlink" Target="https://techplay.jp/event/997382" TargetMode="External" Id="rId146" /><Relationship Type="http://schemas.openxmlformats.org/officeDocument/2006/relationships/hyperlink" Target="https://prtimes.jp/main/html/rd/p/000000126.000066765.html" TargetMode="External" Id="rId147" /><Relationship Type="http://schemas.openxmlformats.org/officeDocument/2006/relationships/hyperlink" Target="https://techplay.jp/event/998387" TargetMode="External" Id="rId148" /><Relationship Type="http://schemas.openxmlformats.org/officeDocument/2006/relationships/hyperlink" Target="https://www.sbbit.jp/eventinfo/89642" TargetMode="External" Id="rId149" /><Relationship Type="http://schemas.openxmlformats.org/officeDocument/2006/relationships/hyperlink" Target="https://monstar-lab.connpass.com/event/400520/" TargetMode="External" Id="rId150" /><Relationship Type="http://schemas.openxmlformats.org/officeDocument/2006/relationships/hyperlink" Target="https://www.kokuchpro.com/event/4fded1a03912bfb87c95f85e5ae2934f/" TargetMode="External" Id="rId151" /><Relationship Type="http://schemas.openxmlformats.org/officeDocument/2006/relationships/hyperlink" Target="https://japan.zdnet.com/event_info/30014999/" TargetMode="External" Id="rId152" /><Relationship Type="http://schemas.openxmlformats.org/officeDocument/2006/relationships/hyperlink" Target="https://techplay.jp/event/998071" TargetMode="External" Id="rId153" /><Relationship Type="http://schemas.openxmlformats.org/officeDocument/2006/relationships/hyperlink" Target="https://namespace.connpass.com/event/398280/" TargetMode="External" Id="rId154" /><Relationship Type="http://schemas.openxmlformats.org/officeDocument/2006/relationships/hyperlink" Target="https://prtimes.jp/main/html/rd/p/000000132.000155740.html" TargetMode="External" Id="rId155" /><Relationship Type="http://schemas.openxmlformats.org/officeDocument/2006/relationships/hyperlink" Target="https://prtimes.jp/main/html/rd/p/000000117.000155740.html" TargetMode="External" Id="rId156" /><Relationship Type="http://schemas.openxmlformats.org/officeDocument/2006/relationships/hyperlink" Target="https://techplay.jp/event/997439" TargetMode="External" Id="rId157" /><Relationship Type="http://schemas.openxmlformats.org/officeDocument/2006/relationships/hyperlink" Target="https://headwaters.connpass.com/event/396107/" TargetMode="External" Id="rId158" /><Relationship Type="http://schemas.openxmlformats.org/officeDocument/2006/relationships/hyperlink" Target="https://querypiejapan.connpass.com/event/399467/" TargetMode="External" Id="rId159" /><Relationship Type="http://schemas.openxmlformats.org/officeDocument/2006/relationships/hyperlink" Target="https://www.seminar-info.jp/entry/seminars/view/3/6870" TargetMode="External" Id="rId160" /><Relationship Type="http://schemas.openxmlformats.org/officeDocument/2006/relationships/hyperlink" Target="https://solvio.connpass.com/event/399988/" TargetMode="External" Id="rId161" /><Relationship Type="http://schemas.openxmlformats.org/officeDocument/2006/relationships/hyperlink" Target="https://connpass.com/event/400877/" TargetMode="External" Id="rId162" /><Relationship Type="http://schemas.openxmlformats.org/officeDocument/2006/relationships/hyperlink" Target="https://jpoug.doorkeeper.jp/events/197950" TargetMode="External" Id="rId163" /><Relationship Type="http://schemas.openxmlformats.org/officeDocument/2006/relationships/hyperlink" Target="https://nextbeat.connpass.com/event/397529/" TargetMode="External" Id="rId164" /><Relationship Type="http://schemas.openxmlformats.org/officeDocument/2006/relationships/hyperlink" Target="https://prtimes.jp/main/html/rd/p/000000029.000045053.html" TargetMode="External" Id="rId165" /><Relationship Type="http://schemas.openxmlformats.org/officeDocument/2006/relationships/hyperlink" Target="https://www.kokuchpro.com/event/728813118681359582ef8ce8f366f6e6/" TargetMode="External" Id="rId166" /><Relationship Type="http://schemas.openxmlformats.org/officeDocument/2006/relationships/hyperlink" Target="https://masaru-study.connpass.com/event/398557/" TargetMode="External" Id="rId167" /><Relationship Type="http://schemas.openxmlformats.org/officeDocument/2006/relationships/hyperlink" Target="https://jp.ub-speeda.com/seminar/20260723_mcp/" TargetMode="External" Id="rId168" /><Relationship Type="http://schemas.openxmlformats.org/officeDocument/2006/relationships/hyperlink" Target="https://prtimes.jp/main/html/rd/p/000000014.000181368.html" TargetMode="External" Id="rId169" /><Relationship Type="http://schemas.openxmlformats.org/officeDocument/2006/relationships/hyperlink" Target="https://www.kokuchpro.com/event/0999ea661983981fa48e81d09c0559e5/" TargetMode="External" Id="rId170" /><Relationship Type="http://schemas.openxmlformats.org/officeDocument/2006/relationships/hyperlink" Target="https://techplay.jp/event/997463" TargetMode="External" Id="rId171" /><Relationship Type="http://schemas.openxmlformats.org/officeDocument/2006/relationships/hyperlink" Target="https://majisemi-operation.doorkeeper.jp/events/198051" TargetMode="External" Id="rId172" /><Relationship Type="http://schemas.openxmlformats.org/officeDocument/2006/relationships/hyperlink" Target="https://prtimes.jp/main/html/rd/p/000000125.000155740.html" TargetMode="External" Id="rId173" /><Relationship Type="http://schemas.openxmlformats.org/officeDocument/2006/relationships/hyperlink" Target="https://findy.connpass.com/event/399253/" TargetMode="External" Id="rId174" /><Relationship Type="http://schemas.openxmlformats.org/officeDocument/2006/relationships/hyperlink" Target="https://techplay.jp/event/998238" TargetMode="External" Id="rId175" /><Relationship Type="http://schemas.openxmlformats.org/officeDocument/2006/relationships/hyperlink" Target="https://www.kokuchpro.com/event/cafa314873fa0701c36247794366530b/" TargetMode="External" Id="rId176" /><Relationship Type="http://schemas.openxmlformats.org/officeDocument/2006/relationships/hyperlink" Target="https://modn-tech.connpass.com/event/400145/" TargetMode="External" Id="rId177" /><Relationship Type="http://schemas.openxmlformats.org/officeDocument/2006/relationships/hyperlink" Target="https://www.sbbit.jp/eventinfo/88483" TargetMode="External" Id="rId178" /><Relationship Type="http://schemas.openxmlformats.org/officeDocument/2006/relationships/hyperlink" Target="https://majisemi-sales.doorkeeper.jp/events/198186" TargetMode="External" Id="rId179" /><Relationship Type="http://schemas.openxmlformats.org/officeDocument/2006/relationships/hyperlink" Target="https://motex.connpass.com/event/399745/" TargetMode="External" Id="rId180" /><Relationship Type="http://schemas.openxmlformats.org/officeDocument/2006/relationships/hyperlink" Target="https://web-mining.doorkeeper.jp/events/197996" TargetMode="External" Id="rId181" /><Relationship Type="http://schemas.openxmlformats.org/officeDocument/2006/relationships/hyperlink" Target="https://techplay.jp/event/997410" TargetMode="External" Id="rId182" /><Relationship Type="http://schemas.openxmlformats.org/officeDocument/2006/relationships/hyperlink" Target="https://www.kokuchpro.com/event/67c704a6ba119ffa603f407c42b657b0/" TargetMode="External" Id="rId183" /><Relationship Type="http://schemas.openxmlformats.org/officeDocument/2006/relationships/hyperlink" Target="https://intersystems-dc.connpass.com/event/398426/" TargetMode="External" Id="rId184" /><Relationship Type="http://schemas.openxmlformats.org/officeDocument/2006/relationships/hyperlink" Target="https://www.sbbit.jp/eventinfo/89562" TargetMode="External" Id="rId185" /><Relationship Type="http://schemas.openxmlformats.org/officeDocument/2006/relationships/hyperlink" Target="https://www.kokuchpro.com/event/91cc61cd97deb249b6ac048980895ff7/" TargetMode="External" Id="rId186" /><Relationship Type="http://schemas.openxmlformats.org/officeDocument/2006/relationships/hyperlink" Target="https://techplay.jp/event/998308" TargetMode="External" Id="rId187" /><Relationship Type="http://schemas.openxmlformats.org/officeDocument/2006/relationships/hyperlink" Target="https://techplay.jp/event/997952" TargetMode="External" Id="rId188" /><Relationship Type="http://schemas.openxmlformats.org/officeDocument/2006/relationships/hyperlink" Target="https://cdle-kumamoto.connpass.com/event/397343/" TargetMode="External" Id="rId189" /><Relationship Type="http://schemas.openxmlformats.org/officeDocument/2006/relationships/hyperlink" Target="https://generative-agents.connpass.com/event/400928/" TargetMode="External" Id="rId190" /><Relationship Type="http://schemas.openxmlformats.org/officeDocument/2006/relationships/hyperlink" Target="https://techplay.jp/event/995211" TargetMode="External" Id="rId191" /><Relationship Type="http://schemas.openxmlformats.org/officeDocument/2006/relationships/hyperlink" Target="https://modn-tech.connpass.com/event/400414/" TargetMode="External" Id="rId192" /><Relationship Type="http://schemas.openxmlformats.org/officeDocument/2006/relationships/hyperlink" Target="https://www.jaldx.co.jp/news/9369.html" TargetMode="External" Id="rId193" /><Relationship Type="http://schemas.openxmlformats.org/officeDocument/2006/relationships/hyperlink" Target="https://polyscape.connpass.com/event/399872/" TargetMode="External" Id="rId194" /><Relationship Type="http://schemas.openxmlformats.org/officeDocument/2006/relationships/hyperlink" Target="https://techplay.jp/event/997971" TargetMode="External" Id="rId195" /><Relationship Type="http://schemas.openxmlformats.org/officeDocument/2006/relationships/hyperlink" Target="https://www.kokuchpro.com/event/b2624e237d36b1bd3ea00351befb8342/" TargetMode="External" Id="rId196" /><Relationship Type="http://schemas.openxmlformats.org/officeDocument/2006/relationships/hyperlink" Target="https://ai-agent-okinawa.connpass.com/event/401141/" TargetMode="External" Id="rId197" /><Relationship Type="http://schemas.openxmlformats.org/officeDocument/2006/relationships/hyperlink" Target="https://techplay.jp/event/998369" TargetMode="External" Id="rId198" /><Relationship Type="http://schemas.openxmlformats.org/officeDocument/2006/relationships/hyperlink" Target="https://datascience-mokumoku-kyobashi.connpass.com/event/398872/" TargetMode="External" Id="rId199" /><Relationship Type="http://schemas.openxmlformats.org/officeDocument/2006/relationships/hyperlink" Target="https://www.sbbit.jp/eventinfo/88907" TargetMode="External" Id="rId200" /><Relationship Type="http://schemas.openxmlformats.org/officeDocument/2006/relationships/hyperlink" Target="https://www.kokuchpro.com/event/642ddfba3a563108e7202fd1ab950050/" TargetMode="External" Id="rId201" /><Relationship Type="http://schemas.openxmlformats.org/officeDocument/2006/relationships/hyperlink" Target="https://jawsug-chiba.connpass.com/event/398349/" TargetMode="External" Id="rId202" /><Relationship Type="http://schemas.openxmlformats.org/officeDocument/2006/relationships/hyperlink" Target="https://techplay.jp/event/997143" TargetMode="External" Id="rId203" /><Relationship Type="http://schemas.openxmlformats.org/officeDocument/2006/relationships/hyperlink" Target="https://techplay.jp/event/998197" TargetMode="External" Id="rId204" /><Relationship Type="http://schemas.openxmlformats.org/officeDocument/2006/relationships/hyperlink" Target="https://techplay.jp/event/997318" TargetMode="External" Id="rId205" /><Relationship Type="http://schemas.openxmlformats.org/officeDocument/2006/relationships/hyperlink" Target="https://findy.connpass.com/event/398367/" TargetMode="External" Id="rId206" /><Relationship Type="http://schemas.openxmlformats.org/officeDocument/2006/relationships/hyperlink" Target="https://www.kokuchpro.com/event/aac91b86475652b41da3da0e38a76864/" TargetMode="External" Id="rId207" /><Relationship Type="http://schemas.openxmlformats.org/officeDocument/2006/relationships/hyperlink" Target="https://zenlab.connpass.com/event/398601/" TargetMode="External" Id="rId208" /><Relationship Type="http://schemas.openxmlformats.org/officeDocument/2006/relationships/hyperlink" Target="https://techplay.jp/event/998555" TargetMode="External" Id="rId209" /><Relationship Type="http://schemas.openxmlformats.org/officeDocument/2006/relationships/hyperlink" Target="https://yurusharekai.connpass.com/event/400860/" TargetMode="External" Id="rId210" /><Relationship Type="http://schemas.openxmlformats.org/officeDocument/2006/relationships/hyperlink" Target="https://techplay.jp/event/998006" TargetMode="External" Id="rId211" /><Relationship Type="http://schemas.openxmlformats.org/officeDocument/2006/relationships/hyperlink" Target="https://prtimes.jp/main/html/rd/p/000000442.000048939.html" TargetMode="External" Id="rId212" /><Relationship Type="http://schemas.openxmlformats.org/officeDocument/2006/relationships/hyperlink" Target="https://www.kokuchpro.com/event/8d8a42e1c7a2bc187241f0741d554e20/" TargetMode="External" Id="rId213" /><Relationship Type="http://schemas.openxmlformats.org/officeDocument/2006/relationships/hyperlink" Target="https://prtimes.jp/main/html/rd/p/000000034.000167191.html" TargetMode="External" Id="rId214" /><Relationship Type="http://schemas.openxmlformats.org/officeDocument/2006/relationships/hyperlink" Target="https://events.nikkei.co.jp/82909/" TargetMode="External" Id="rId215" /><Relationship Type="http://schemas.openxmlformats.org/officeDocument/2006/relationships/hyperlink" Target="https://cloudace.doorkeeper.jp/events/198053" TargetMode="External" Id="rId216" /><Relationship Type="http://schemas.openxmlformats.org/officeDocument/2006/relationships/hyperlink" Target="https://mlops.connpass.com/event/400451/" TargetMode="External" Id="rId217" /><Relationship Type="http://schemas.openxmlformats.org/officeDocument/2006/relationships/hyperlink" Target="https://jpn.nec.com/event/260728seizo-cox/index.html" TargetMode="External" Id="rId218" /><Relationship Type="http://schemas.openxmlformats.org/officeDocument/2006/relationships/hyperlink" Target="https://scalar.connpass.com/event/400004/" TargetMode="External" Id="rId219" /><Relationship Type="http://schemas.openxmlformats.org/officeDocument/2006/relationships/hyperlink" Target="https://skillupai.doorkeeper.jp/events/197997" TargetMode="External" Id="rId220" /><Relationship Type="http://schemas.openxmlformats.org/officeDocument/2006/relationships/hyperlink" Target="https://majisemi-technology.doorkeeper.jp/events/198025" TargetMode="External" Id="rId221" /><Relationship Type="http://schemas.openxmlformats.org/officeDocument/2006/relationships/hyperlink" Target="https://aismiley.co.jp/company_news/20260729webinar/" TargetMode="External" Id="rId222" /><Relationship Type="http://schemas.openxmlformats.org/officeDocument/2006/relationships/hyperlink" Target="https://gais.jp/ai-agent-summit-summer2026/" TargetMode="External" Id="rId223" /><Relationship Type="http://schemas.openxmlformats.org/officeDocument/2006/relationships/hyperlink" Target="https://www.kokuchpro.com/event/bd8a8161611562ded6d6da219d100aad/" TargetMode="External" Id="rId224" /><Relationship Type="http://schemas.openxmlformats.org/officeDocument/2006/relationships/hyperlink" Target="https://www.kokuchpro.com/event/5547d9fca6b4575f9401f7a39010d93b/" TargetMode="External" Id="rId225" /><Relationship Type="http://schemas.openxmlformats.org/officeDocument/2006/relationships/hyperlink" Target="https://events.nikkeibp.co.jp/event/2026/nxt0729infra/" TargetMode="External" Id="rId226" /><Relationship Type="http://schemas.openxmlformats.org/officeDocument/2006/relationships/hyperlink" Target="https://www.sbbit.jp/eventinfo/89001" TargetMode="External" Id="rId227" /><Relationship Type="http://schemas.openxmlformats.org/officeDocument/2006/relationships/hyperlink" Target="https://solvio.connpass.com/event/400965/" TargetMode="External" Id="rId228" /><Relationship Type="http://schemas.openxmlformats.org/officeDocument/2006/relationships/hyperlink" Target="https://techplay.jp/event/998368" TargetMode="External" Id="rId229" /><Relationship Type="http://schemas.openxmlformats.org/officeDocument/2006/relationships/hyperlink" Target="https://majisemi-security.doorkeeper.jp/events/198139" TargetMode="External" Id="rId230" /><Relationship Type="http://schemas.openxmlformats.org/officeDocument/2006/relationships/hyperlink" Target="https://www.kokuchpro.com/event/9c7c3edf4ceb4ddd42df93774e27be83/" TargetMode="External" Id="rId231" /><Relationship Type="http://schemas.openxmlformats.org/officeDocument/2006/relationships/hyperlink" Target="https://aismiley.co.jp/event_detail/iprosai-summer-20260729/" TargetMode="External" Id="rId232" /><Relationship Type="http://schemas.openxmlformats.org/officeDocument/2006/relationships/hyperlink" Target="https://ex.ipros.jp/expo/iprosai/" TargetMode="External" Id="rId233" /><Relationship Type="http://schemas.openxmlformats.org/officeDocument/2006/relationships/hyperlink" Target="https://prtimes.jp/main/html/rd/p/000000144.000001332.html" TargetMode="External" Id="rId234" /><Relationship Type="http://schemas.openxmlformats.org/officeDocument/2006/relationships/hyperlink" Target="https://osslabo.doorkeeper.jp/events/198182" TargetMode="External" Id="rId235" /><Relationship Type="http://schemas.openxmlformats.org/officeDocument/2006/relationships/hyperlink" Target="https://eventregist.com/e/AIForum2026" TargetMode="External" Id="rId236" /><Relationship Type="http://schemas.openxmlformats.org/officeDocument/2006/relationships/hyperlink" Target="https://techplay.jp/event/998205" TargetMode="External" Id="rId237" /><Relationship Type="http://schemas.openxmlformats.org/officeDocument/2006/relationships/hyperlink" Target="https://azest.connpass.com/event/400048/" TargetMode="External" Id="rId238" /><Relationship Type="http://schemas.openxmlformats.org/officeDocument/2006/relationships/hyperlink" Target="https://techplay.jp/event/997689" TargetMode="External" Id="rId239" /><Relationship Type="http://schemas.openxmlformats.org/officeDocument/2006/relationships/hyperlink" Target="https://moneyforward.connpass.com/event/396660/" TargetMode="External" Id="rId240" /><Relationship Type="http://schemas.openxmlformats.org/officeDocument/2006/relationships/hyperlink" Target="https://aid.connpass.com/event/392229/" TargetMode="External" Id="rId241" /><Relationship Type="http://schemas.openxmlformats.org/officeDocument/2006/relationships/hyperlink" Target="https://aid.connpass.com/event/392230/" TargetMode="External" Id="rId242" /><Relationship Type="http://schemas.openxmlformats.org/officeDocument/2006/relationships/hyperlink" Target="https://xtech.nikkei.com/atcl/nxt/news/24/03322/" TargetMode="External" Id="rId243" /><Relationship Type="http://schemas.openxmlformats.org/officeDocument/2006/relationships/hyperlink" Target="https://beyond.doorkeeper.jp/events/198332" TargetMode="External" Id="rId244" /><Relationship Type="http://schemas.openxmlformats.org/officeDocument/2006/relationships/hyperlink" Target="https://japan.zdnet.com/event_info/30015006/" TargetMode="External" Id="rId245" /><Relationship Type="http://schemas.openxmlformats.org/officeDocument/2006/relationships/hyperlink" Target="https://peatix.com/event/5083577" TargetMode="External" Id="rId246" /><Relationship Type="http://schemas.openxmlformats.org/officeDocument/2006/relationships/hyperlink" Target="https://mokumoku-infra-ai.connpass.com/event/401810/" TargetMode="External" Id="rId247" /><Relationship Type="http://schemas.openxmlformats.org/officeDocument/2006/relationships/hyperlink" Target="https://japan.zdnet.com/event_info/30015004/" TargetMode="External" Id="rId248" /><Relationship Type="http://schemas.openxmlformats.org/officeDocument/2006/relationships/hyperlink" Target="https://www.kokuchpro.com/event/5bf8d52b0d847f6dec45bef3fbcc10fa/" TargetMode="External" Id="rId249" /><Relationship Type="http://schemas.openxmlformats.org/officeDocument/2006/relationships/hyperlink" Target="https://polyscape.connpass.com/event/398438/" TargetMode="External" Id="rId250" /><Relationship Type="http://schemas.openxmlformats.org/officeDocument/2006/relationships/hyperlink" Target="https://japan.zdnet.com/event_info/30015008/" TargetMode="External" Id="rId251" /><Relationship Type="http://schemas.openxmlformats.org/officeDocument/2006/relationships/hyperlink" Target="https://wedxtalks.connpass.com/event/401566/" TargetMode="External" Id="rId252" /><Relationship Type="http://schemas.openxmlformats.org/officeDocument/2006/relationships/hyperlink" Target="https://techplay.jp/event/998004" TargetMode="External" Id="rId253" /><Relationship Type="http://schemas.openxmlformats.org/officeDocument/2006/relationships/hyperlink" Target="https://techplay.jp/event/997906" TargetMode="External" Id="rId254" /><Relationship Type="http://schemas.openxmlformats.org/officeDocument/2006/relationships/hyperlink" Target="https://web-mining.doorkeeper.jp/events/198326" TargetMode="External" Id="rId255" /><Relationship Type="http://schemas.openxmlformats.org/officeDocument/2006/relationships/hyperlink" Target="https://copli-next.connpass.com/event/398527/" TargetMode="External" Id="rId256" /><Relationship Type="http://schemas.openxmlformats.org/officeDocument/2006/relationships/hyperlink" Target="https://peatix.com/event/4982007" TargetMode="External" Id="rId257" /><Relationship Type="http://schemas.openxmlformats.org/officeDocument/2006/relationships/hyperlink" Target="https://peatix.com/event/4987590" TargetMode="External" Id="rId258" /><Relationship Type="http://schemas.openxmlformats.org/officeDocument/2006/relationships/hyperlink" Target="https://www.kokuchpro.com/event/16a61b71a30d40413dd74fd9028baa29/3852134/" TargetMode="External" Id="rId259" /><Relationship Type="http://schemas.openxmlformats.org/officeDocument/2006/relationships/hyperlink" Target="https://prtimes.jp/main/html/rd/p/000000434.000059894.html" TargetMode="External" Id="rId260" /><Relationship Type="http://schemas.openxmlformats.org/officeDocument/2006/relationships/hyperlink" Target="https://connpass.com/event/400828/" TargetMode="External" Id="rId261" /><Relationship Type="http://schemas.openxmlformats.org/officeDocument/2006/relationships/hyperlink" Target="https://prtimes.jp/main/html/rd/p/000000303.000021559.html" TargetMode="External" Id="rId262" /><Relationship Type="http://schemas.openxmlformats.org/officeDocument/2006/relationships/hyperlink" Target="https://future-tech-association.connpass.com/event/399651/" TargetMode="External" Id="rId263" /><Relationship Type="http://schemas.openxmlformats.org/officeDocument/2006/relationships/hyperlink" Target="https://techplay.jp/event/997921" TargetMode="External" Id="rId264" /><Relationship Type="http://schemas.openxmlformats.org/officeDocument/2006/relationships/hyperlink" Target="https://mcsug.connpass.com/event/401562/" TargetMode="External" Id="rId265" /><Relationship Type="http://schemas.openxmlformats.org/officeDocument/2006/relationships/hyperlink" Target="https://www.sbbit.jp/eventinfo/89604" TargetMode="External" Id="rId266" /><Relationship Type="http://schemas.openxmlformats.org/officeDocument/2006/relationships/hyperlink" Target="https://techplay.jp/event/998646" TargetMode="External" Id="rId267" /><Relationship Type="http://schemas.openxmlformats.org/officeDocument/2006/relationships/hyperlink" Target="https://prtimes.jp/main/html/rd/p/000005465.000054842.html" TargetMode="External" Id="rId268" /><Relationship Type="http://schemas.openxmlformats.org/officeDocument/2006/relationships/hyperlink" Target="https://majisemi-technology.doorkeeper.jp/events/198266" TargetMode="External" Id="rId269" /><Relationship Type="http://schemas.openxmlformats.org/officeDocument/2006/relationships/hyperlink" Target="https://www.kokuchpro.com/event/fcc6f5925aff705dc431032f0260d455/" TargetMode="External" Id="rId270" /><Relationship Type="http://schemas.openxmlformats.org/officeDocument/2006/relationships/hyperlink" Target="https://prtimes.jp/main/html/rd/p/000000432.000071062.html" TargetMode="External" Id="rId271" /><Relationship Type="http://schemas.openxmlformats.org/officeDocument/2006/relationships/hyperlink" Target="https://techplay.jp/event/998054" TargetMode="External" Id="rId272" /><Relationship Type="http://schemas.openxmlformats.org/officeDocument/2006/relationships/hyperlink" Target="https://findy.connpass.com/event/400570/" TargetMode="External" Id="rId273" /><Relationship Type="http://schemas.openxmlformats.org/officeDocument/2006/relationships/hyperlink" Target="https://skillupai.doorkeeper.jp/events/198350" TargetMode="External" Id="rId274" /><Relationship Type="http://schemas.openxmlformats.org/officeDocument/2006/relationships/hyperlink" Target="https://generative-agents.connpass.com/event/401851/" TargetMode="External" Id="rId275" /><Relationship Type="http://schemas.openxmlformats.org/officeDocument/2006/relationships/hyperlink" Target="https://fffff.connpass.com/event/401155/" TargetMode="External" Id="rId276" /><Relationship Type="http://schemas.openxmlformats.org/officeDocument/2006/relationships/hyperlink" Target="https://www.100inc.co.jp/news/20260710-webinar-hubspot-ai-breeze-lab" TargetMode="External" Id="rId277" /><Relationship Type="http://schemas.openxmlformats.org/officeDocument/2006/relationships/hyperlink" Target="https://www.sbbit.jp/eventinfo/89047" TargetMode="External" Id="rId278" /><Relationship Type="http://schemas.openxmlformats.org/officeDocument/2006/relationships/hyperlink" Target="https://www.kokuchpro.com/event/5e217a67b0a473746353f8239ed80512/" TargetMode="External" Id="rId279" /><Relationship Type="http://schemas.openxmlformats.org/officeDocument/2006/relationships/hyperlink" Target="https://nrinetcom.connpass.com/event/401251/" TargetMode="External" Id="rId280" /><Relationship Type="http://schemas.openxmlformats.org/officeDocument/2006/relationships/hyperlink" Target="https://prtimes.jp/main/html/rd/p/000000098.000068656.html" TargetMode="External" Id="rId281" /><Relationship Type="http://schemas.openxmlformats.org/officeDocument/2006/relationships/hyperlink" Target="https://techplay.jp/event/998487" TargetMode="External" Id="rId282" /><Relationship Type="http://schemas.openxmlformats.org/officeDocument/2006/relationships/hyperlink" Target="https://prtimes.jp/main/html/rd/p/000000783.000020223.html" TargetMode="External" Id="rId283" /><Relationship Type="http://schemas.openxmlformats.org/officeDocument/2006/relationships/hyperlink" Target="https://www.kokuchpro.com/event/d4089f7f0de2dfc567d3960f9f5649ea/" TargetMode="External" Id="rId284" /><Relationship Type="http://schemas.openxmlformats.org/officeDocument/2006/relationships/hyperlink" Target="https://techplay.jp/event/998800" TargetMode="External" Id="rId285" /><Relationship Type="http://schemas.openxmlformats.org/officeDocument/2006/relationships/hyperlink" Target="https://techplay.jp/event/997593" TargetMode="External" Id="rId286" /><Relationship Type="http://schemas.openxmlformats.org/officeDocument/2006/relationships/hyperlink" Target="https://techplay.jp/event/998180" TargetMode="External" Id="rId287" /><Relationship Type="http://schemas.openxmlformats.org/officeDocument/2006/relationships/hyperlink" Target="https://www.kokuchpro.com/event/f12384e9b239d3cba04702bfa14312d0/" TargetMode="External" Id="rId288" /><Relationship Type="http://schemas.openxmlformats.org/officeDocument/2006/relationships/hyperlink" Target="https://www.sbbit.jp/eventinfo/89496" TargetMode="External" Id="rId289" /><Relationship Type="http://schemas.openxmlformats.org/officeDocument/2006/relationships/hyperlink" Target="https://findy-aiplus.connpass.com/event/401265/" TargetMode="External" Id="rId290" /><Relationship Type="http://schemas.openxmlformats.org/officeDocument/2006/relationships/hyperlink" Target="https://intersystems-dc.connpass.com/event/399906/" TargetMode="External" Id="rId291" /><Relationship Type="http://schemas.openxmlformats.org/officeDocument/2006/relationships/hyperlink" Target="https://www.kokuchpro.com/event/688252a6c2b580742b53d3c6e681502a/" TargetMode="External" Id="rId292" /><Relationship Type="http://schemas.openxmlformats.org/officeDocument/2006/relationships/hyperlink" Target="https://techplay.jp/event/998336" TargetMode="External" Id="rId293" /><Relationship Type="http://schemas.openxmlformats.org/officeDocument/2006/relationships/hyperlink" Target="https://phper-oop.connpass.com/event/398585/" TargetMode="External" Id="rId294" /><Relationship Type="http://schemas.openxmlformats.org/officeDocument/2006/relationships/hyperlink" Target="https://techplay.jp/event/999276" TargetMode="External" Id="rId295" /><Relationship Type="http://schemas.openxmlformats.org/officeDocument/2006/relationships/hyperlink" Target="https://www.kokuchpro.com/event/2dda0f2c2e43167cd05d1576d2644460/" TargetMode="External" Id="rId296" /><Relationship Type="http://schemas.openxmlformats.org/officeDocument/2006/relationships/hyperlink" Target="https://www.kokuchpro.com/event/7c56a9d1407ab0e8142d8a6060aae585/" TargetMode="External" Id="rId297" /><Relationship Type="http://schemas.openxmlformats.org/officeDocument/2006/relationships/hyperlink" Target="https://techplay.jp/event/998564" TargetMode="External" Id="rId298" /><Relationship Type="http://schemas.openxmlformats.org/officeDocument/2006/relationships/hyperlink" Target="https://techplay.jp/event/998379" TargetMode="External" Id="rId299" /><Relationship Type="http://schemas.openxmlformats.org/officeDocument/2006/relationships/hyperlink" Target="https://aconnect.stockmark.co.jp/seminar/20260806/" TargetMode="External" Id="rId300" /><Relationship Type="http://schemas.openxmlformats.org/officeDocument/2006/relationships/hyperlink" Target="https://connpass.com/event/402027/" TargetMode="External" Id="rId301" /><Relationship Type="http://schemas.openxmlformats.org/officeDocument/2006/relationships/hyperlink" Target="https://postman.connpass.com/event/399749/" TargetMode="External" Id="rId302" /><Relationship Type="http://schemas.openxmlformats.org/officeDocument/2006/relationships/hyperlink" Target="https://prtimes.jp/main/html/rd/p/000000009.000175889.html" TargetMode="External" Id="rId303" /><Relationship Type="http://schemas.openxmlformats.org/officeDocument/2006/relationships/hyperlink" Target="https://generative-agents.connpass.com/event/401909/" TargetMode="External" Id="rId304" /><Relationship Type="http://schemas.openxmlformats.org/officeDocument/2006/relationships/hyperlink" Target="https://prtimes.jp/main/html/rd/p/000000021.000166783.html" TargetMode="External" Id="rId305" /><Relationship Type="http://schemas.openxmlformats.org/officeDocument/2006/relationships/hyperlink" Target="https://majisemi-operation.doorkeeper.jp/events/198323" TargetMode="External" Id="rId306" /><Relationship Type="http://schemas.openxmlformats.org/officeDocument/2006/relationships/hyperlink" Target="https://explaza.connpass.com/event/401876/" TargetMode="External" Id="rId307" /><Relationship Type="http://schemas.openxmlformats.org/officeDocument/2006/relationships/hyperlink" Target="https://techplay.jp/event/998406" TargetMode="External" Id="rId308" /><Relationship Type="http://schemas.openxmlformats.org/officeDocument/2006/relationships/hyperlink" Target="https://techplay.jp/event/999123" TargetMode="External" Id="rId309" /><Relationship Type="http://schemas.openxmlformats.org/officeDocument/2006/relationships/hyperlink" Target="https://gdgoc-kobe-univ.connpass.com/event/401176/" TargetMode="External" Id="rId310" /><Relationship Type="http://schemas.openxmlformats.org/officeDocument/2006/relationships/hyperlink" Target="https://www.kokuchpro.com/event/15a43a407da7222e42c434f14baaefde/" TargetMode="External" Id="rId311" /><Relationship Type="http://schemas.openxmlformats.org/officeDocument/2006/relationships/hyperlink" Target="https://ai-driven-bonjin.connpass.com/event/402206/" TargetMode="External" Id="rId312" /><Relationship Type="http://schemas.openxmlformats.org/officeDocument/2006/relationships/hyperlink" Target="https://digital-labors.connpass.com/event/401168/" TargetMode="External" Id="rId313" /><Relationship Type="http://schemas.openxmlformats.org/officeDocument/2006/relationships/hyperlink" Target="https://www.kokuchpro.com/event/2be59d0aea3dc444777684490066cea9/" TargetMode="External" Id="rId314" /><Relationship Type="http://schemas.openxmlformats.org/officeDocument/2006/relationships/hyperlink" Target="https://techplay.jp/event/998452" TargetMode="External" Id="rId315" /><Relationship Type="http://schemas.openxmlformats.org/officeDocument/2006/relationships/hyperlink" Target="https://techplay.jp/event/998453" TargetMode="External" Id="rId316" /><Relationship Type="http://schemas.openxmlformats.org/officeDocument/2006/relationships/hyperlink" Target="https://www.kokuchpro.com/event/107b72191d44d9fed440a207798edb21/" TargetMode="External" Id="rId317" /><Relationship Type="http://schemas.openxmlformats.org/officeDocument/2006/relationships/hyperlink" Target="https://www.kokuchpro.com/event/d49250e9647d184466c775c4a8465e46/" TargetMode="External" Id="rId318" /><Relationship Type="http://schemas.openxmlformats.org/officeDocument/2006/relationships/hyperlink" Target="https://i-love-ai.connpass.com/event/397511/" TargetMode="External" Id="rId319" /><Relationship Type="http://schemas.openxmlformats.org/officeDocument/2006/relationships/hyperlink" Target="https://fristi.connpass.com/event/400745/" TargetMode="External" Id="rId320" /><Relationship Type="http://schemas.openxmlformats.org/officeDocument/2006/relationships/hyperlink" Target="https://techplay.jp/event/999070" TargetMode="External" Id="rId321" /><Relationship Type="http://schemas.openxmlformats.org/officeDocument/2006/relationships/hyperlink" Target="https://generative-agents.connpass.com/event/402896/" TargetMode="External" Id="rId322" /><Relationship Type="http://schemas.openxmlformats.org/officeDocument/2006/relationships/hyperlink" Target="https://techplay.jp/event/995388" TargetMode="External" Id="rId323" /><Relationship Type="http://schemas.openxmlformats.org/officeDocument/2006/relationships/hyperlink" Target="https://code-based-presentation.connpass.com/event/401427/" TargetMode="External" Id="rId324" /><Relationship Type="http://schemas.openxmlformats.org/officeDocument/2006/relationships/hyperlink" Target="https://techplay.jp/event/998984" TargetMode="External" Id="rId325" /><Relationship Type="http://schemas.openxmlformats.org/officeDocument/2006/relationships/hyperlink" Target="https://techplay.jp/event/998750" TargetMode="External" Id="rId326" /><Relationship Type="http://schemas.openxmlformats.org/officeDocument/2006/relationships/hyperlink" Target="https://nrinetcom.connpass.com/event/401295/" TargetMode="External" Id="rId327" /><Relationship Type="http://schemas.openxmlformats.org/officeDocument/2006/relationships/hyperlink" Target="https://ai-agent-okinawa.connpass.com/event/402920/" TargetMode="External" Id="rId328" /><Relationship Type="http://schemas.openxmlformats.org/officeDocument/2006/relationships/hyperlink" Target="https://cssnite.doorkeeper.jp/events/198097" TargetMode="External" Id="rId329" /><Relationship Type="http://schemas.openxmlformats.org/officeDocument/2006/relationships/hyperlink" Target="https://digital-labors.connpass.com/event/401850/" TargetMode="External" Id="rId330" /><Relationship Type="http://schemas.openxmlformats.org/officeDocument/2006/relationships/hyperlink" Target="https://techplay.jp/event/998647" TargetMode="External" Id="rId331" /><Relationship Type="http://schemas.openxmlformats.org/officeDocument/2006/relationships/hyperlink" Target="https://streamline.connpass.com/event/403209/" TargetMode="External" Id="rId332" /><Relationship Type="http://schemas.openxmlformats.org/officeDocument/2006/relationships/hyperlink" Target="https://glass-sun.connpass.com/event/402400/" TargetMode="External" Id="rId333" /><Relationship Type="http://schemas.openxmlformats.org/officeDocument/2006/relationships/hyperlink" Target="https://techgym.doorkeeper.jp/events/198719" TargetMode="External" Id="rId334" /><Relationship Type="http://schemas.openxmlformats.org/officeDocument/2006/relationships/hyperlink" Target="https://streamline.connpass.com/event/403211/" TargetMode="External" Id="rId335" /><Relationship Type="http://schemas.openxmlformats.org/officeDocument/2006/relationships/hyperlink" Target="https://cdle-kumamoto.connpass.com/event/401212/" TargetMode="External" Id="rId336" /><Relationship Type="http://schemas.openxmlformats.org/officeDocument/2006/relationships/hyperlink" Target="https://monochr.doorkeeper.jp/events/198449" TargetMode="External" Id="rId337" /><Relationship Type="http://schemas.openxmlformats.org/officeDocument/2006/relationships/hyperlink" Target="https://generative-agents.connpass.com/event/403576/" TargetMode="External" Id="rId338" /><Relationship Type="http://schemas.openxmlformats.org/officeDocument/2006/relationships/hyperlink" Target="https://connpass.com/event/403524/" TargetMode="External" Id="rId339" /><Relationship Type="http://schemas.openxmlformats.org/officeDocument/2006/relationships/hyperlink" Target="https://jawsug-nagoya.connpass.com/event/400487/" TargetMode="External" Id="rId340" /><Relationship Type="http://schemas.openxmlformats.org/officeDocument/2006/relationships/hyperlink" Target="https://techplay.jp/event/998913" TargetMode="External" Id="rId341" /><Relationship Type="http://schemas.openxmlformats.org/officeDocument/2006/relationships/hyperlink" Target="https://techplay.jp/event/999263" TargetMode="External" Id="rId342" /><Relationship Type="http://schemas.openxmlformats.org/officeDocument/2006/relationships/hyperlink" Target="https://prtimes.jp/main/html/rd/p/000000144.000142396.html" TargetMode="External" Id="rId343" /><Relationship Type="http://schemas.openxmlformats.org/officeDocument/2006/relationships/hyperlink" Target="https://techplay.jp/event/998747" TargetMode="External" Id="rId344" /><Relationship Type="http://schemas.openxmlformats.org/officeDocument/2006/relationships/hyperlink" Target="https://polyscape.connpass.com/event/401440/" TargetMode="External" Id="rId345" /><Relationship Type="http://schemas.openxmlformats.org/officeDocument/2006/relationships/hyperlink" Target="https://techplay.jp/event/998057" TargetMode="External" Id="rId346" /><Relationship Type="http://schemas.openxmlformats.org/officeDocument/2006/relationships/hyperlink" Target="https://coderabbit.connpass.com/event/402788/" TargetMode="External" Id="rId347" /><Relationship Type="http://schemas.openxmlformats.org/officeDocument/2006/relationships/hyperlink" Target="https://scalar.connpass.com/event/400658/" TargetMode="External" Id="rId348" /><Relationship Type="http://schemas.openxmlformats.org/officeDocument/2006/relationships/hyperlink" Target="https://connpass.com/event/401479/" TargetMode="External" Id="rId349" /><Relationship Type="http://schemas.openxmlformats.org/officeDocument/2006/relationships/hyperlink" Target="https://www.kokuchpro.com/event/satobito_20260819/" TargetMode="External" Id="rId350" /><Relationship Type="http://schemas.openxmlformats.org/officeDocument/2006/relationships/hyperlink" Target="https://offers-jp.connpass.com/event/399850/" TargetMode="External" Id="rId351" /><Relationship Type="http://schemas.openxmlformats.org/officeDocument/2006/relationships/hyperlink" Target="https://prtimes.jp/main/html/rd/p/000000626.000036528.html" TargetMode="External" Id="rId352" /><Relationship Type="http://schemas.openxmlformats.org/officeDocument/2006/relationships/hyperlink" Target="https://www.kokuchpro.com/event/b48f849f84745dd2e3987322306c7668/" TargetMode="External" Id="rId353" /><Relationship Type="http://schemas.openxmlformats.org/officeDocument/2006/relationships/hyperlink" Target="https://dxdojo.connpass.com/event/402969/" TargetMode="External" Id="rId354" /><Relationship Type="http://schemas.openxmlformats.org/officeDocument/2006/relationships/hyperlink" Target="https://nandemo.connpass.com/event/402986/" TargetMode="External" Id="rId355" /><Relationship Type="http://schemas.openxmlformats.org/officeDocument/2006/relationships/hyperlink" Target="https://www.kokuchpro.com/event/e6fb54d0f6b3270bd58234bec2cd4700/" TargetMode="External" Id="rId356" /><Relationship Type="http://schemas.openxmlformats.org/officeDocument/2006/relationships/hyperlink" Target="https://www.sbbit.jp/eventinfo/89281" TargetMode="External" Id="rId357" /><Relationship Type="http://schemas.openxmlformats.org/officeDocument/2006/relationships/hyperlink" Target="https://solvio.connpass.com/event/403578/" TargetMode="External" Id="rId358" /><Relationship Type="http://schemas.openxmlformats.org/officeDocument/2006/relationships/hyperlink" Target="https://findy-aiplus.connpass.com/event/401663/" TargetMode="External" Id="rId359" /><Relationship Type="http://schemas.openxmlformats.org/officeDocument/2006/relationships/hyperlink" Target="https://techplay.jp/event/999115" TargetMode="External" Id="rId360" /><Relationship Type="http://schemas.openxmlformats.org/officeDocument/2006/relationships/hyperlink" Target="https://www.kokuchpro.com/event/3ada15b7819b6275b5c4c9deb1c3c9c8/" TargetMode="External" Id="rId361" /><Relationship Type="http://schemas.openxmlformats.org/officeDocument/2006/relationships/hyperlink" Target="https://techplay.jp/event/998123" TargetMode="External" Id="rId362" /><Relationship Type="http://schemas.openxmlformats.org/officeDocument/2006/relationships/hyperlink" Target="https://www.kokuchpro.com/event/seisei_ai_260820/" TargetMode="External" Id="rId363" /><Relationship Type="http://schemas.openxmlformats.org/officeDocument/2006/relationships/hyperlink" Target="https://www.kokuchpro.com/event/10348f3d83444093dcb91722adab3d2c/" TargetMode="External" Id="rId364" /><Relationship Type="http://schemas.openxmlformats.org/officeDocument/2006/relationships/hyperlink" Target="https://querypiejapan.connpass.com/event/403408/" TargetMode="External" Id="rId365" /><Relationship Type="http://schemas.openxmlformats.org/officeDocument/2006/relationships/hyperlink" Target="https://www.kokuchpro.com/event/edf6782234c42816d79ff0021fe5b0e4/3869841/" TargetMode="External" Id="rId366" /><Relationship Type="http://schemas.openxmlformats.org/officeDocument/2006/relationships/hyperlink" Target="https://www.kokuchpro.com/event/c95450f8ec53ec792062d7032bca72ab/" TargetMode="External" Id="rId367" /><Relationship Type="http://schemas.openxmlformats.org/officeDocument/2006/relationships/hyperlink" Target="https://bizexpo.jp/exhibitions/dx-ai-dxpo-202608" TargetMode="External" Id="rId368" /><Relationship Type="http://schemas.openxmlformats.org/officeDocument/2006/relationships/hyperlink" Target="https://prtimes.jp/main/html/rd/p/000000247.000017704.html" TargetMode="External" Id="rId369" /><Relationship Type="http://schemas.openxmlformats.org/officeDocument/2006/relationships/hyperlink" Target="https://genai-users.connpass.com/event/404236/" TargetMode="External" Id="rId370" /><Relationship Type="http://schemas.openxmlformats.org/officeDocument/2006/relationships/hyperlink" Target="https://peatix.com/event/5132470" TargetMode="External" Id="rId371" /><Relationship Type="http://schemas.openxmlformats.org/officeDocument/2006/relationships/hyperlink" Target="https://www.kokuchpro.com/event/bc802a842bd8d8b702bb5bdabf99e2df/" TargetMode="External" Id="rId372" /><Relationship Type="http://schemas.openxmlformats.org/officeDocument/2006/relationships/hyperlink" Target="https://connpass.com/event/400867/" TargetMode="External" Id="rId373" /><Relationship Type="http://schemas.openxmlformats.org/officeDocument/2006/relationships/hyperlink" Target="https://techplay.jp/event/999602" TargetMode="External" Id="rId374" /><Relationship Type="http://schemas.openxmlformats.org/officeDocument/2006/relationships/hyperlink" Target="https://www.kokuchpro.com/event/e662b5afb6fa28ab070681b45d8cca2f/" TargetMode="External" Id="rId375" /><Relationship Type="http://schemas.openxmlformats.org/officeDocument/2006/relationships/hyperlink" Target="https://techplay.jp/event/995384" TargetMode="External" Id="rId376" /><Relationship Type="http://schemas.openxmlformats.org/officeDocument/2006/relationships/hyperlink" Target="https://prtimes.jp/main/html/rd/p/000000278.000116644.html" TargetMode="External" Id="rId377" /><Relationship Type="http://schemas.openxmlformats.org/officeDocument/2006/relationships/hyperlink" Target="https://techplay.jp/event/998945" TargetMode="External" Id="rId378" /><Relationship Type="http://schemas.openxmlformats.org/officeDocument/2006/relationships/hyperlink" Target="https://peatix.com/event/5081712" TargetMode="External" Id="rId379" /><Relationship Type="http://schemas.openxmlformats.org/officeDocument/2006/relationships/hyperlink" Target="https://crane-game.connpass.com/event/403350/" TargetMode="External" Id="rId380" /><Relationship Type="http://schemas.openxmlformats.org/officeDocument/2006/relationships/hyperlink" Target="https://www.kokuchpro.com/event/09981ae4d04fdac727e80a4981f5f962/" TargetMode="External" Id="rId381" /><Relationship Type="http://schemas.openxmlformats.org/officeDocument/2006/relationships/hyperlink" Target="https://techgym.doorkeeper.jp/events/198718" TargetMode="External" Id="rId382" /><Relationship Type="http://schemas.openxmlformats.org/officeDocument/2006/relationships/hyperlink" Target="https://www.kokuchpro.com/event/ac9826aec0c6506f5668d63ac912b860/" TargetMode="External" Id="rId383" /><Relationship Type="http://schemas.openxmlformats.org/officeDocument/2006/relationships/hyperlink" Target="https://forkwell.connpass.com/event/402142/" TargetMode="External" Id="rId384" /><Relationship Type="http://schemas.openxmlformats.org/officeDocument/2006/relationships/hyperlink" Target="https://techplay.jp/event/998459" TargetMode="External" Id="rId385" /><Relationship Type="http://schemas.openxmlformats.org/officeDocument/2006/relationships/hyperlink" Target="https://majisemi-operation.doorkeeper.jp/events/198490" TargetMode="External" Id="rId386" /><Relationship Type="http://schemas.openxmlformats.org/officeDocument/2006/relationships/hyperlink" Target="https://scalar.connpass.com/event/404000/" TargetMode="External" Id="rId387" /><Relationship Type="http://schemas.openxmlformats.org/officeDocument/2006/relationships/hyperlink" Target="https://datascience-mokumoku-kyobashi.connpass.com/event/401167/" TargetMode="External" Id="rId388" /><Relationship Type="http://schemas.openxmlformats.org/officeDocument/2006/relationships/hyperlink" Target="https://achi-kochi.connpass.com/event/404384/" TargetMode="External" Id="rId389" /><Relationship Type="http://schemas.openxmlformats.org/officeDocument/2006/relationships/hyperlink" Target="https://majisemi-data.doorkeeper.jp/events/198576" TargetMode="External" Id="rId390" /><Relationship Type="http://schemas.openxmlformats.org/officeDocument/2006/relationships/hyperlink" Target="https://nrinetcom.connpass.com/event/403772/" TargetMode="External" Id="rId391" /><Relationship Type="http://schemas.openxmlformats.org/officeDocument/2006/relationships/hyperlink" Target="https://jawsug-ai.connpass.com/event/403490/" TargetMode="External" Id="rId392" /><Relationship Type="http://schemas.openxmlformats.org/officeDocument/2006/relationships/hyperlink" Target="https://techplay.jp/event/998059" TargetMode="External" Id="rId393" /><Relationship Type="http://schemas.openxmlformats.org/officeDocument/2006/relationships/hyperlink" Target="https://www.kokuchpro.com/event/ff2c85d09ea852f304937fe6a2026891/" TargetMode="External" Id="rId394" /><Relationship Type="http://schemas.openxmlformats.org/officeDocument/2006/relationships/hyperlink" Target="https://techplay.jp/event/998862" TargetMode="External" Id="rId395" /><Relationship Type="http://schemas.openxmlformats.org/officeDocument/2006/relationships/hyperlink" Target="https://www.kokuchpro.com/event/cddd071de4b6cd6cb6855d312c0263dd/" TargetMode="External" Id="rId396" /><Relationship Type="http://schemas.openxmlformats.org/officeDocument/2006/relationships/hyperlink" Target="https://alleeks.connpass.com/event/402948/" TargetMode="External" Id="rId397" /><Relationship Type="http://schemas.openxmlformats.org/officeDocument/2006/relationships/hyperlink" Target="https://majisemi-technology.doorkeeper.jp/events/198386" TargetMode="External" Id="rId398" /><Relationship Type="http://schemas.openxmlformats.org/officeDocument/2006/relationships/hyperlink" Target="https://prtimes.jp/main/html/rd/p/000000507.000042056.html" TargetMode="External" Id="rId399" /><Relationship Type="http://schemas.openxmlformats.org/officeDocument/2006/relationships/hyperlink" Target="https://techplay.jp/event/998782" TargetMode="External" Id="rId400" /><Relationship Type="http://schemas.openxmlformats.org/officeDocument/2006/relationships/hyperlink" Target="https://majisemi-idaas.doorkeeper.jp/events/198491" TargetMode="External" Id="rId401" /><Relationship Type="http://schemas.openxmlformats.org/officeDocument/2006/relationships/hyperlink" Target="https://www.kokuchpro.com/event/3d9602343ea13a1d1b58323e5149ccb6/" TargetMode="External" Id="rId402" /><Relationship Type="http://schemas.openxmlformats.org/officeDocument/2006/relationships/hyperlink" Target="https://unionai-claude-code.peatix.com/" TargetMode="External" Id="rId403" /><Relationship Type="http://schemas.openxmlformats.org/officeDocument/2006/relationships/hyperlink" Target="https://www.kokuchpro.com/event/6c513e6d4f8e3d1f65f8595f1f56ea1c/" TargetMode="External" Id="rId404" /><Relationship Type="http://schemas.openxmlformats.org/officeDocument/2006/relationships/hyperlink" Target="https://prtimes.jp/main/html/rd/p/000005511.000054842.html" TargetMode="External" Id="rId405" /><Relationship Type="http://schemas.openxmlformats.org/officeDocument/2006/relationships/hyperlink" Target="https://majisemi-technology.doorkeeper.jp/events/198488" TargetMode="External" Id="rId406" /><Relationship Type="http://schemas.openxmlformats.org/officeDocument/2006/relationships/hyperlink" Target="https://skillupai.doorkeeper.jp/events/198586" TargetMode="External" Id="rId407" /><Relationship Type="http://schemas.openxmlformats.org/officeDocument/2006/relationships/hyperlink" Target="https://solvio.connpass.com/event/403766/" TargetMode="External" Id="rId408" /><Relationship Type="http://schemas.openxmlformats.org/officeDocument/2006/relationships/hyperlink" Target="https://generative-agents.connpass.com/event/403963/" TargetMode="External" Id="rId409" /><Relationship Type="http://schemas.openxmlformats.org/officeDocument/2006/relationships/hyperlink" Target="https://aismiley.co.jp/ai_news/aihaku-sum2026-report02/" TargetMode="External" Id="rId410" /><Relationship Type="http://schemas.openxmlformats.org/officeDocument/2006/relationships/hyperlink" Target="https://techplay.jp/event/998794" TargetMode="External" Id="rId411" /><Relationship Type="http://schemas.openxmlformats.org/officeDocument/2006/relationships/hyperlink" Target="https://www.chuo-computer.co.jp/news/20260821/" TargetMode="External" Id="rId412" /><Relationship Type="http://schemas.openxmlformats.org/officeDocument/2006/relationships/hyperlink" Target="https://techplay.jp/event/999067" TargetMode="External" Id="rId413" /><Relationship Type="http://schemas.openxmlformats.org/officeDocument/2006/relationships/hyperlink" Target="https://web-mining.doorkeeper.jp/events/198676" TargetMode="External" Id="rId414" /><Relationship Type="http://schemas.openxmlformats.org/officeDocument/2006/relationships/hyperlink" Target="https://techplay.jp/event/998596" TargetMode="External" Id="rId415" /><Relationship Type="http://schemas.openxmlformats.org/officeDocument/2006/relationships/hyperlink" Target="https://www.kokuchpro.com/event/414c894be3d62002b5839830bded9990/" TargetMode="External" Id="rId416" /><Relationship Type="http://schemas.openxmlformats.org/officeDocument/2006/relationships/hyperlink" Target="https://techplay.jp/event/999031" TargetMode="External" Id="rId417" /><Relationship Type="http://schemas.openxmlformats.org/officeDocument/2006/relationships/hyperlink" Target="https://offers-jp.connpass.com/event/401450/" TargetMode="External" Id="rId418" /><Relationship Type="http://schemas.openxmlformats.org/officeDocument/2006/relationships/hyperlink" Target="https://prtimes.jp/main/html/rd/p/000000206.000035215.html" TargetMode="External" Id="rId419" /><Relationship Type="http://schemas.openxmlformats.org/officeDocument/2006/relationships/hyperlink" Target="https://dxer.connpass.com/event/402509/" TargetMode="External" Id="rId420" /><Relationship Type="http://schemas.openxmlformats.org/officeDocument/2006/relationships/hyperlink" Target="https://prtimes.jp/main/html/rd/p/000000018.000175889.html" TargetMode="External" Id="rId421" /><Relationship Type="http://schemas.openxmlformats.org/officeDocument/2006/relationships/hyperlink" Target="https://www.kokuchpro.com/event/6dc0b2cd4e8e341a978ac2a0490762a1/" TargetMode="External" Id="rId422" /><Relationship Type="http://schemas.openxmlformats.org/officeDocument/2006/relationships/hyperlink" Target="https://techplay.jp/event/999385" TargetMode="External" Id="rId423" /><Relationship Type="http://schemas.openxmlformats.org/officeDocument/2006/relationships/hyperlink" Target="https://mitsurumemo.connpass.com/event/404695/" TargetMode="External" Id="rId424" /><Relationship Type="http://schemas.openxmlformats.org/officeDocument/2006/relationships/hyperlink" Target="https://jdmc.connpass.com/event/400197/" TargetMode="External" Id="rId425" /><Relationship Type="http://schemas.openxmlformats.org/officeDocument/2006/relationships/hyperlink" Target="https://majisemi-technology.doorkeeper.jp/events/198546" TargetMode="External" Id="rId426" /><Relationship Type="http://schemas.openxmlformats.org/officeDocument/2006/relationships/hyperlink" Target="https://polyscape.connpass.com/event/402426/" TargetMode="External" Id="rId427" /><Relationship Type="http://schemas.openxmlformats.org/officeDocument/2006/relationships/hyperlink" Target="https://connpass.com/event/402927/" TargetMode="External" Id="rId428" /><Relationship Type="http://schemas.openxmlformats.org/officeDocument/2006/relationships/hyperlink" Target="https://www.kokuchpro.com/event/1fee470b2c03f29d184815e54f8a5ba5/" TargetMode="External" Id="rId429" /><Relationship Type="http://schemas.openxmlformats.org/officeDocument/2006/relationships/hyperlink" Target="https://prtimes.jp/main/html/rd/p/000002118.000000183.html" TargetMode="External" Id="rId430" /><Relationship Type="http://schemas.openxmlformats.org/officeDocument/2006/relationships/hyperlink" Target="https://protoout.connpass.com/event/401712/" TargetMode="External" Id="rId431" /><Relationship Type="http://schemas.openxmlformats.org/officeDocument/2006/relationships/hyperlink" Target="https://kinto-technologies.connpass.com/event/400133/" TargetMode="External" Id="rId432" /><Relationship Type="http://schemas.openxmlformats.org/officeDocument/2006/relationships/hyperlink" Target="https://majisemi-technology.doorkeeper.jp/events/198520" TargetMode="External" Id="rId433" /><Relationship Type="http://schemas.openxmlformats.org/officeDocument/2006/relationships/hyperlink" Target="https://www.itic.pref.ibaraki.jp/infolist/seminar_training/info-20260731/" TargetMode="External" Id="rId434" /><Relationship Type="http://schemas.openxmlformats.org/officeDocument/2006/relationships/hyperlink" Target="https://techplay.jp/event/999463" TargetMode="External" Id="rId435" /><Relationship Type="http://schemas.openxmlformats.org/officeDocument/2006/relationships/hyperlink" Target="https://pages2.dentsudigital.co.jp/seminar/20260827/" TargetMode="External" Id="rId436" /><Relationship Type="http://schemas.openxmlformats.org/officeDocument/2006/relationships/hyperlink" Target="https://sre-holdings.connpass.com/event/401894/" TargetMode="External" Id="rId437" /><Relationship Type="http://schemas.openxmlformats.org/officeDocument/2006/relationships/hyperlink" Target="https://www.kokuchpro.com/event/aiagent0828/" TargetMode="External" Id="rId438" /><Relationship Type="http://schemas.openxmlformats.org/officeDocument/2006/relationships/hyperlink" Target="https://aihacklabo.connpass.com/event/402216/" TargetMode="External" Id="rId439" /><Relationship Type="http://schemas.openxmlformats.org/officeDocument/2006/relationships/hyperlink" Target="https://aid.connpass.com/event/402949/" TargetMode="External" Id="rId440" /><Relationship Type="http://schemas.openxmlformats.org/officeDocument/2006/relationships/hyperlink" Target="https://techplay.jp/event/999550" TargetMode="External" Id="rId441" /><Relationship Type="http://schemas.openxmlformats.org/officeDocument/2006/relationships/hyperlink" Target="https://www.freee.co.jp/lp2/freee-advisor-day/" TargetMode="External" Id="rId442" /><Relationship Type="http://schemas.openxmlformats.org/officeDocument/2006/relationships/hyperlink" Target="https://corp.freee.co.jp/news/20260807freee_AIagent&amp;fAH.html" TargetMode="External" Id="rId443" /><Relationship Type="http://schemas.openxmlformats.org/officeDocument/2006/relationships/hyperlink" Target="https://gameschool.doorkeeper.jp/events/198459" TargetMode="External" Id="rId444" /><Relationship Type="http://schemas.openxmlformats.org/officeDocument/2006/relationships/hyperlink" Target="https://majisemi-dev.doorkeeper.jp/events/198507" TargetMode="External" Id="rId445" /><Relationship Type="http://schemas.openxmlformats.org/officeDocument/2006/relationships/hyperlink" Target="https://aismiley.co.jp/ai_news/20260828webinar/" TargetMode="External" Id="rId446" /><Relationship Type="http://schemas.openxmlformats.org/officeDocument/2006/relationships/hyperlink" Target="https://apol2020.connpass.com/event/403011/" TargetMode="External" Id="rId447" /><Relationship Type="http://schemas.openxmlformats.org/officeDocument/2006/relationships/hyperlink" Target="https://gdsc-tmu.connpass.com/event/401139/" TargetMode="External" Id="rId448" /><Relationship Type="http://schemas.openxmlformats.org/officeDocument/2006/relationships/hyperlink" Target="https://techplay.jp/event/999447" TargetMode="External" Id="rId449" /><Relationship Type="http://schemas.openxmlformats.org/officeDocument/2006/relationships/hyperlink" Target="https://prtimes.jp/main/html/rd/p/000000304.000021559.html" TargetMode="External" Id="rId450" /><Relationship Type="http://schemas.openxmlformats.org/officeDocument/2006/relationships/hyperlink" Target="https://devops-study.connpass.com/event/402331/" TargetMode="External" Id="rId451" /><Relationship Type="http://schemas.openxmlformats.org/officeDocument/2006/relationships/hyperlink" Target="https://web-mining.doorkeeper.jp/events/198274" TargetMode="External" Id="rId452" /><Relationship Type="http://schemas.openxmlformats.org/officeDocument/2006/relationships/hyperlink" Target="https://www.kokuchpro.com/event/d42f60aa80c72bd890e666f79fb4326a/" TargetMode="External" Id="rId453" /><Relationship Type="http://schemas.openxmlformats.org/officeDocument/2006/relationships/hyperlink" Target="https://techplay.jp/event/999274" TargetMode="External" Id="rId454" /><Relationship Type="http://schemas.openxmlformats.org/officeDocument/2006/relationships/hyperlink" Target="https://techplay.jp/event/999269" TargetMode="External" Id="rId455" /><Relationship Type="http://schemas.openxmlformats.org/officeDocument/2006/relationships/hyperlink" Target="https://www.kokuchpro.com/event/dc9a0669c2b210188a9e5886b9e43266/" TargetMode="External" Id="rId456" /><Relationship Type="http://schemas.openxmlformats.org/officeDocument/2006/relationships/hyperlink" Target="https://bpstudy.connpass.com/event/401476/" TargetMode="External" Id="rId457" /><Relationship Type="http://schemas.openxmlformats.org/officeDocument/2006/relationships/hyperlink" Target="https://www.techvan.co.jp/news/2026/08/0831_14webcopilotstudio.html" TargetMode="External" Id="rId458" /><Relationship Type="http://schemas.openxmlformats.org/officeDocument/2006/relationships/hyperlink" Target="https://layerx.connpass.com/event/399945/" TargetMode="External" Id="rId459" /><Relationship Type="http://schemas.openxmlformats.org/officeDocument/2006/relationships/hyperlink" Target="https://techplay.jp/event/998060" TargetMode="External" Id="rId460" /><Relationship Type="http://schemas.openxmlformats.org/officeDocument/2006/relationships/hyperlink" Target="https://droidkaigi.doorkeeper.jp/events/198628" TargetMode="External" Id="rId461" /><Relationship Type="http://schemas.openxmlformats.org/officeDocument/2006/relationships/hyperlink" Target="https://prtimes.jp/main/html/rd/p/000000366.000046062.html" TargetMode="External" Id="rId462" /><Relationship Type="http://schemas.openxmlformats.org/officeDocument/2006/relationships/hyperlink" Target="https://majisemi-technology.doorkeeper.jp/events/198618" TargetMode="External" Id="rId463" /><Relationship Type="http://schemas.openxmlformats.org/officeDocument/2006/relationships/hyperlink" Target="https://cireds.doorkeeper.jp/events/198133" TargetMode="External" Id="rId464" /><Relationship Type="http://schemas.openxmlformats.org/officeDocument/2006/relationships/hyperlink" Target="https://shaketech.connpass.com/event/401907/" TargetMode="External" Id="rId465" /><Relationship Type="http://schemas.openxmlformats.org/officeDocument/2006/relationships/hyperlink" Target="https://generative-agents.connpass.com/event/404983/" TargetMode="External" Id="rId466" /><Relationship Type="http://schemas.openxmlformats.org/officeDocument/2006/relationships/hyperlink" Target="https://japan.zdnet.com/event_info/30015062/" TargetMode="External" Id="rId467" /><Relationship Type="http://schemas.openxmlformats.org/officeDocument/2006/relationships/hyperlink" Target="https://www.100inc.co.jp/news/20260805-event-hubspot-ai-agent-workshop" TargetMode="External" Id="rId468" /><Relationship Type="http://schemas.openxmlformats.org/officeDocument/2006/relationships/hyperlink" Target="https://japan.zdnet.com/event_info/30015071/" TargetMode="External" Id="rId469" /><Relationship Type="http://schemas.openxmlformats.org/officeDocument/2006/relationships/hyperlink" Target="https://dxdojo.connpass.com/event/405048/" TargetMode="External" Id="rId470" /><Relationship Type="http://schemas.openxmlformats.org/officeDocument/2006/relationships/hyperlink" Target="https://techplay.jp/event/999201" TargetMode="External" Id="rId471" /><Relationship Type="http://schemas.openxmlformats.org/officeDocument/2006/relationships/hyperlink" Target="https://ai-devtools.connpass.com/event/403169/" TargetMode="External" Id="rId472" /><Relationship Type="http://schemas.openxmlformats.org/officeDocument/2006/relationships/hyperlink" Target="https://www.salesforce.com/jp/blog/jp-salesforce-free-webinar-2026/" TargetMode="External" Id="rId473" /><Relationship Type="http://schemas.openxmlformats.org/officeDocument/2006/relationships/hyperlink" Target="https://majisemi-idaas.doorkeeper.jp/events/198662" TargetMode="External" Id="rId474" /><Relationship Type="http://schemas.openxmlformats.org/officeDocument/2006/relationships/hyperlink" Target="https://peatix.com/event/5140674" TargetMode="External" Id="rId475" /><Relationship Type="http://schemas.openxmlformats.org/officeDocument/2006/relationships/hyperlink" Target="https://intersystems-dc.connpass.com/event/401244/" TargetMode="External" Id="rId476" /><Relationship Type="http://schemas.openxmlformats.org/officeDocument/2006/relationships/hyperlink" Target="https://f2ff.jp/event/dx-ai" TargetMode="External" Id="rId477" /><Relationship Type="http://schemas.openxmlformats.org/officeDocument/2006/relationships/hyperlink" Target="https://www.jsug.org/post/schedule-joule-webiner-20260903" TargetMode="External" Id="rId478" /><Relationship Type="http://schemas.openxmlformats.org/officeDocument/2006/relationships/hyperlink" Target="https://techplay.jp/event/998703" TargetMode="External" Id="rId479" /><Relationship Type="http://schemas.openxmlformats.org/officeDocument/2006/relationships/hyperlink" Target="https://www.kokuchpro.com/event/dc34365b1870492c4a5d4054f6496e55/" TargetMode="External" Id="rId480" /><Relationship Type="http://schemas.openxmlformats.org/officeDocument/2006/relationships/hyperlink" Target="https://web-mining.doorkeeper.jp/events/198675" TargetMode="External" Id="rId481" /><Relationship Type="http://schemas.openxmlformats.org/officeDocument/2006/relationships/hyperlink" Target="https://www.kokuchpro.com/event/45c7d1d1698cefbad8a7bc7e28403d6e/" TargetMode="External" Id="rId482" /><Relationship Type="http://schemas.openxmlformats.org/officeDocument/2006/relationships/hyperlink" Target="https://www.kokuchpro.com/event/99a9d54cc1a761600a04e2305b62d415/" TargetMode="External" Id="rId483" /><Relationship Type="http://schemas.openxmlformats.org/officeDocument/2006/relationships/hyperlink" Target="https://trident-qa.connpass.com/event/401372/" TargetMode="External" Id="rId484" /><Relationship Type="http://schemas.openxmlformats.org/officeDocument/2006/relationships/hyperlink" Target="https://connpass.com/event/403748/" TargetMode="External" Id="rId485" /><Relationship Type="http://schemas.openxmlformats.org/officeDocument/2006/relationships/hyperlink" Target="https://www.kokuchpro.com/event/1cfe4d95879a6a2d899a7b1e6b580416/" TargetMode="External" Id="rId486" /><Relationship Type="http://schemas.openxmlformats.org/officeDocument/2006/relationships/hyperlink" Target="https://www.sbbit.jp/eventinfo/88486" TargetMode="External" Id="rId487" /><Relationship Type="http://schemas.openxmlformats.org/officeDocument/2006/relationships/hyperlink" Target="https://prtimes.jp/main/html/rd/p/000000032.000042640.html" TargetMode="External" Id="rId488" /><Relationship Type="http://schemas.openxmlformats.org/officeDocument/2006/relationships/hyperlink" Target="https://findy.connpass.com/event/403790/" TargetMode="External" Id="rId489" /><Relationship Type="http://schemas.openxmlformats.org/officeDocument/2006/relationships/hyperlink" Target="https://classmethod.connpass.com/event/398578/" TargetMode="External" Id="rId490" /><Relationship Type="http://schemas.openxmlformats.org/officeDocument/2006/relationships/hyperlink" Target="https://www.kokuchpro.com/event/af423536702ee0ee7ec852182609793b/" TargetMode="External" Id="rId491" /><Relationship Type="http://schemas.openxmlformats.org/officeDocument/2006/relationships/hyperlink" Target="https://tunagu-engineer.connpass.com/event/404012/" TargetMode="External" Id="rId492" /><Relationship Type="http://schemas.openxmlformats.org/officeDocument/2006/relationships/hyperlink" Target="https://singularitysociety.connpass.com/event/403809/" TargetMode="External" Id="rId493" /><Relationship Type="http://schemas.openxmlformats.org/officeDocument/2006/relationships/hyperlink" Target="https://fristi.connpass.com/event/400829/" TargetMode="External" Id="rId494" /><Relationship Type="http://schemas.openxmlformats.org/officeDocument/2006/relationships/hyperlink" Target="https://techplay.jp/event/1000295" TargetMode="External" Id="rId495" /><Relationship Type="http://schemas.openxmlformats.org/officeDocument/2006/relationships/hyperlink" Target="https://future-tech-association.connpass.com/event/402557/" TargetMode="External" Id="rId496" /><Relationship Type="http://schemas.openxmlformats.org/officeDocument/2006/relationships/hyperlink" Target="https://techplay.jp/event/998939" TargetMode="External" Id="rId497" /><Relationship Type="http://schemas.openxmlformats.org/officeDocument/2006/relationships/hyperlink" Target="https://techplay.jp/event/999704" TargetMode="External" Id="rId498" /><Relationship Type="http://schemas.openxmlformats.org/officeDocument/2006/relationships/hyperlink" Target="https://prtimes.jp/main/html/rd/p/000000420.000031052.html" TargetMode="External" Id="rId499" /><Relationship Type="http://schemas.openxmlformats.org/officeDocument/2006/relationships/hyperlink" Target="https://prtimes.jp/main/html/rd/p/000000033.000057281.html" TargetMode="External" Id="rId500" /><Relationship Type="http://schemas.openxmlformats.org/officeDocument/2006/relationships/hyperlink" Target="https://ai-market-seminar.connpass.com/event/404316/" TargetMode="External" Id="rId501" /><Relationship Type="http://schemas.openxmlformats.org/officeDocument/2006/relationships/hyperlink" Target="https://prtimes.jp/main/html/rd/p/000000219.000055962.html" TargetMode="External" Id="rId502" /><Relationship Type="http://schemas.openxmlformats.org/officeDocument/2006/relationships/hyperlink" Target="https://west-sec.connpass.com/event/401307/" TargetMode="External" Id="rId503" /><Relationship Type="http://schemas.openxmlformats.org/officeDocument/2006/relationships/hyperlink" Target="https://connpass.com/event/404503/" TargetMode="External" Id="rId504" /><Relationship Type="http://schemas.openxmlformats.org/officeDocument/2006/relationships/hyperlink" Target="https://acrovision.connpass.com/event/404860/" TargetMode="External" Id="rId505" /><Relationship Type="http://schemas.openxmlformats.org/officeDocument/2006/relationships/hyperlink" Target="https://event.shoeisha.jp/mzday" TargetMode="External" Id="rId506" /><Relationship Type="http://schemas.openxmlformats.org/officeDocument/2006/relationships/hyperlink" Target="https://corp.intimatemerger.com/news/20260813_markezinday/" TargetMode="External" Id="rId507" /><Relationship Type="http://schemas.openxmlformats.org/officeDocument/2006/relationships/hyperlink" Target="https://domobuddies.doorkeeper.jp/events/198621" TargetMode="External" Id="rId508" /><Relationship Type="http://schemas.openxmlformats.org/officeDocument/2006/relationships/hyperlink" Target="https://techplay.jp/event/999546" TargetMode="External" Id="rId509" /><Relationship Type="http://schemas.openxmlformats.org/officeDocument/2006/relationships/hyperlink" Target="https://peatix.com/event/5155733" TargetMode="External" Id="rId510" /><Relationship Type="http://schemas.openxmlformats.org/officeDocument/2006/relationships/hyperlink" Target="https://techplay.jp/event/1000114" TargetMode="External" Id="rId511" /><Relationship Type="http://schemas.openxmlformats.org/officeDocument/2006/relationships/hyperlink" Target="https://aitconsortium.doorkeeper.jp/events/199052" TargetMode="External" Id="rId512" /><Relationship Type="http://schemas.openxmlformats.org/officeDocument/2006/relationships/hyperlink" Target="https://techplay.jp/event/998311" TargetMode="External" Id="rId513" /><Relationship Type="http://schemas.openxmlformats.org/officeDocument/2006/relationships/hyperlink" Target="https://prtimes.jp/main/html/rd/p/000000458.000024873.html" TargetMode="External" Id="rId514" /><Relationship Type="http://schemas.openxmlformats.org/officeDocument/2006/relationships/hyperlink" Target="https://classmethod.connpass.com/event/397518/" TargetMode="External" Id="rId515" /><Relationship Type="http://schemas.openxmlformats.org/officeDocument/2006/relationships/hyperlink" Target="https://peatix.com/event/5084348" TargetMode="External" Id="rId516" /><Relationship Type="http://schemas.openxmlformats.org/officeDocument/2006/relationships/hyperlink" Target="https://www.logis-tech-tokyo.gr.jp/ltt/report/quick.html" TargetMode="External" Id="rId517" /><Relationship Type="http://schemas.openxmlformats.org/officeDocument/2006/relationships/hyperlink" Target="https://www.logis-tech-tokyo.gr.jp/ltt/seminar/" TargetMode="External" Id="rId518" /><Relationship Type="http://schemas.openxmlformats.org/officeDocument/2006/relationships/hyperlink" Target="https://prtimes.jp/main/html/rd/p/000000045.000055757.html" TargetMode="External" Id="rId519" /><Relationship Type="http://schemas.openxmlformats.org/officeDocument/2006/relationships/hyperlink" Target="https://skillupai.doorkeeper.jp/events/199109" TargetMode="External" Id="rId520" /><Relationship Type="http://schemas.openxmlformats.org/officeDocument/2006/relationships/hyperlink" Target="https://studyco.connpass.com/event/404991/" TargetMode="External" Id="rId521" /><Relationship Type="http://schemas.openxmlformats.org/officeDocument/2006/relationships/hyperlink" Target="https://osaka-driven-dev.connpass.com/event/403631/" TargetMode="External" Id="rId522" /><Relationship Type="http://schemas.openxmlformats.org/officeDocument/2006/relationships/hyperlink" Target="https://aibuilders.connpass.com/event/401510/" TargetMode="External" Id="rId523" /><Relationship Type="http://schemas.openxmlformats.org/officeDocument/2006/relationships/hyperlink" Target="https://www.kokuchpro.com/event/4b8542ebf70691406de14af20cf22067/" TargetMode="External" Id="rId524" /><Relationship Type="http://schemas.openxmlformats.org/officeDocument/2006/relationships/hyperlink" Target="https://jmbc.connpass.com/event/402603/" TargetMode="External" Id="rId525" /><Relationship Type="http://schemas.openxmlformats.org/officeDocument/2006/relationships/hyperlink" Target="https://cyberagent.connpass.com/event/400123/" TargetMode="External" Id="rId526" /><Relationship Type="http://schemas.openxmlformats.org/officeDocument/2006/relationships/hyperlink" Target="https://techplay.jp/event/1000387" TargetMode="External" Id="rId527" /><Relationship Type="http://schemas.openxmlformats.org/officeDocument/2006/relationships/hyperlink" Target="https://dxdojo.connpass.com/event/406058/" TargetMode="External" Id="rId528" /><Relationship Type="http://schemas.openxmlformats.org/officeDocument/2006/relationships/hyperlink" Target="https://techplay.jp/event/999638" TargetMode="External" Id="rId529" /><Relationship Type="http://schemas.openxmlformats.org/officeDocument/2006/relationships/hyperlink" Target="https://avanadejapantech.connpass.com/event/403423/" TargetMode="External" Id="rId530" /><Relationship Type="http://schemas.openxmlformats.org/officeDocument/2006/relationships/hyperlink" Target="https://www.fiweek.jp/autumn/ja-jp/about/previous/visitorcount.html" TargetMode="External" Id="rId531" /><Relationship Type="http://schemas.openxmlformats.org/officeDocument/2006/relationships/hyperlink" Target="https://techplay.jp/event/1000046" TargetMode="External" Id="rId532" /><Relationship Type="http://schemas.openxmlformats.org/officeDocument/2006/relationships/hyperlink" Target="https://www.kokuchpro.com/event/e25134762a709789a33e8254f2dc9043/" TargetMode="External" Id="rId533" /><Relationship Type="http://schemas.openxmlformats.org/officeDocument/2006/relationships/hyperlink" Target="https://techplay.jp/event/999808" TargetMode="External" Id="rId534" /><Relationship Type="http://schemas.openxmlformats.org/officeDocument/2006/relationships/hyperlink" Target="https://techplay.jp/event/1000099" TargetMode="External" Id="rId535" /><Relationship Type="http://schemas.openxmlformats.org/officeDocument/2006/relationships/hyperlink" Target="https://tochigi-guild.doorkeeper.jp/events/197663" TargetMode="External" Id="rId536" /><Relationship Type="http://schemas.openxmlformats.org/officeDocument/2006/relationships/hyperlink" Target="https://www.publickey1.jp/blog/26/anthropicmcpmcpagntconmcpcon_japan_2026.html" TargetMode="External" Id="rId537" /><Relationship Type="http://schemas.openxmlformats.org/officeDocument/2006/relationships/hyperlink" Target="https://gihyo.jp/article/2026/09/aaif-mcp-a2a-briefing" TargetMode="External" Id="rId538" /><Relationship Type="http://schemas.openxmlformats.org/officeDocument/2006/relationships/hyperlink" Target="https://media-innovation.jp/article/2026/07/06/143478.html" TargetMode="External" Id="rId539" /><Relationship Type="http://schemas.openxmlformats.org/officeDocument/2006/relationships/hyperlink" Target="https://salesnow.jp/seminars/58/" TargetMode="External" Id="rId540" /><Relationship Type="http://schemas.openxmlformats.org/officeDocument/2006/relationships/hyperlink" Target="https://techplay.jp/event/999720" TargetMode="External" Id="rId541" /><Relationship Type="http://schemas.openxmlformats.org/officeDocument/2006/relationships/hyperlink" Target="https://prtimes.jp/main/html/rd/p/000000028.000166429.html" TargetMode="External" Id="rId542" /><Relationship Type="http://schemas.openxmlformats.org/officeDocument/2006/relationships/hyperlink" Target="https://techplay.jp/event/998462" TargetMode="External" Id="rId543" /><Relationship Type="http://schemas.openxmlformats.org/officeDocument/2006/relationships/hyperlink" Target="https://asiaquest.connpass.com/event/404823/" TargetMode="External" Id="rId544" /><Relationship Type="http://schemas.openxmlformats.org/officeDocument/2006/relationships/hyperlink" Target="https://retech.doorkeeper.jp/events/198730" TargetMode="External" Id="rId545" /><Relationship Type="http://schemas.openxmlformats.org/officeDocument/2006/relationships/hyperlink" Target="https://majisemi-technology.doorkeeper.jp/events/198905" TargetMode="External" Id="rId546" /><Relationship Type="http://schemas.openxmlformats.org/officeDocument/2006/relationships/hyperlink" Target="https://adp-102.peatix.com/" TargetMode="External" Id="rId547" /><Relationship Type="http://schemas.openxmlformats.org/officeDocument/2006/relationships/hyperlink" Target="https://ai2-jp.com/news/2026/07/17/20055/" TargetMode="External" Id="rId548" /><Relationship Type="http://schemas.openxmlformats.org/officeDocument/2006/relationships/hyperlink" Target="https://prtimes.jp/main/html/rd/p/000002092.000022608.html" TargetMode="External" Id="rId549" /><Relationship Type="http://schemas.openxmlformats.org/officeDocument/2006/relationships/hyperlink" Target="https://www.kokuchpro.com/event/5935c0785024bc4e4eadd7a78c581ede/" TargetMode="External" Id="rId550" /><Relationship Type="http://schemas.openxmlformats.org/officeDocument/2006/relationships/hyperlink" Target="https://www.sbbit.jp/eventinfo/89409" TargetMode="External" Id="rId551" /><Relationship Type="http://schemas.openxmlformats.org/officeDocument/2006/relationships/hyperlink" Target="https://techplay.jp/event/1000056" TargetMode="External" Id="rId552" /><Relationship Type="http://schemas.openxmlformats.org/officeDocument/2006/relationships/hyperlink" Target="https://prtimes.jp/main/html/rd/p/000000071.000030394.html" TargetMode="External" Id="rId553" /><Relationship Type="http://schemas.openxmlformats.org/officeDocument/2006/relationships/hyperlink" Target="https://www.kokuchpro.com/event/abbb3d41ba72194e3075547d143c3acc/" TargetMode="External" Id="rId554" /><Relationship Type="http://schemas.openxmlformats.org/officeDocument/2006/relationships/hyperlink" Target="https://studyplus.connpass.com/event/402991/" TargetMode="External" Id="rId555" /><Relationship Type="http://schemas.openxmlformats.org/officeDocument/2006/relationships/hyperlink" Target="https://classmethod.connpass.com/event/398579/" TargetMode="External" Id="rId556" /><Relationship Type="http://schemas.openxmlformats.org/officeDocument/2006/relationships/hyperlink" Target="https://aillis.connpass.com/event/403439/" TargetMode="External" Id="rId557" /><Relationship Type="http://schemas.openxmlformats.org/officeDocument/2006/relationships/hyperlink" Target="https://www.kokuchpro.com/event/7bec60ea2732bc904b172ce8fec8cb89/" TargetMode="External" Id="rId558" /><Relationship Type="http://schemas.openxmlformats.org/officeDocument/2006/relationships/hyperlink" Target="https://connpass.com/event/404736/" TargetMode="External" Id="rId559" /><Relationship Type="http://schemas.openxmlformats.org/officeDocument/2006/relationships/hyperlink" Target="https://prtimes.jp/main/html/rd/p/000005612.000054842.html" TargetMode="External" Id="rId560" /><Relationship Type="http://schemas.openxmlformats.org/officeDocument/2006/relationships/hyperlink" Target="https://techplay.jp/event/1000057" TargetMode="External" Id="rId561" /><Relationship Type="http://schemas.openxmlformats.org/officeDocument/2006/relationships/hyperlink" Target="https://prtimes.jp/main/html/rd/p/000005025.000003670.html" TargetMode="External" Id="rId562" /><Relationship Type="http://schemas.openxmlformats.org/officeDocument/2006/relationships/hyperlink" Target="https://0to1.connpass.com/event/403093/" TargetMode="External" Id="rId563" /><Relationship Type="http://schemas.openxmlformats.org/officeDocument/2006/relationships/hyperlink" Target="https://jawsug.connpass.com/event/404331/" TargetMode="External" Id="rId564" /><Relationship Type="http://schemas.openxmlformats.org/officeDocument/2006/relationships/hyperlink" Target="https://www.kokuchpro.com/event/885131b06ee794f997be83d4fb78edb0/" TargetMode="External" Id="rId565" /><Relationship Type="http://schemas.openxmlformats.org/officeDocument/2006/relationships/hyperlink" Target="https://white-hackers-lab.connpass.com/event/405772/" TargetMode="External" Id="rId566" /><Relationship Type="http://schemas.openxmlformats.org/officeDocument/2006/relationships/hyperlink" Target="https://studist.connpass.com/event/401612/" TargetMode="External" Id="rId567" /><Relationship Type="http://schemas.openxmlformats.org/officeDocument/2006/relationships/hyperlink" Target="https://west-sec.connpass.com/event/404497/" TargetMode="External" Id="rId568" /><Relationship Type="http://schemas.openxmlformats.org/officeDocument/2006/relationships/hyperlink" Target="https://www.salesforce.com/jp/events/webinars/no-regret-crm/" TargetMode="External" Id="rId569" /><Relationship Type="http://schemas.openxmlformats.org/officeDocument/2006/relationships/hyperlink" Target="https://www.kokuchpro.com/event/e810888cf8ab2cb40a1aae463ca73115/" TargetMode="External" Id="rId570" /><Relationship Type="http://schemas.openxmlformats.org/officeDocument/2006/relationships/hyperlink" Target="https://web-mining.doorkeeper.jp/events/197760" TargetMode="External" Id="rId571" /><Relationship Type="http://schemas.openxmlformats.org/officeDocument/2006/relationships/hyperlink" Target="https://findy-tools.connpass.com/event/405926/" TargetMode="External" Id="rId572" /><Relationship Type="http://schemas.openxmlformats.org/officeDocument/2006/relationships/hyperlink" Target="https://datascience-mokumoku-kyobashi.connpass.com/event/402446/" TargetMode="External" Id="rId573" /><Relationship Type="http://schemas.openxmlformats.org/officeDocument/2006/relationships/hyperlink" Target="https://majisemi-security.doorkeeper.jp/events/198997" TargetMode="External" Id="rId574" /><Relationship Type="http://schemas.openxmlformats.org/officeDocument/2006/relationships/hyperlink" Target="https://layerx.connpass.com/event/405165/" TargetMode="External" Id="rId575" /><Relationship Type="http://schemas.openxmlformats.org/officeDocument/2006/relationships/hyperlink" Target="https://www.kokuchpro.com/event/796b7a53b89a25a7635fa57b6ce410b2/" TargetMode="External" Id="rId576" /><Relationship Type="http://schemas.openxmlformats.org/officeDocument/2006/relationships/hyperlink" Target="https://techplay.jp/event/999348" TargetMode="External" Id="rId577" /><Relationship Type="http://schemas.openxmlformats.org/officeDocument/2006/relationships/hyperlink" Target="https://streamline.connpass.com/event/405411/" TargetMode="External" Id="rId578" /><Relationship Type="http://schemas.openxmlformats.org/officeDocument/2006/relationships/hyperlink" Target="https://www.kokuchpro.com/event/2236756418b28685ed98b32769517028/" TargetMode="External" Id="rId579" /><Relationship Type="http://schemas.openxmlformats.org/officeDocument/2006/relationships/hyperlink" Target="https://www.sbbit.jp/eventinfo/90124" TargetMode="External" Id="rId580" /><Relationship Type="http://schemas.openxmlformats.org/officeDocument/2006/relationships/hyperlink" Target="https://academy.impress.co.jp/event/ai-day2026/" TargetMode="External" Id="rId581" /><Relationship Type="http://schemas.openxmlformats.org/officeDocument/2006/relationships/hyperlink" Target="https://prtimes.jp/main/html/rd/p/000007625.000005875.html" TargetMode="External" Id="rId582" /><Relationship Type="http://schemas.openxmlformats.org/officeDocument/2006/relationships/hyperlink" Target="https://www.salesforce.com/jp/events/webinars/ontology-is-buzzword/" TargetMode="External" Id="rId583" /><Relationship Type="http://schemas.openxmlformats.org/officeDocument/2006/relationships/hyperlink" Target="https://techplay.jp/event/1000301" TargetMode="External" Id="rId584" /><Relationship Type="http://schemas.openxmlformats.org/officeDocument/2006/relationships/hyperlink" Target="https://generative-agents.connpass.com/event/405647/" TargetMode="External" Id="rId585" /><Relationship Type="http://schemas.openxmlformats.org/officeDocument/2006/relationships/hyperlink" Target="https://osslabo.doorkeeper.jp/events/199008" TargetMode="External" Id="rId586" /><Relationship Type="http://schemas.openxmlformats.org/officeDocument/2006/relationships/hyperlink" Target="https://prtimes.jp/main/html/rd/p/000000033.000151821.html" TargetMode="External" Id="rId587" /><Relationship Type="http://schemas.openxmlformats.org/officeDocument/2006/relationships/hyperlink" Target="https://prtimes.jp/main/html/rd/p/000000012.000149931.html" TargetMode="External" Id="rId588" /><Relationship Type="http://schemas.openxmlformats.org/officeDocument/2006/relationships/hyperlink" Target="https://prtimes.jp/main/html/rd/p/000000214.000006043.html" TargetMode="External" Id="rId589" /><Relationship Type="http://schemas.openxmlformats.org/officeDocument/2006/relationships/hyperlink" Target="https://techplay.jp/event/1000249" TargetMode="External" Id="rId590" /><Relationship Type="http://schemas.openxmlformats.org/officeDocument/2006/relationships/hyperlink" Target="https://techplay.jp/event/999887" TargetMode="External" Id="rId591" /><Relationship Type="http://schemas.openxmlformats.org/officeDocument/2006/relationships/hyperlink" Target="https://dxdojo.connpass.com/event/406059/" TargetMode="External" Id="rId592" /><Relationship Type="http://schemas.openxmlformats.org/officeDocument/2006/relationships/hyperlink" Target="https://prtimes.jp/main/html/rd/p/000002058.000026157.html" TargetMode="External" Id="rId593" /><Relationship Type="http://schemas.openxmlformats.org/officeDocument/2006/relationships/hyperlink" Target="https://www.office-expo.jp/hub/ja-jp/about/ai.html" TargetMode="External" Id="rId594" /><Relationship Type="http://schemas.openxmlformats.org/officeDocument/2006/relationships/hyperlink" Target="https://connpass.com/event/406195/" TargetMode="External" Id="rId595" /><Relationship Type="http://schemas.openxmlformats.org/officeDocument/2006/relationships/hyperlink" Target="https://techplay.jp/event/999907" TargetMode="External" Id="rId596" /><Relationship Type="http://schemas.openxmlformats.org/officeDocument/2006/relationships/hyperlink" Target="https://bat-brave-japan.connpass.com/event/406316/" TargetMode="External" Id="rId597" /><Relationship Type="http://schemas.openxmlformats.org/officeDocument/2006/relationships/hyperlink" Target="https://majisemi-idaas.doorkeeper.jp/events/199072" TargetMode="External" Id="rId598" /><Relationship Type="http://schemas.openxmlformats.org/officeDocument/2006/relationships/hyperlink" Target="https://moneyforward.connpass.com/event/399710/" TargetMode="External" Id="rId599" /><Relationship Type="http://schemas.openxmlformats.org/officeDocument/2006/relationships/hyperlink" Target="https://techplay.jp/event/1000514" TargetMode="External" Id="rId600" /><Relationship Type="http://schemas.openxmlformats.org/officeDocument/2006/relationships/hyperlink" Target="https://www.sbbit.jp/eventinfo/90275" TargetMode="External" Id="rId601" /><Relationship Type="http://schemas.openxmlformats.org/officeDocument/2006/relationships/hyperlink" Target="https://vcube-agora.connpass.com/event/404093/" TargetMode="External" Id="rId602" /><Relationship Type="http://schemas.openxmlformats.org/officeDocument/2006/relationships/hyperlink" Target="https://techplay.jp/event/999624" TargetMode="External" Id="rId603" /><Relationship Type="http://schemas.openxmlformats.org/officeDocument/2006/relationships/hyperlink" Target="https://www.kokuchpro.com/event/2b8772d0b6e9aec097609fb11748257d/" TargetMode="External" Id="rId604" /><Relationship Type="http://schemas.openxmlformats.org/officeDocument/2006/relationships/hyperlink" Target="https://www.sbbit.jp/eventinfo/90099" TargetMode="External" Id="rId605" /><Relationship Type="http://schemas.openxmlformats.org/officeDocument/2006/relationships/hyperlink" Target="https://www.kokuchpro.com/event/19114101af02cdd18dbb55935cc78d87/" TargetMode="External" Id="rId606" /><Relationship Type="http://schemas.openxmlformats.org/officeDocument/2006/relationships/hyperlink" Target="https://techplay.jp/event/998463" TargetMode="External" Id="rId607" /><Relationship Type="http://schemas.openxmlformats.org/officeDocument/2006/relationships/hyperlink" Target="https://majisemi-technology.doorkeeper.jp/events/199078" TargetMode="External" Id="rId608" /><Relationship Type="http://schemas.openxmlformats.org/officeDocument/2006/relationships/hyperlink" Target="https://www.kokuchpro.com/event/a5d486152004a57a8d1ab3726bc9a49d/" TargetMode="External" Id="rId609" /><Relationship Type="http://schemas.openxmlformats.org/officeDocument/2006/relationships/hyperlink" Target="https://prtimes.jp/main/html/rd/p/000000806.000020223.html" TargetMode="External" Id="rId610" /><Relationship Type="http://schemas.openxmlformats.org/officeDocument/2006/relationships/hyperlink" Target="https://majisemi-manufacturing.doorkeeper.jp/events/198802" TargetMode="External" Id="rId611" /><Relationship Type="http://schemas.openxmlformats.org/officeDocument/2006/relationships/hyperlink" Target="https://prtimes.jp/main/html/rd/p/000000211.000022779.html" TargetMode="External" Id="rId612" /><Relationship Type="http://schemas.openxmlformats.org/officeDocument/2006/relationships/hyperlink" Target="https://techplay.jp/event/1000131" TargetMode="External" Id="rId613" /><Relationship Type="http://schemas.openxmlformats.org/officeDocument/2006/relationships/hyperlink" Target="https://www.kokuchpro.com/event/bcc1f484aba4f4cb008d5ef9e357d950/3892173/" TargetMode="External" Id="rId614" /><Relationship Type="http://schemas.openxmlformats.org/officeDocument/2006/relationships/hyperlink" Target="https://techplay.jp/event/1000038" TargetMode="External" Id="rId615" /><Relationship Type="http://schemas.openxmlformats.org/officeDocument/2006/relationships/hyperlink" Target="https://findy.connpass.com/event/403958/" TargetMode="External" Id="rId616" /><Relationship Type="http://schemas.openxmlformats.org/officeDocument/2006/relationships/hyperlink" Target="https://www.kokuchpro.com/event/3bc0a9728e56d9f00ca049e3b0aa6965/" TargetMode="External" Id="rId617" /><Relationship Type="http://schemas.openxmlformats.org/officeDocument/2006/relationships/hyperlink" Target="https://techplay.jp/event/1000039" TargetMode="External" Id="rId618" /><Relationship Type="http://schemas.openxmlformats.org/officeDocument/2006/relationships/hyperlink" Target="https://majisemi-business.doorkeeper.jp/events/199051" TargetMode="External" Id="rId619" /><Relationship Type="http://schemas.openxmlformats.org/officeDocument/2006/relationships/hyperlink" Target="https://techplay.jp/event/999476" TargetMode="External" Id="rId620" /><Relationship Type="http://schemas.openxmlformats.org/officeDocument/2006/relationships/hyperlink" Target="https://prtimes.jp/main/html/rd/p/000001044.000001375.html" TargetMode="External" Id="rId621" /><Relationship Type="http://schemas.openxmlformats.org/officeDocument/2006/relationships/hyperlink" Target="https://connpass.com/event/403896/" TargetMode="External" Id="rId622" /><Relationship Type="http://schemas.openxmlformats.org/officeDocument/2006/relationships/hyperlink" Target="https://www.sbbit.jp/eventinfo/88473" TargetMode="External" Id="rId623" /><Relationship Type="http://schemas.openxmlformats.org/officeDocument/2006/relationships/hyperlink" Target="https://women-ml.connpass.com/event/400784/" TargetMode="External" Id="rId624" /><Relationship Type="http://schemas.openxmlformats.org/officeDocument/2006/relationships/hyperlink" Target="https://techplay.jp/event/1000634" TargetMode="External" Id="rId625" /><Relationship Type="http://schemas.openxmlformats.org/officeDocument/2006/relationships/hyperlink" Target="https://classmethod.connpass.com/event/398580/" TargetMode="External" Id="rId626" /><Relationship Type="http://schemas.openxmlformats.org/officeDocument/2006/relationships/hyperlink" Target="https://www.kokuchpro.com/event/b164b33cf459e60cbcd10cc6cf54f3bc/" TargetMode="External" Id="rId627" /><Relationship Type="http://schemas.openxmlformats.org/officeDocument/2006/relationships/hyperlink" Target="https://techplay.jp/event/1000519" TargetMode="External" Id="rId628" /><Relationship Type="http://schemas.openxmlformats.org/officeDocument/2006/relationships/hyperlink" Target="https://web-mining.doorkeeper.jp/events/199111" TargetMode="External" Id="rId629" /><Relationship Type="http://schemas.openxmlformats.org/officeDocument/2006/relationships/hyperlink" Target="https://techplay.jp/event/999935" TargetMode="External" Id="rId630" /><Relationship Type="http://schemas.openxmlformats.org/officeDocument/2006/relationships/hyperlink" Target="https://elith.connpass.com/event/405693/" TargetMode="External" Id="rId631" /><Relationship Type="http://schemas.openxmlformats.org/officeDocument/2006/relationships/hyperlink" Target="https://techplay.jp/event/1000436" TargetMode="External" Id="rId632" /><Relationship Type="http://schemas.openxmlformats.org/officeDocument/2006/relationships/hyperlink" Target="https://prtimes.jp/main/html/rd/p/000000443.000061977.html" TargetMode="External" Id="rId633" /><Relationship Type="http://schemas.openxmlformats.org/officeDocument/2006/relationships/hyperlink" Target="https://peatix.com/event/5123053" TargetMode="External" Id="rId634" /><Relationship Type="http://schemas.openxmlformats.org/officeDocument/2006/relationships/hyperlink" Target="https://www.kokuchpro.com/event/5433b52e3a5ff68309d4dc926b3435cc/" TargetMode="External" Id="rId635" /><Relationship Type="http://schemas.openxmlformats.org/officeDocument/2006/relationships/hyperlink" Target="https://www.kokuchpro.com/event/0cb92436f50e5840713b264fcd1c2a15/" TargetMode="External" Id="rId636" /><Relationship Type="http://schemas.openxmlformats.org/officeDocument/2006/relationships/hyperlink" Target="https://miraichi260923.peatix.com/" TargetMode="External" Id="rId637" /><Relationship Type="http://schemas.openxmlformats.org/officeDocument/2006/relationships/hyperlink" Target="https://dxdojo.connpass.com/event/406664/" TargetMode="External" Id="rId638" /><Relationship Type="http://schemas.openxmlformats.org/officeDocument/2006/relationships/hyperlink" Target="https://techplay.jp/event/987274" TargetMode="External" Id="rId639" /><Relationship Type="http://schemas.openxmlformats.org/officeDocument/2006/relationships/hyperlink" Target="https://www.sbbit.jp/eventinfo/90161" TargetMode="External" Id="rId640" /><Relationship Type="http://schemas.openxmlformats.org/officeDocument/2006/relationships/hyperlink" Target="https://rpacommunity.connpass.com/event/406507/" TargetMode="External" Id="rId641" /><Relationship Type="http://schemas.openxmlformats.org/officeDocument/2006/relationships/hyperlink" Target="https://techplay.jp/event/1000376" TargetMode="External" Id="rId642" /><Relationship Type="http://schemas.openxmlformats.org/officeDocument/2006/relationships/hyperlink" Target="https://uipath-friends.doorkeeper.jp/events/198918" TargetMode="External" Id="rId643" /><Relationship Type="http://schemas.openxmlformats.org/officeDocument/2006/relationships/hyperlink" Target="https://www.kokuchpro.com/event/7fba817495126246845ada3befedff57/" TargetMode="External" Id="rId644" /><Relationship Type="http://schemas.openxmlformats.org/officeDocument/2006/relationships/hyperlink" Target="https://techplay.jp/event/1000240" TargetMode="External" Id="rId645" /><Relationship Type="http://schemas.openxmlformats.org/officeDocument/2006/relationships/hyperlink" Target="https://www.kokuchpro.com/event/d8764ae1e00ae91e3196cc13efa5fcc6/" TargetMode="External" Id="rId646" /><Relationship Type="http://schemas.openxmlformats.org/officeDocument/2006/relationships/hyperlink" Target="https://techplay.jp/event/1000261" TargetMode="External" Id="rId647" /><Relationship Type="http://schemas.openxmlformats.org/officeDocument/2006/relationships/hyperlink" Target="https://techplay.jp/event/999381" TargetMode="External" Id="rId648" /><Relationship Type="http://schemas.openxmlformats.org/officeDocument/2006/relationships/hyperlink" Target="https://techplay.jp/event/1000262" TargetMode="External" Id="rId649" /><Relationship Type="http://schemas.openxmlformats.org/officeDocument/2006/relationships/hyperlink" Target="https://prtimes.jp/main/html/rd/p/000000133.000101685.html" TargetMode="External" Id="rId650" /><Relationship Type="http://schemas.openxmlformats.org/officeDocument/2006/relationships/hyperlink" Target="https://dtptransit.doorkeeper.jp/events/199228" TargetMode="External" Id="rId651" /><Relationship Type="http://schemas.openxmlformats.org/officeDocument/2006/relationships/hyperlink" Target="https://techplay.jp/event/1000134" TargetMode="External" Id="rId652" /><Relationship Type="http://schemas.openxmlformats.org/officeDocument/2006/relationships/hyperlink" Target="https://majisemi-technology.doorkeeper.jp/events/199134" TargetMode="External" Id="rId653" /><Relationship Type="http://schemas.openxmlformats.org/officeDocument/2006/relationships/hyperlink" Target="https://aihacklabo.connpass.com/event/405311/" TargetMode="External" Id="rId654" /><Relationship Type="http://schemas.openxmlformats.org/officeDocument/2006/relationships/hyperlink" Target="https://prtimes.jp/main/html/rd/p/000000365.000078896.html" TargetMode="External" Id="rId655" /><Relationship Type="http://schemas.openxmlformats.org/officeDocument/2006/relationships/hyperlink" Target="https://fix.connpass.com/event/403196/" TargetMode="External" Id="rId656" /><Relationship Type="http://schemas.openxmlformats.org/officeDocument/2006/relationships/hyperlink" Target="https://www.kokuchpro.com/event/ms_260925/" TargetMode="External" Id="rId657" /><Relationship Type="http://schemas.openxmlformats.org/officeDocument/2006/relationships/hyperlink" Target="https://biosbootcamp.connpass.com/event/404660/" TargetMode="External" Id="rId658" /><Relationship Type="http://schemas.openxmlformats.org/officeDocument/2006/relationships/hyperlink" Target="https://www.kokuchpro.com/event/aeed43ec3de034d7431e335e7dd8c807/" TargetMode="External" Id="rId659" /><Relationship Type="http://schemas.openxmlformats.org/officeDocument/2006/relationships/hyperlink" Target="https://crane-game.connpass.com/event/405625/" TargetMode="External" Id="rId660" /><Relationship Type="http://schemas.openxmlformats.org/officeDocument/2006/relationships/hyperlink" Target="https://www.kokuchpro.com/event/3fef373fb2dcfe255ffe0532d9e1253a/" TargetMode="External" Id="rId661" /><Relationship Type="http://schemas.openxmlformats.org/officeDocument/2006/relationships/hyperlink" Target="https://cdle-kumamoto.connpass.com/event/404168/" TargetMode="External" Id="rId662" /><Relationship Type="http://schemas.openxmlformats.org/officeDocument/2006/relationships/hyperlink" Target="https://nishinomiya.connpass.com/event/404867/" TargetMode="External" Id="rId663" /><Relationship Type="http://schemas.openxmlformats.org/officeDocument/2006/relationships/hyperlink" Target="https://techplay.jp/event/1000791" TargetMode="External" Id="rId664" /><Relationship Type="http://schemas.openxmlformats.org/officeDocument/2006/relationships/hyperlink" Target="https://prtimes.jp/main/html/rd/p/000000163.000155740.html" TargetMode="External" Id="rId665" /><Relationship Type="http://schemas.openxmlformats.org/officeDocument/2006/relationships/hyperlink" Target="https://techplay.jp/event/999754" TargetMode="External" Id="rId666" /><Relationship Type="http://schemas.openxmlformats.org/officeDocument/2006/relationships/hyperlink" Target="https://techplay.jp/event/1000487" TargetMode="External" Id="rId667" /><Relationship Type="http://schemas.openxmlformats.org/officeDocument/2006/relationships/hyperlink" Target="https://www.kokuchpro.com/event/8bb495e72d432108f0c6a294e0475eeb/" TargetMode="External" Id="rId668" /><Relationship Type="http://schemas.openxmlformats.org/officeDocument/2006/relationships/hyperlink" Target="https://majisemi-business.doorkeeper.jp/events/199241" TargetMode="External" Id="rId669" /><Relationship Type="http://schemas.openxmlformats.org/officeDocument/2006/relationships/hyperlink" Target="https://web-mining.doorkeeper.jp/events/198725" TargetMode="External" Id="rId670" /><Relationship Type="http://schemas.openxmlformats.org/officeDocument/2006/relationships/hyperlink" Target="https://recruit-event.connpass.com/event/402030/" TargetMode="External" Id="rId671" /><Relationship Type="http://schemas.openxmlformats.org/officeDocument/2006/relationships/hyperlink" Target="https://kansai-aiagent.connpass.com/event/404525/" TargetMode="External" Id="rId672" /><Relationship Type="http://schemas.openxmlformats.org/officeDocument/2006/relationships/hyperlink" Target="https://techplay.jp/event/1000559" TargetMode="External" Id="rId673" /><Relationship Type="http://schemas.openxmlformats.org/officeDocument/2006/relationships/hyperlink" Target="https://kobelab.connpass.com/event/404326/" TargetMode="External" Id="rId674" /><Relationship Type="http://schemas.openxmlformats.org/officeDocument/2006/relationships/hyperlink" Target="https://techplay.jp/event/999790" TargetMode="External" Id="rId675" /><Relationship Type="http://schemas.openxmlformats.org/officeDocument/2006/relationships/hyperlink" Target="https://www.salesforce.com/jp/events/webinars/ai-bpr-vol2/" TargetMode="External" Id="rId676" /><Relationship Type="http://schemas.openxmlformats.org/officeDocument/2006/relationships/hyperlink" Target="https://aismiley.co.jp/ai_news/20260929webinar/" TargetMode="External" Id="rId677" /><Relationship Type="http://schemas.openxmlformats.org/officeDocument/2006/relationships/hyperlink" Target="https://www.kokuchpro.com/event/49f135c83a1c054ace14efaa59a6f0e7/" TargetMode="External" Id="rId678" /><Relationship Type="http://schemas.openxmlformats.org/officeDocument/2006/relationships/hyperlink" Target="https://www.kokuchpro.com/event/333d9bbca58b4985a0eebc72654c7130/" TargetMode="External" Id="rId679" /><Relationship Type="http://schemas.openxmlformats.org/officeDocument/2006/relationships/hyperlink" Target="https://www.kokuchpro.com/event/e4f755292e1dc2a7953505423d6caac5/" TargetMode="External" Id="rId680" /><Relationship Type="http://schemas.openxmlformats.org/officeDocument/2006/relationships/hyperlink" Target="https://offers-jp.connpass.com/event/405148/" TargetMode="External" Id="rId681" /><Relationship Type="http://schemas.openxmlformats.org/officeDocument/2006/relationships/hyperlink" Target="https://prtimes.jp/main/html/rd/p/000000026.000175889.html" TargetMode="External" Id="rId682" /><Relationship Type="http://schemas.openxmlformats.org/officeDocument/2006/relationships/hyperlink" Target="https://techplay.jp/event/1000486" TargetMode="External" Id="rId683" /><Relationship Type="http://schemas.openxmlformats.org/officeDocument/2006/relationships/hyperlink" Target="https://datayokocho.connpass.com/event/404893/" TargetMode="External" Id="rId684" /><Relationship Type="http://schemas.openxmlformats.org/officeDocument/2006/relationships/hyperlink" Target="https://majisemi-technology.doorkeeper.jp/events/199055" TargetMode="External" Id="rId685" /><Relationship Type="http://schemas.openxmlformats.org/officeDocument/2006/relationships/hyperlink" Target="https://www.kokuchpro.com/event/51805aaf1e5cde60cdac193db0ddb06b/" TargetMode="External" Id="rId686" /><Relationship Type="http://schemas.openxmlformats.org/officeDocument/2006/relationships/hyperlink" Target="https://www.nikkeibp.co.jp/atcl/newsrelease/corp/20260820_2/" TargetMode="External" Id="rId687" /><Relationship Type="http://schemas.openxmlformats.org/officeDocument/2006/relationships/hyperlink" Target="https://xtech.nikkei.com/atcl/nxt/column/18/03745/092800023/" TargetMode="External" Id="rId688" /><Relationship Type="http://schemas.openxmlformats.org/officeDocument/2006/relationships/hyperlink" Target="https://majisemi-technology.doorkeeper.jp/events/199233" TargetMode="External" Id="rId689" /><Relationship Type="http://schemas.openxmlformats.org/officeDocument/2006/relationships/hyperlink" Target="https://skillupai.doorkeeper.jp/events/199413" TargetMode="External" Id="rId690" /><Relationship Type="http://schemas.openxmlformats.org/officeDocument/2006/relationships/hyperlink" Target="https://fffff.connpass.com/event/403077/" TargetMode="External" Id="rId691" /><Relationship Type="http://schemas.openxmlformats.org/officeDocument/2006/relationships/hyperlink" Target="https://techplay.jp/event/1000833" TargetMode="External" Id="rId692" /><Relationship Type="http://schemas.openxmlformats.org/officeDocument/2006/relationships/hyperlink" Target="https://sansan.connpass.com/event/404019/" TargetMode="External" Id="rId693" /><Relationship Type="http://schemas.openxmlformats.org/officeDocument/2006/relationships/hyperlink" Target="https://prtimes.jp/main/html/rd/p/000000507.000031612.html" TargetMode="External" Id="rId694" /><Relationship Type="http://schemas.openxmlformats.org/officeDocument/2006/relationships/hyperlink" Target="https://www.kokuchpro.com/event/7632b95976d010e5aa3c71637cb53d0a/" TargetMode="External" Id="rId695" /><Relationship Type="http://schemas.openxmlformats.org/officeDocument/2006/relationships/hyperlink" Target="https://majisemi-business.doorkeeper.jp/events/198698" TargetMode="External" Id="rId696" /><Relationship Type="http://schemas.openxmlformats.org/officeDocument/2006/relationships/hyperlink" Target="https://asanatogether-jp.doorkeeper.jp/events/199026" TargetMode="External" Id="rId697" /><Relationship Type="http://schemas.openxmlformats.org/officeDocument/2006/relationships/hyperlink" Target="https://www.kokuchpro.com/event/406519751d2a2724220ebfe818934657/" TargetMode="External" Id="rId698" /><Relationship Type="http://schemas.openxmlformats.org/officeDocument/2006/relationships/hyperlink" Target="https://techplay.jp/event/1000915" TargetMode="External" Id="rId699" /><Relationship Type="http://schemas.openxmlformats.org/officeDocument/2006/relationships/hyperlink" Target="https://aihacklabo.connpass.com/event/406182/" TargetMode="External" Id="rId700" /><Relationship Type="http://schemas.openxmlformats.org/officeDocument/2006/relationships/hyperlink" Target="https://classmethod.connpass.com/event/405790/" TargetMode="External" Id="rId701" /><Relationship Type="http://schemas.openxmlformats.org/officeDocument/2006/relationships/hyperlink" Target="https://techplay.jp/event/1000299" TargetMode="External" Id="rId702" /><Relationship Type="http://schemas.openxmlformats.org/officeDocument/2006/relationships/hyperlink" Target="https://techplay.jp/event/1000888" TargetMode="External" Id="rId703" /><Relationship Type="http://schemas.openxmlformats.org/officeDocument/2006/relationships/hyperlink" Target="https://www.kokuchpro.com/event/96b2ae414e48de8a30d3542c61fb130e/3882838/" TargetMode="External" Id="rId704" /><Relationship Type="http://schemas.openxmlformats.org/officeDocument/2006/relationships/hyperlink" Target="https://techplay.jp/event/1000187" TargetMode="External" Id="rId705" /><Relationship Type="http://schemas.openxmlformats.org/officeDocument/2006/relationships/hyperlink" Target="https://techplay.jp/event/1000193" TargetMode="External" Id="rId706" /><Relationship Type="http://schemas.openxmlformats.org/officeDocument/2006/relationships/hyperlink" Target="https://www.kokuchpro.com/event/8ee5b83fb00daef5ace1b3b337a6f02f/" TargetMode="External" Id="rId707" /><Relationship Type="http://schemas.openxmlformats.org/officeDocument/2006/relationships/hyperlink" Target="https://forkwell.connpass.com/event/406993/" TargetMode="External" Id="rId708" /></Relationships>
</file>

<file path=xl/worksheets/_rels/sheet5.xml.rels><Relationships xmlns="http://schemas.openxmlformats.org/package/2006/relationships"><Relationship Type="http://schemas.openxmlformats.org/officeDocument/2006/relationships/hyperlink" Target="https://www.sbbit.jp/eventinfo/88822" TargetMode="External" Id="rId1" /><Relationship Type="http://schemas.openxmlformats.org/officeDocument/2006/relationships/hyperlink" Target="https://www.sbbit.jp/eventinfo/89152" TargetMode="External" Id="rId2" /><Relationship Type="http://schemas.openxmlformats.org/officeDocument/2006/relationships/hyperlink" Target="https://koukaikouza20260709.peatix.com/" TargetMode="External" Id="rId3" /><Relationship Type="http://schemas.openxmlformats.org/officeDocument/2006/relationships/hyperlink" Target="https://www.sbbit.jp/eventinfo/88908" TargetMode="External" Id="rId4" /><Relationship Type="http://schemas.openxmlformats.org/officeDocument/2006/relationships/hyperlink" Target="https://peatix.com/event/5051212" TargetMode="External" Id="rId5" /><Relationship Type="http://schemas.openxmlformats.org/officeDocument/2006/relationships/hyperlink" Target="https://www.sbbit.jp/eventinfo/89469" TargetMode="External" Id="rId6" /><Relationship Type="http://schemas.openxmlformats.org/officeDocument/2006/relationships/hyperlink" Target="https://www.sbbit.jp/eventinfo/89531" TargetMode="External" Id="rId7" /><Relationship Type="http://schemas.openxmlformats.org/officeDocument/2006/relationships/hyperlink" Target="https://prtimes.jp/main/html/rd/p/000000326.000029485.html" TargetMode="External" Id="rId8" /><Relationship Type="http://schemas.openxmlformats.org/officeDocument/2006/relationships/hyperlink" Target="https://peatix.com/event/5070199" TargetMode="External" Id="rId9" /><Relationship Type="http://schemas.openxmlformats.org/officeDocument/2006/relationships/hyperlink" Target="https://www.sbbit.jp/eventinfo/88526" TargetMode="External" Id="rId10" /><Relationship Type="http://schemas.openxmlformats.org/officeDocument/2006/relationships/hyperlink" Target="https://www.sbbit.jp/eventinfo/88658" TargetMode="External" Id="rId11" /><Relationship Type="http://schemas.openxmlformats.org/officeDocument/2006/relationships/hyperlink" Target="https://www.sbbit.jp/eventinfo/88481" TargetMode="External" Id="rId12" /><Relationship Type="http://schemas.openxmlformats.org/officeDocument/2006/relationships/hyperlink" Target="https://peatix.com/event/5093762" TargetMode="External" Id="rId13" /><Relationship Type="http://schemas.openxmlformats.org/officeDocument/2006/relationships/hyperlink" Target="https://peatix.com/event/5084894" TargetMode="External" Id="rId14" /><Relationship Type="http://schemas.openxmlformats.org/officeDocument/2006/relationships/hyperlink" Target="https://www.sbbit.jp/eventinfo/89087" TargetMode="External" Id="rId15" /><Relationship Type="http://schemas.openxmlformats.org/officeDocument/2006/relationships/hyperlink" Target="https://peatix.com/event/5007968" TargetMode="External" Id="rId16" /><Relationship Type="http://schemas.openxmlformats.org/officeDocument/2006/relationships/hyperlink" Target="https://www.sbbit.jp/eventinfo/88335" TargetMode="External" Id="rId17" /><Relationship Type="http://schemas.openxmlformats.org/officeDocument/2006/relationships/hyperlink" Target="https://miraichi0725.peatix.com/" TargetMode="External" Id="rId18" /><Relationship Type="http://schemas.openxmlformats.org/officeDocument/2006/relationships/hyperlink" Target="https://peatix.com/event/5096574" TargetMode="External" Id="rId19" /><Relationship Type="http://schemas.openxmlformats.org/officeDocument/2006/relationships/hyperlink" Target="https://www.sbbit.jp/eventinfo/89149" TargetMode="External" Id="rId20" /><Relationship Type="http://schemas.openxmlformats.org/officeDocument/2006/relationships/hyperlink" Target="https://prtimes.jp/main/html/rd/p/000005443.000054842.html" TargetMode="External" Id="rId21" /><Relationship Type="http://schemas.openxmlformats.org/officeDocument/2006/relationships/hyperlink" Target="https://peatix.com/event/5077177" TargetMode="External" Id="rId22" /><Relationship Type="http://schemas.openxmlformats.org/officeDocument/2006/relationships/hyperlink" Target="https://www.sbbit.jp/eventinfo/89707" TargetMode="External" Id="rId23" /><Relationship Type="http://schemas.openxmlformats.org/officeDocument/2006/relationships/hyperlink" Target="https://peatix.com/event/5037623" TargetMode="External" Id="rId24" /><Relationship Type="http://schemas.openxmlformats.org/officeDocument/2006/relationships/hyperlink" Target="https://www.sbbit.jp/eventinfo/89511" TargetMode="External" Id="rId25" /><Relationship Type="http://schemas.openxmlformats.org/officeDocument/2006/relationships/hyperlink" Target="https://hrt-seminar20260805.peatix.com/" TargetMode="External" Id="rId26" /><Relationship Type="http://schemas.openxmlformats.org/officeDocument/2006/relationships/hyperlink" Target="https://www.sbbit.jp/eventinfo/89680" TargetMode="External" Id="rId27" /><Relationship Type="http://schemas.openxmlformats.org/officeDocument/2006/relationships/hyperlink" Target="https://www.sbbit.jp/eventinfo/89285" TargetMode="External" Id="rId28" /><Relationship Type="http://schemas.openxmlformats.org/officeDocument/2006/relationships/hyperlink" Target="https://peatix.com/event/4760653" TargetMode="External" Id="rId29" /><Relationship Type="http://schemas.openxmlformats.org/officeDocument/2006/relationships/hyperlink" Target="https://www.sbbit.jp/eventinfo/89512" TargetMode="External" Id="rId30" /><Relationship Type="http://schemas.openxmlformats.org/officeDocument/2006/relationships/hyperlink" Target="https://xrkaigihub-nagoya2026.peatix.com/view" TargetMode="External" Id="rId31" /><Relationship Type="http://schemas.openxmlformats.org/officeDocument/2006/relationships/hyperlink" Target="https://merge2026.peatix.com/view" TargetMode="External" Id="rId32" /><Relationship Type="http://schemas.openxmlformats.org/officeDocument/2006/relationships/hyperlink" Target="https://peatix.com/event/5073918" TargetMode="External" Id="rId33" /><Relationship Type="http://schemas.openxmlformats.org/officeDocument/2006/relationships/hyperlink" Target="https://www.sbbit.jp/eventinfo/88939" TargetMode="External" Id="rId34" /><Relationship Type="http://schemas.openxmlformats.org/officeDocument/2006/relationships/hyperlink" Target="https://www.sbbit.jp/eventinfo/89968" TargetMode="External" Id="rId35" /><Relationship Type="http://schemas.openxmlformats.org/officeDocument/2006/relationships/hyperlink" Target="https://www.sbbit.jp/eventinfo/89893" TargetMode="External" Id="rId36" /><Relationship Type="http://schemas.openxmlformats.org/officeDocument/2006/relationships/hyperlink" Target="https://peatix.com/event/5013999" TargetMode="External" Id="rId37" /><Relationship Type="http://schemas.openxmlformats.org/officeDocument/2006/relationships/hyperlink" Target="https://prtimes.jp/main/html/rd/p/000000403.000094539.html" TargetMode="External" Id="rId38" /><Relationship Type="http://schemas.openxmlformats.org/officeDocument/2006/relationships/hyperlink" Target="https://peatix.com/event/5156216" TargetMode="External" Id="rId39" /><Relationship Type="http://schemas.openxmlformats.org/officeDocument/2006/relationships/hyperlink" Target="https://peatix.com/event/5112256" TargetMode="External" Id="rId40" /><Relationship Type="http://schemas.openxmlformats.org/officeDocument/2006/relationships/hyperlink" Target="https://peatix.com/event/5142487" TargetMode="External" Id="rId41" /><Relationship Type="http://schemas.openxmlformats.org/officeDocument/2006/relationships/hyperlink" Target="https://www.sbbit.jp/eventinfo/90088" TargetMode="External" Id="rId42" /><Relationship Type="http://schemas.openxmlformats.org/officeDocument/2006/relationships/hyperlink" Target="https://www.sbbit.jp/eventinfo/89872" TargetMode="External" Id="rId43" /><Relationship Type="http://schemas.openxmlformats.org/officeDocument/2006/relationships/hyperlink" Target="https://www.sbbit.jp/eventinfo/89844" TargetMode="External" Id="rId44" /><Relationship Type="http://schemas.openxmlformats.org/officeDocument/2006/relationships/hyperlink" Target="https://peatix.com/event/5149893" TargetMode="External" Id="rId45" /><Relationship Type="http://schemas.openxmlformats.org/officeDocument/2006/relationships/hyperlink" Target="https://peatix.com/event/4918327" TargetMode="External" Id="rId46" /><Relationship Type="http://schemas.openxmlformats.org/officeDocument/2006/relationships/hyperlink" Target="https://peatix.com/event/5078782" TargetMode="External" Id="rId47" /><Relationship Type="http://schemas.openxmlformats.org/officeDocument/2006/relationships/hyperlink" Target="https://www.sbbit.jp/eventinfo/89612" TargetMode="External" Id="rId48" /><Relationship Type="http://schemas.openxmlformats.org/officeDocument/2006/relationships/hyperlink" Target="https://www.sbbit.jp/eventinfo/90023" TargetMode="External" Id="rId49" /><Relationship Type="http://schemas.openxmlformats.org/officeDocument/2006/relationships/hyperlink" Target="https://www.sbbit.jp/eventinfo/89838" TargetMode="External" Id="rId50" /><Relationship Type="http://schemas.openxmlformats.org/officeDocument/2006/relationships/hyperlink" Target="https://www.sbbit.jp/eventinfo/89804" TargetMode="External" Id="rId51" /><Relationship Type="http://schemas.openxmlformats.org/officeDocument/2006/relationships/hyperlink" Target="https://www.sbbit.jp/eventinfo/89954" TargetMode="External" Id="rId52" /><Relationship Type="http://schemas.openxmlformats.org/officeDocument/2006/relationships/hyperlink" Target="https://www.sbbit.jp/eventinfo/89962" TargetMode="External" Id="rId53" /><Relationship Type="http://schemas.openxmlformats.org/officeDocument/2006/relationships/hyperlink" Target="https://www.sbbit.jp/eventinfo/89590" TargetMode="External" Id="rId54" /><Relationship Type="http://schemas.openxmlformats.org/officeDocument/2006/relationships/hyperlink" Target="https://www.sbbit.jp/eventinfo/89878" TargetMode="External" Id="rId55" /><Relationship Type="http://schemas.openxmlformats.org/officeDocument/2006/relationships/hyperlink" Target="https://peatix.com/event/5137202" TargetMode="External" Id="rId56" /><Relationship Type="http://schemas.openxmlformats.org/officeDocument/2006/relationships/hyperlink" Target="https://peatix.com/event/5174714" TargetMode="External" Id="rId57" /><Relationship Type="http://schemas.openxmlformats.org/officeDocument/2006/relationships/hyperlink" Target="https://prtimes.jp/main/html/rd/p/000005647.000054842.html" TargetMode="External" Id="rId58" /><Relationship Type="http://schemas.openxmlformats.org/officeDocument/2006/relationships/hyperlink" Target="https://peatix.com/event/5114140" TargetMode="External" Id="rId59" /><Relationship Type="http://schemas.openxmlformats.org/officeDocument/2006/relationships/hyperlink" Target="https://peatix.com/event/5116346" TargetMode="External" Id="rId60" /><Relationship Type="http://schemas.openxmlformats.org/officeDocument/2006/relationships/hyperlink" Target="https://peatix.com/event/5114821" TargetMode="External" Id="rId61" /><Relationship Type="http://schemas.openxmlformats.org/officeDocument/2006/relationships/hyperlink" Target="https://peatix.com/event/5190409" TargetMode="External" Id="rId62" /></Relationships>
</file>

<file path=xl/worksheets/sheet1.xml><?xml version="1.0" encoding="utf-8"?>
<worksheet xmlns="http://schemas.openxmlformats.org/spreadsheetml/2006/main">
  <sheetPr>
    <outlinePr summaryBelow="1" summaryRight="1"/>
    <pageSetUpPr/>
  </sheetPr>
  <dimension ref="A1:H59"/>
  <sheetViews>
    <sheetView workbookViewId="0">
      <selection activeCell="A1" sqref="A1"/>
    </sheetView>
  </sheetViews>
  <sheetFormatPr baseColWidth="8" defaultRowHeight="15"/>
  <cols>
    <col width="30" customWidth="1" min="1" max="1"/>
    <col width="8" customWidth="1" min="2" max="2"/>
    <col width="10" customWidth="1" min="3" max="3"/>
    <col width="10" customWidth="1" min="4" max="4"/>
    <col width="16" customWidth="1" min="5" max="5"/>
    <col width="7" customWidth="1" min="6" max="6"/>
    <col width="7" customWidth="1" min="7" max="7"/>
    <col width="7" customWidth="1" min="8" max="8"/>
  </cols>
  <sheetData>
    <row r="1">
      <c r="A1" s="1" t="inlineStr">
        <is>
          <t>AIエージェント／MCP × 生産性向上・生産管理・営業効率化 セミナー調査（第2版：プラットフォーム巡回）</t>
        </is>
      </c>
    </row>
    <row r="2">
      <c r="A2" s="2" t="inlineStr">
        <is>
          <t>対象期間: 2026/07/01〜2026/09/30（調査日 2026/09/30）</t>
        </is>
      </c>
    </row>
    <row r="4">
      <c r="A4" s="3" t="inlineStr">
        <is>
          <t>テーマ分類</t>
        </is>
      </c>
      <c r="B4" s="3" t="inlineStr">
        <is>
          <t>件数</t>
        </is>
      </c>
      <c r="C4" s="3" t="inlineStr">
        <is>
          <t>開催回数計</t>
        </is>
      </c>
      <c r="D4" s="3" t="inlineStr">
        <is>
          <t>集客数判明</t>
        </is>
      </c>
      <c r="E4" s="3" t="inlineStr">
        <is>
          <t>参加・申込・来場の合計</t>
        </is>
      </c>
      <c r="F4" s="3" t="inlineStr">
        <is>
          <t>7月</t>
        </is>
      </c>
      <c r="G4" s="3" t="inlineStr">
        <is>
          <t>8月</t>
        </is>
      </c>
      <c r="H4" s="3" t="inlineStr">
        <is>
          <t>9月</t>
        </is>
      </c>
    </row>
    <row r="5">
      <c r="A5" s="4" t="inlineStr">
        <is>
          <t>生産性向上・業務効率化</t>
        </is>
      </c>
      <c r="B5" s="4">
        <f>COUNTIF('セミナー一覧'!$M$2:$M$685,A5)</f>
        <v/>
      </c>
      <c r="C5" s="5">
        <f>SUMIFS('セミナー一覧'!$E$2:$E$685,'セミナー一覧'!$M$2:$M$685,A5)</f>
        <v/>
      </c>
      <c r="D5" s="4">
        <f>COUNTIFS('セミナー一覧'!$M$2:$M$685,A5,'セミナー一覧'!$P$2:$P$685,"&gt;0")</f>
        <v/>
      </c>
      <c r="E5" s="5">
        <f>SUMIFS('セミナー一覧'!$P$2:$P$685,'セミナー一覧'!$M$2:$M$685,A5,'セミナー一覧'!$Q$2:$Q$685,"&lt;&gt;定員",'セミナー一覧'!$Q$2:$Q$685,"&lt;&gt;予定来場者数")</f>
        <v/>
      </c>
      <c r="F5" s="4">
        <f>COUNTIFS('セミナー一覧'!$M$2:$M$685,A5,'セミナー一覧'!$D$2:$D$685,"7月")</f>
        <v/>
      </c>
      <c r="G5" s="4">
        <f>COUNTIFS('セミナー一覧'!$M$2:$M$685,A5,'セミナー一覧'!$D$2:$D$685,"8月")</f>
        <v/>
      </c>
      <c r="H5" s="4">
        <f>COUNTIFS('セミナー一覧'!$M$2:$M$685,A5,'セミナー一覧'!$D$2:$D$685,"9月")</f>
        <v/>
      </c>
    </row>
    <row r="6">
      <c r="A6" s="4" t="inlineStr">
        <is>
          <t>営業・マーケ・CS</t>
        </is>
      </c>
      <c r="B6" s="4">
        <f>COUNTIF('セミナー一覧'!$M$2:$M$685,A6)</f>
        <v/>
      </c>
      <c r="C6" s="5">
        <f>SUMIFS('セミナー一覧'!$E$2:$E$685,'セミナー一覧'!$M$2:$M$685,A6)</f>
        <v/>
      </c>
      <c r="D6" s="4">
        <f>COUNTIFS('セミナー一覧'!$M$2:$M$685,A6,'セミナー一覧'!$P$2:$P$685,"&gt;0")</f>
        <v/>
      </c>
      <c r="E6" s="5">
        <f>SUMIFS('セミナー一覧'!$P$2:$P$685,'セミナー一覧'!$M$2:$M$685,A6,'セミナー一覧'!$Q$2:$Q$685,"&lt;&gt;定員",'セミナー一覧'!$Q$2:$Q$685,"&lt;&gt;予定来場者数")</f>
        <v/>
      </c>
      <c r="F6" s="4">
        <f>COUNTIFS('セミナー一覧'!$M$2:$M$685,A6,'セミナー一覧'!$D$2:$D$685,"7月")</f>
        <v/>
      </c>
      <c r="G6" s="4">
        <f>COUNTIFS('セミナー一覧'!$M$2:$M$685,A6,'セミナー一覧'!$D$2:$D$685,"8月")</f>
        <v/>
      </c>
      <c r="H6" s="4">
        <f>COUNTIFS('セミナー一覧'!$M$2:$M$685,A6,'セミナー一覧'!$D$2:$D$685,"9月")</f>
        <v/>
      </c>
    </row>
    <row r="7">
      <c r="A7" s="4" t="inlineStr">
        <is>
          <t>生産管理・製造・SCM</t>
        </is>
      </c>
      <c r="B7" s="4">
        <f>COUNTIF('セミナー一覧'!$M$2:$M$685,A7)</f>
        <v/>
      </c>
      <c r="C7" s="5">
        <f>SUMIFS('セミナー一覧'!$E$2:$E$685,'セミナー一覧'!$M$2:$M$685,A7)</f>
        <v/>
      </c>
      <c r="D7" s="4">
        <f>COUNTIFS('セミナー一覧'!$M$2:$M$685,A7,'セミナー一覧'!$P$2:$P$685,"&gt;0")</f>
        <v/>
      </c>
      <c r="E7" s="5">
        <f>SUMIFS('セミナー一覧'!$P$2:$P$685,'セミナー一覧'!$M$2:$M$685,A7,'セミナー一覧'!$Q$2:$Q$685,"&lt;&gt;定員",'セミナー一覧'!$Q$2:$Q$685,"&lt;&gt;予定来場者数")</f>
        <v/>
      </c>
      <c r="F7" s="4">
        <f>COUNTIFS('セミナー一覧'!$M$2:$M$685,A7,'セミナー一覧'!$D$2:$D$685,"7月")</f>
        <v/>
      </c>
      <c r="G7" s="4">
        <f>COUNTIFS('セミナー一覧'!$M$2:$M$685,A7,'セミナー一覧'!$D$2:$D$685,"8月")</f>
        <v/>
      </c>
      <c r="H7" s="4">
        <f>COUNTIFS('セミナー一覧'!$M$2:$M$685,A7,'セミナー一覧'!$D$2:$D$685,"9月")</f>
        <v/>
      </c>
    </row>
    <row r="8">
      <c r="A8" s="4" t="inlineStr">
        <is>
          <t>大型カンファレンス・展示会</t>
        </is>
      </c>
      <c r="B8" s="4">
        <f>COUNTIF('セミナー一覧'!$M$2:$M$685,A8)</f>
        <v/>
      </c>
      <c r="C8" s="5">
        <f>SUMIFS('セミナー一覧'!$E$2:$E$685,'セミナー一覧'!$M$2:$M$685,A8)</f>
        <v/>
      </c>
      <c r="D8" s="4">
        <f>COUNTIFS('セミナー一覧'!$M$2:$M$685,A8,'セミナー一覧'!$P$2:$P$685,"&gt;0")</f>
        <v/>
      </c>
      <c r="E8" s="5">
        <f>SUMIFS('セミナー一覧'!$P$2:$P$685,'セミナー一覧'!$M$2:$M$685,A8,'セミナー一覧'!$Q$2:$Q$685,"&lt;&gt;定員",'セミナー一覧'!$Q$2:$Q$685,"&lt;&gt;予定来場者数")</f>
        <v/>
      </c>
      <c r="F8" s="4">
        <f>COUNTIFS('セミナー一覧'!$M$2:$M$685,A8,'セミナー一覧'!$D$2:$D$685,"7月")</f>
        <v/>
      </c>
      <c r="G8" s="4">
        <f>COUNTIFS('セミナー一覧'!$M$2:$M$685,A8,'セミナー一覧'!$D$2:$D$685,"8月")</f>
        <v/>
      </c>
      <c r="H8" s="4">
        <f>COUNTIFS('セミナー一覧'!$M$2:$M$685,A8,'セミナー一覧'!$D$2:$D$685,"9月")</f>
        <v/>
      </c>
    </row>
    <row r="9">
      <c r="A9" s="4" t="inlineStr">
        <is>
          <t>開発生産性</t>
        </is>
      </c>
      <c r="B9" s="4">
        <f>COUNTIF('セミナー一覧'!$M$2:$M$685,A9)</f>
        <v/>
      </c>
      <c r="C9" s="5">
        <f>SUMIFS('セミナー一覧'!$E$2:$E$685,'セミナー一覧'!$M$2:$M$685,A9)</f>
        <v/>
      </c>
      <c r="D9" s="4">
        <f>COUNTIFS('セミナー一覧'!$M$2:$M$685,A9,'セミナー一覧'!$P$2:$P$685,"&gt;0")</f>
        <v/>
      </c>
      <c r="E9" s="5">
        <f>SUMIFS('セミナー一覧'!$P$2:$P$685,'セミナー一覧'!$M$2:$M$685,A9,'セミナー一覧'!$Q$2:$Q$685,"&lt;&gt;定員",'セミナー一覧'!$Q$2:$Q$685,"&lt;&gt;予定来場者数")</f>
        <v/>
      </c>
      <c r="F9" s="4">
        <f>COUNTIFS('セミナー一覧'!$M$2:$M$685,A9,'セミナー一覧'!$D$2:$D$685,"7月")</f>
        <v/>
      </c>
      <c r="G9" s="4">
        <f>COUNTIFS('セミナー一覧'!$M$2:$M$685,A9,'セミナー一覧'!$D$2:$D$685,"8月")</f>
        <v/>
      </c>
      <c r="H9" s="4">
        <f>COUNTIFS('セミナー一覧'!$M$2:$M$685,A9,'セミナー一覧'!$D$2:$D$685,"9月")</f>
        <v/>
      </c>
    </row>
    <row r="10">
      <c r="A10" s="4" t="inlineStr">
        <is>
          <t>技術・AI全般</t>
        </is>
      </c>
      <c r="B10" s="4">
        <f>COUNTIF('セミナー一覧'!$M$2:$M$685,A10)</f>
        <v/>
      </c>
      <c r="C10" s="5">
        <f>SUMIFS('セミナー一覧'!$E$2:$E$685,'セミナー一覧'!$M$2:$M$685,A10)</f>
        <v/>
      </c>
      <c r="D10" s="4">
        <f>COUNTIFS('セミナー一覧'!$M$2:$M$685,A10,'セミナー一覧'!$P$2:$P$685,"&gt;0")</f>
        <v/>
      </c>
      <c r="E10" s="5">
        <f>SUMIFS('セミナー一覧'!$P$2:$P$685,'セミナー一覧'!$M$2:$M$685,A10,'セミナー一覧'!$Q$2:$Q$685,"&lt;&gt;定員",'セミナー一覧'!$Q$2:$Q$685,"&lt;&gt;予定来場者数")</f>
        <v/>
      </c>
      <c r="F10" s="4">
        <f>COUNTIFS('セミナー一覧'!$M$2:$M$685,A10,'セミナー一覧'!$D$2:$D$685,"7月")</f>
        <v/>
      </c>
      <c r="G10" s="4">
        <f>COUNTIFS('セミナー一覧'!$M$2:$M$685,A10,'セミナー一覧'!$D$2:$D$685,"8月")</f>
        <v/>
      </c>
      <c r="H10" s="4">
        <f>COUNTIFS('セミナー一覧'!$M$2:$M$685,A10,'セミナー一覧'!$D$2:$D$685,"9月")</f>
        <v/>
      </c>
    </row>
    <row r="11">
      <c r="A11" s="6" t="inlineStr">
        <is>
          <t>合計</t>
        </is>
      </c>
      <c r="B11" s="6">
        <f>SUM(B5:B10)</f>
        <v/>
      </c>
      <c r="C11" s="7">
        <f>SUM(C5:C10)</f>
        <v/>
      </c>
      <c r="D11" s="6">
        <f>SUM(D5:D10)</f>
        <v/>
      </c>
      <c r="E11" s="7">
        <f>SUM(E5:E10)</f>
        <v/>
      </c>
      <c r="F11" s="6">
        <f>SUM(F5:F10)</f>
        <v/>
      </c>
      <c r="G11" s="6">
        <f>SUM(G5:G10)</f>
        <v/>
      </c>
      <c r="H11" s="6">
        <f>SUM(H5:H10)</f>
        <v/>
      </c>
    </row>
    <row r="13">
      <c r="A13" s="3" t="inlineStr">
        <is>
          <t>掲載プラットフォーム</t>
        </is>
      </c>
      <c r="B13" s="3" t="inlineStr">
        <is>
          <t>件数</t>
        </is>
      </c>
      <c r="C13" s="3" t="inlineStr">
        <is>
          <t>開催回数計</t>
        </is>
      </c>
      <c r="D13" s="3" t="inlineStr">
        <is>
          <t>集客数判明</t>
        </is>
      </c>
      <c r="E13" s="3" t="inlineStr">
        <is>
          <t>参加・申込・来場の合計</t>
        </is>
      </c>
      <c r="F13" s="3" t="inlineStr">
        <is>
          <t>7月</t>
        </is>
      </c>
      <c r="G13" s="3" t="inlineStr">
        <is>
          <t>8月</t>
        </is>
      </c>
      <c r="H13" s="3" t="inlineStr">
        <is>
          <t>9月</t>
        </is>
      </c>
    </row>
    <row r="14">
      <c r="A14" s="4" t="inlineStr">
        <is>
          <t>connpass</t>
        </is>
      </c>
      <c r="B14" s="4">
        <f>COUNTIF('セミナー一覧'!$J$2:$J$685,A14)</f>
        <v/>
      </c>
      <c r="C14" s="5">
        <f>SUMIFS('セミナー一覧'!$E$2:$E$685,'セミナー一覧'!$J$2:$J$685,A14)</f>
        <v/>
      </c>
      <c r="D14" s="4">
        <f>COUNTIFS('セミナー一覧'!$J$2:$J$685,A14,'セミナー一覧'!$P$2:$P$685,"&gt;0")</f>
        <v/>
      </c>
      <c r="E14" s="5">
        <f>SUMIFS('セミナー一覧'!$P$2:$P$685,'セミナー一覧'!$J$2:$J$685,A14,'セミナー一覧'!$Q$2:$Q$685,"&lt;&gt;定員",'セミナー一覧'!$Q$2:$Q$685,"&lt;&gt;予定来場者数")</f>
        <v/>
      </c>
      <c r="F14" s="4">
        <f>COUNTIFS('セミナー一覧'!$J$2:$J$685,A14,'セミナー一覧'!$D$2:$D$685,"7月")</f>
        <v/>
      </c>
      <c r="G14" s="4">
        <f>COUNTIFS('セミナー一覧'!$J$2:$J$685,A14,'セミナー一覧'!$D$2:$D$685,"8月")</f>
        <v/>
      </c>
      <c r="H14" s="4">
        <f>COUNTIFS('セミナー一覧'!$J$2:$J$685,A14,'セミナー一覧'!$D$2:$D$685,"9月")</f>
        <v/>
      </c>
    </row>
    <row r="15">
      <c r="A15" s="4" t="inlineStr">
        <is>
          <t>TECH PLAY</t>
        </is>
      </c>
      <c r="B15" s="4">
        <f>COUNTIF('セミナー一覧'!$J$2:$J$685,A15)</f>
        <v/>
      </c>
      <c r="C15" s="5">
        <f>SUMIFS('セミナー一覧'!$E$2:$E$685,'セミナー一覧'!$J$2:$J$685,A15)</f>
        <v/>
      </c>
      <c r="D15" s="4">
        <f>COUNTIFS('セミナー一覧'!$J$2:$J$685,A15,'セミナー一覧'!$P$2:$P$685,"&gt;0")</f>
        <v/>
      </c>
      <c r="E15" s="5">
        <f>SUMIFS('セミナー一覧'!$P$2:$P$685,'セミナー一覧'!$J$2:$J$685,A15,'セミナー一覧'!$Q$2:$Q$685,"&lt;&gt;定員",'セミナー一覧'!$Q$2:$Q$685,"&lt;&gt;予定来場者数")</f>
        <v/>
      </c>
      <c r="F15" s="4">
        <f>COUNTIFS('セミナー一覧'!$J$2:$J$685,A15,'セミナー一覧'!$D$2:$D$685,"7月")</f>
        <v/>
      </c>
      <c r="G15" s="4">
        <f>COUNTIFS('セミナー一覧'!$J$2:$J$685,A15,'セミナー一覧'!$D$2:$D$685,"8月")</f>
        <v/>
      </c>
      <c r="H15" s="4">
        <f>COUNTIFS('セミナー一覧'!$J$2:$J$685,A15,'セミナー一覧'!$D$2:$D$685,"9月")</f>
        <v/>
      </c>
    </row>
    <row r="16">
      <c r="A16" s="4" t="inlineStr">
        <is>
          <t>こくちーずプロ</t>
        </is>
      </c>
      <c r="B16" s="4">
        <f>COUNTIF('セミナー一覧'!$J$2:$J$685,A16)</f>
        <v/>
      </c>
      <c r="C16" s="5">
        <f>SUMIFS('セミナー一覧'!$E$2:$E$685,'セミナー一覧'!$J$2:$J$685,A16)</f>
        <v/>
      </c>
      <c r="D16" s="4">
        <f>COUNTIFS('セミナー一覧'!$J$2:$J$685,A16,'セミナー一覧'!$P$2:$P$685,"&gt;0")</f>
        <v/>
      </c>
      <c r="E16" s="5">
        <f>SUMIFS('セミナー一覧'!$P$2:$P$685,'セミナー一覧'!$J$2:$J$685,A16,'セミナー一覧'!$Q$2:$Q$685,"&lt;&gt;定員",'セミナー一覧'!$Q$2:$Q$685,"&lt;&gt;予定来場者数")</f>
        <v/>
      </c>
      <c r="F16" s="4">
        <f>COUNTIFS('セミナー一覧'!$J$2:$J$685,A16,'セミナー一覧'!$D$2:$D$685,"7月")</f>
        <v/>
      </c>
      <c r="G16" s="4">
        <f>COUNTIFS('セミナー一覧'!$J$2:$J$685,A16,'セミナー一覧'!$D$2:$D$685,"8月")</f>
        <v/>
      </c>
      <c r="H16" s="4">
        <f>COUNTIFS('セミナー一覧'!$J$2:$J$685,A16,'セミナー一覧'!$D$2:$D$685,"9月")</f>
        <v/>
      </c>
    </row>
    <row r="17">
      <c r="A17" s="4" t="inlineStr">
        <is>
          <t>Doorkeeper</t>
        </is>
      </c>
      <c r="B17" s="4">
        <f>COUNTIF('セミナー一覧'!$J$2:$J$685,A17)</f>
        <v/>
      </c>
      <c r="C17" s="5">
        <f>SUMIFS('セミナー一覧'!$E$2:$E$685,'セミナー一覧'!$J$2:$J$685,A17)</f>
        <v/>
      </c>
      <c r="D17" s="4">
        <f>COUNTIFS('セミナー一覧'!$J$2:$J$685,A17,'セミナー一覧'!$P$2:$P$685,"&gt;0")</f>
        <v/>
      </c>
      <c r="E17" s="5">
        <f>SUMIFS('セミナー一覧'!$P$2:$P$685,'セミナー一覧'!$J$2:$J$685,A17,'セミナー一覧'!$Q$2:$Q$685,"&lt;&gt;定員",'セミナー一覧'!$Q$2:$Q$685,"&lt;&gt;予定来場者数")</f>
        <v/>
      </c>
      <c r="F17" s="4">
        <f>COUNTIFS('セミナー一覧'!$J$2:$J$685,A17,'セミナー一覧'!$D$2:$D$685,"7月")</f>
        <v/>
      </c>
      <c r="G17" s="4">
        <f>COUNTIFS('セミナー一覧'!$J$2:$J$685,A17,'セミナー一覧'!$D$2:$D$685,"8月")</f>
        <v/>
      </c>
      <c r="H17" s="4">
        <f>COUNTIFS('セミナー一覧'!$J$2:$J$685,A17,'セミナー一覧'!$D$2:$D$685,"9月")</f>
        <v/>
      </c>
    </row>
    <row r="18">
      <c r="A18" s="4" t="inlineStr">
        <is>
          <t>個別調査（公式サイト・PR TIMES等）</t>
        </is>
      </c>
      <c r="B18" s="4">
        <f>COUNTIF('セミナー一覧'!$J$2:$J$685,A18)</f>
        <v/>
      </c>
      <c r="C18" s="5">
        <f>SUMIFS('セミナー一覧'!$E$2:$E$685,'セミナー一覧'!$J$2:$J$685,A18)</f>
        <v/>
      </c>
      <c r="D18" s="4">
        <f>COUNTIFS('セミナー一覧'!$J$2:$J$685,A18,'セミナー一覧'!$P$2:$P$685,"&gt;0")</f>
        <v/>
      </c>
      <c r="E18" s="5">
        <f>SUMIFS('セミナー一覧'!$P$2:$P$685,'セミナー一覧'!$J$2:$J$685,A18,'セミナー一覧'!$Q$2:$Q$685,"&lt;&gt;定員",'セミナー一覧'!$Q$2:$Q$685,"&lt;&gt;予定来場者数")</f>
        <v/>
      </c>
      <c r="F18" s="4">
        <f>COUNTIFS('セミナー一覧'!$J$2:$J$685,A18,'セミナー一覧'!$D$2:$D$685,"7月")</f>
        <v/>
      </c>
      <c r="G18" s="4">
        <f>COUNTIFS('セミナー一覧'!$J$2:$J$685,A18,'セミナー一覧'!$D$2:$D$685,"8月")</f>
        <v/>
      </c>
      <c r="H18" s="4">
        <f>COUNTIFS('セミナー一覧'!$J$2:$J$685,A18,'セミナー一覧'!$D$2:$D$685,"9月")</f>
        <v/>
      </c>
    </row>
    <row r="19">
      <c r="A19" s="4" t="inlineStr">
        <is>
          <t>PR TIMES</t>
        </is>
      </c>
      <c r="B19" s="4">
        <f>COUNTIF('セミナー一覧'!$J$2:$J$685,A19)</f>
        <v/>
      </c>
      <c r="C19" s="5">
        <f>SUMIFS('セミナー一覧'!$E$2:$E$685,'セミナー一覧'!$J$2:$J$685,A19)</f>
        <v/>
      </c>
      <c r="D19" s="4">
        <f>COUNTIFS('セミナー一覧'!$J$2:$J$685,A19,'セミナー一覧'!$P$2:$P$685,"&gt;0")</f>
        <v/>
      </c>
      <c r="E19" s="5">
        <f>SUMIFS('セミナー一覧'!$P$2:$P$685,'セミナー一覧'!$J$2:$J$685,A19,'セミナー一覧'!$Q$2:$Q$685,"&lt;&gt;定員",'セミナー一覧'!$Q$2:$Q$685,"&lt;&gt;予定来場者数")</f>
        <v/>
      </c>
      <c r="F19" s="4">
        <f>COUNTIFS('セミナー一覧'!$J$2:$J$685,A19,'セミナー一覧'!$D$2:$D$685,"7月")</f>
        <v/>
      </c>
      <c r="G19" s="4">
        <f>COUNTIFS('セミナー一覧'!$J$2:$J$685,A19,'セミナー一覧'!$D$2:$D$685,"8月")</f>
        <v/>
      </c>
      <c r="H19" s="4">
        <f>COUNTIFS('セミナー一覧'!$J$2:$J$685,A19,'セミナー一覧'!$D$2:$D$685,"9月")</f>
        <v/>
      </c>
    </row>
    <row r="20">
      <c r="A20" s="4" t="inlineStr">
        <is>
          <t>ビジネス+IT</t>
        </is>
      </c>
      <c r="B20" s="4">
        <f>COUNTIF('セミナー一覧'!$J$2:$J$685,A20)</f>
        <v/>
      </c>
      <c r="C20" s="5">
        <f>SUMIFS('セミナー一覧'!$E$2:$E$685,'セミナー一覧'!$J$2:$J$685,A20)</f>
        <v/>
      </c>
      <c r="D20" s="4">
        <f>COUNTIFS('セミナー一覧'!$J$2:$J$685,A20,'セミナー一覧'!$P$2:$P$685,"&gt;0")</f>
        <v/>
      </c>
      <c r="E20" s="5">
        <f>SUMIFS('セミナー一覧'!$P$2:$P$685,'セミナー一覧'!$J$2:$J$685,A20,'セミナー一覧'!$Q$2:$Q$685,"&lt;&gt;定員",'セミナー一覧'!$Q$2:$Q$685,"&lt;&gt;予定来場者数")</f>
        <v/>
      </c>
      <c r="F20" s="4">
        <f>COUNTIFS('セミナー一覧'!$J$2:$J$685,A20,'セミナー一覧'!$D$2:$D$685,"7月")</f>
        <v/>
      </c>
      <c r="G20" s="4">
        <f>COUNTIFS('セミナー一覧'!$J$2:$J$685,A20,'セミナー一覧'!$D$2:$D$685,"8月")</f>
        <v/>
      </c>
      <c r="H20" s="4">
        <f>COUNTIFS('セミナー一覧'!$J$2:$J$685,A20,'セミナー一覧'!$D$2:$D$685,"9月")</f>
        <v/>
      </c>
    </row>
    <row r="21">
      <c r="A21" s="4" t="inlineStr">
        <is>
          <t>Peatix</t>
        </is>
      </c>
      <c r="B21" s="4">
        <f>COUNTIF('セミナー一覧'!$J$2:$J$685,A21)</f>
        <v/>
      </c>
      <c r="C21" s="5">
        <f>SUMIFS('セミナー一覧'!$E$2:$E$685,'セミナー一覧'!$J$2:$J$685,A21)</f>
        <v/>
      </c>
      <c r="D21" s="4">
        <f>COUNTIFS('セミナー一覧'!$J$2:$J$685,A21,'セミナー一覧'!$P$2:$P$685,"&gt;0")</f>
        <v/>
      </c>
      <c r="E21" s="5">
        <f>SUMIFS('セミナー一覧'!$P$2:$P$685,'セミナー一覧'!$J$2:$J$685,A21,'セミナー一覧'!$Q$2:$Q$685,"&lt;&gt;定員",'セミナー一覧'!$Q$2:$Q$685,"&lt;&gt;予定来場者数")</f>
        <v/>
      </c>
      <c r="F21" s="4">
        <f>COUNTIFS('セミナー一覧'!$J$2:$J$685,A21,'セミナー一覧'!$D$2:$D$685,"7月")</f>
        <v/>
      </c>
      <c r="G21" s="4">
        <f>COUNTIFS('セミナー一覧'!$J$2:$J$685,A21,'セミナー一覧'!$D$2:$D$685,"8月")</f>
        <v/>
      </c>
      <c r="H21" s="4">
        <f>COUNTIFS('セミナー一覧'!$J$2:$J$685,A21,'セミナー一覧'!$D$2:$D$685,"9月")</f>
        <v/>
      </c>
    </row>
    <row r="22">
      <c r="A22" s="4" t="inlineStr">
        <is>
          <t>ZDNET Japan イベント</t>
        </is>
      </c>
      <c r="B22" s="4">
        <f>COUNTIF('セミナー一覧'!$J$2:$J$685,A22)</f>
        <v/>
      </c>
      <c r="C22" s="5">
        <f>SUMIFS('セミナー一覧'!$E$2:$E$685,'セミナー一覧'!$J$2:$J$685,A22)</f>
        <v/>
      </c>
      <c r="D22" s="4">
        <f>COUNTIFS('セミナー一覧'!$J$2:$J$685,A22,'セミナー一覧'!$P$2:$P$685,"&gt;0")</f>
        <v/>
      </c>
      <c r="E22" s="5">
        <f>SUMIFS('セミナー一覧'!$P$2:$P$685,'セミナー一覧'!$J$2:$J$685,A22,'セミナー一覧'!$Q$2:$Q$685,"&lt;&gt;定員",'セミナー一覧'!$Q$2:$Q$685,"&lt;&gt;予定来場者数")</f>
        <v/>
      </c>
      <c r="F22" s="4">
        <f>COUNTIFS('セミナー一覧'!$J$2:$J$685,A22,'セミナー一覧'!$D$2:$D$685,"7月")</f>
        <v/>
      </c>
      <c r="G22" s="4">
        <f>COUNTIFS('セミナー一覧'!$J$2:$J$685,A22,'セミナー一覧'!$D$2:$D$685,"8月")</f>
        <v/>
      </c>
      <c r="H22" s="4">
        <f>COUNTIFS('セミナー一覧'!$J$2:$J$685,A22,'セミナー一覧'!$D$2:$D$685,"9月")</f>
        <v/>
      </c>
    </row>
    <row r="23">
      <c r="A23" s="4" t="inlineStr">
        <is>
          <t>マジセミ</t>
        </is>
      </c>
      <c r="B23" s="4">
        <f>COUNTIF('セミナー一覧'!$J$2:$J$685,A23)</f>
        <v/>
      </c>
      <c r="C23" s="5">
        <f>SUMIFS('セミナー一覧'!$E$2:$E$685,'セミナー一覧'!$J$2:$J$685,A23)</f>
        <v/>
      </c>
      <c r="D23" s="4">
        <f>COUNTIFS('セミナー一覧'!$J$2:$J$685,A23,'セミナー一覧'!$P$2:$P$685,"&gt;0")</f>
        <v/>
      </c>
      <c r="E23" s="5">
        <f>SUMIFS('セミナー一覧'!$P$2:$P$685,'セミナー一覧'!$J$2:$J$685,A23,'セミナー一覧'!$Q$2:$Q$685,"&lt;&gt;定員",'セミナー一覧'!$Q$2:$Q$685,"&lt;&gt;予定来場者数")</f>
        <v/>
      </c>
      <c r="F23" s="4">
        <f>COUNTIFS('セミナー一覧'!$J$2:$J$685,A23,'セミナー一覧'!$D$2:$D$685,"7月")</f>
        <v/>
      </c>
      <c r="G23" s="4">
        <f>COUNTIFS('セミナー一覧'!$J$2:$J$685,A23,'セミナー一覧'!$D$2:$D$685,"8月")</f>
        <v/>
      </c>
      <c r="H23" s="4">
        <f>COUNTIFS('セミナー一覧'!$J$2:$J$685,A23,'セミナー一覧'!$D$2:$D$685,"9月")</f>
        <v/>
      </c>
    </row>
    <row r="24">
      <c r="A24" s="4" t="inlineStr">
        <is>
          <t>セミナー情報.com</t>
        </is>
      </c>
      <c r="B24" s="4">
        <f>COUNTIF('セミナー一覧'!$J$2:$J$685,A24)</f>
        <v/>
      </c>
      <c r="C24" s="5">
        <f>SUMIFS('セミナー一覧'!$E$2:$E$685,'セミナー一覧'!$J$2:$J$685,A24)</f>
        <v/>
      </c>
      <c r="D24" s="4">
        <f>COUNTIFS('セミナー一覧'!$J$2:$J$685,A24,'セミナー一覧'!$P$2:$P$685,"&gt;0")</f>
        <v/>
      </c>
      <c r="E24" s="5">
        <f>SUMIFS('セミナー一覧'!$P$2:$P$685,'セミナー一覧'!$J$2:$J$685,A24,'セミナー一覧'!$Q$2:$Q$685,"&lt;&gt;定員",'セミナー一覧'!$Q$2:$Q$685,"&lt;&gt;予定来場者数")</f>
        <v/>
      </c>
      <c r="F24" s="4">
        <f>COUNTIFS('セミナー一覧'!$J$2:$J$685,A24,'セミナー一覧'!$D$2:$D$685,"7月")</f>
        <v/>
      </c>
      <c r="G24" s="4">
        <f>COUNTIFS('セミナー一覧'!$J$2:$J$685,A24,'セミナー一覧'!$D$2:$D$685,"8月")</f>
        <v/>
      </c>
      <c r="H24" s="4">
        <f>COUNTIFS('セミナー一覧'!$J$2:$J$685,A24,'セミナー一覧'!$D$2:$D$685,"9月")</f>
        <v/>
      </c>
    </row>
    <row r="25">
      <c r="A25" s="4" t="inlineStr">
        <is>
          <t>日経イベント</t>
        </is>
      </c>
      <c r="B25" s="4">
        <f>COUNTIF('セミナー一覧'!$J$2:$J$685,A25)</f>
        <v/>
      </c>
      <c r="C25" s="5">
        <f>SUMIFS('セミナー一覧'!$E$2:$E$685,'セミナー一覧'!$J$2:$J$685,A25)</f>
        <v/>
      </c>
      <c r="D25" s="4">
        <f>COUNTIFS('セミナー一覧'!$J$2:$J$685,A25,'セミナー一覧'!$P$2:$P$685,"&gt;0")</f>
        <v/>
      </c>
      <c r="E25" s="5">
        <f>SUMIFS('セミナー一覧'!$P$2:$P$685,'セミナー一覧'!$J$2:$J$685,A25,'セミナー一覧'!$Q$2:$Q$685,"&lt;&gt;定員",'セミナー一覧'!$Q$2:$Q$685,"&lt;&gt;予定来場者数")</f>
        <v/>
      </c>
      <c r="F25" s="4">
        <f>COUNTIFS('セミナー一覧'!$J$2:$J$685,A25,'セミナー一覧'!$D$2:$D$685,"7月")</f>
        <v/>
      </c>
      <c r="G25" s="4">
        <f>COUNTIFS('セミナー一覧'!$J$2:$J$685,A25,'セミナー一覧'!$D$2:$D$685,"8月")</f>
        <v/>
      </c>
      <c r="H25" s="4">
        <f>COUNTIFS('セミナー一覧'!$J$2:$J$685,A25,'セミナー一覧'!$D$2:$D$685,"9月")</f>
        <v/>
      </c>
    </row>
    <row r="26">
      <c r="A26" s="4" t="inlineStr">
        <is>
          <t>AIsmiley</t>
        </is>
      </c>
      <c r="B26" s="4">
        <f>COUNTIF('セミナー一覧'!$J$2:$J$685,A26)</f>
        <v/>
      </c>
      <c r="C26" s="5">
        <f>SUMIFS('セミナー一覧'!$E$2:$E$685,'セミナー一覧'!$J$2:$J$685,A26)</f>
        <v/>
      </c>
      <c r="D26" s="4">
        <f>COUNTIFS('セミナー一覧'!$J$2:$J$685,A26,'セミナー一覧'!$P$2:$P$685,"&gt;0")</f>
        <v/>
      </c>
      <c r="E26" s="5">
        <f>SUMIFS('セミナー一覧'!$P$2:$P$685,'セミナー一覧'!$J$2:$J$685,A26,'セミナー一覧'!$Q$2:$Q$685,"&lt;&gt;定員",'セミナー一覧'!$Q$2:$Q$685,"&lt;&gt;予定来場者数")</f>
        <v/>
      </c>
      <c r="F26" s="4">
        <f>COUNTIFS('セミナー一覧'!$J$2:$J$685,A26,'セミナー一覧'!$D$2:$D$685,"7月")</f>
        <v/>
      </c>
      <c r="G26" s="4">
        <f>COUNTIFS('セミナー一覧'!$J$2:$J$685,A26,'セミナー一覧'!$D$2:$D$685,"8月")</f>
        <v/>
      </c>
      <c r="H26" s="4">
        <f>COUNTIFS('セミナー一覧'!$J$2:$J$685,A26,'セミナー一覧'!$D$2:$D$685,"9月")</f>
        <v/>
      </c>
    </row>
    <row r="27">
      <c r="A27" s="4" t="inlineStr">
        <is>
          <t>EventRegist</t>
        </is>
      </c>
      <c r="B27" s="4">
        <f>COUNTIF('セミナー一覧'!$J$2:$J$685,A27)</f>
        <v/>
      </c>
      <c r="C27" s="5">
        <f>SUMIFS('セミナー一覧'!$E$2:$E$685,'セミナー一覧'!$J$2:$J$685,A27)</f>
        <v/>
      </c>
      <c r="D27" s="4">
        <f>COUNTIFS('セミナー一覧'!$J$2:$J$685,A27,'セミナー一覧'!$P$2:$P$685,"&gt;0")</f>
        <v/>
      </c>
      <c r="E27" s="5">
        <f>SUMIFS('セミナー一覧'!$P$2:$P$685,'セミナー一覧'!$J$2:$J$685,A27,'セミナー一覧'!$Q$2:$Q$685,"&lt;&gt;定員",'セミナー一覧'!$Q$2:$Q$685,"&lt;&gt;予定来場者数")</f>
        <v/>
      </c>
      <c r="F27" s="4">
        <f>COUNTIFS('セミナー一覧'!$J$2:$J$685,A27,'セミナー一覧'!$D$2:$D$685,"7月")</f>
        <v/>
      </c>
      <c r="G27" s="4">
        <f>COUNTIFS('セミナー一覧'!$J$2:$J$685,A27,'セミナー一覧'!$D$2:$D$685,"8月")</f>
        <v/>
      </c>
      <c r="H27" s="4">
        <f>COUNTIFS('セミナー一覧'!$J$2:$J$685,A27,'セミナー一覧'!$D$2:$D$685,"9月")</f>
        <v/>
      </c>
    </row>
    <row r="28">
      <c r="A28" s="4" t="inlineStr">
        <is>
          <t>Salesforce 公式</t>
        </is>
      </c>
      <c r="B28" s="4">
        <f>COUNTIF('セミナー一覧'!$J$2:$J$685,A28)</f>
        <v/>
      </c>
      <c r="C28" s="5">
        <f>SUMIFS('セミナー一覧'!$E$2:$E$685,'セミナー一覧'!$J$2:$J$685,A28)</f>
        <v/>
      </c>
      <c r="D28" s="4">
        <f>COUNTIFS('セミナー一覧'!$J$2:$J$685,A28,'セミナー一覧'!$P$2:$P$685,"&gt;0")</f>
        <v/>
      </c>
      <c r="E28" s="5">
        <f>SUMIFS('セミナー一覧'!$P$2:$P$685,'セミナー一覧'!$J$2:$J$685,A28,'セミナー一覧'!$Q$2:$Q$685,"&lt;&gt;定員",'セミナー一覧'!$Q$2:$Q$685,"&lt;&gt;予定来場者数")</f>
        <v/>
      </c>
      <c r="F28" s="4">
        <f>COUNTIFS('セミナー一覧'!$J$2:$J$685,A28,'セミナー一覧'!$D$2:$D$685,"7月")</f>
        <v/>
      </c>
      <c r="G28" s="4">
        <f>COUNTIFS('セミナー一覧'!$J$2:$J$685,A28,'セミナー一覧'!$D$2:$D$685,"8月")</f>
        <v/>
      </c>
      <c r="H28" s="4">
        <f>COUNTIFS('セミナー一覧'!$J$2:$J$685,A28,'セミナー一覧'!$D$2:$D$685,"9月")</f>
        <v/>
      </c>
    </row>
    <row r="29">
      <c r="A29" s="6" t="inlineStr">
        <is>
          <t>合計</t>
        </is>
      </c>
      <c r="B29" s="6">
        <f>SUM(B14:B28)</f>
        <v/>
      </c>
      <c r="C29" s="7">
        <f>SUM(C14:C28)</f>
        <v/>
      </c>
      <c r="D29" s="6">
        <f>SUM(D14:D28)</f>
        <v/>
      </c>
      <c r="E29" s="7">
        <f>SUM(E14:E28)</f>
        <v/>
      </c>
      <c r="F29" s="6">
        <f>SUM(F14:F28)</f>
        <v/>
      </c>
      <c r="G29" s="6">
        <f>SUM(G14:G28)</f>
        <v/>
      </c>
      <c r="H29" s="6">
        <f>SUM(H14:H28)</f>
        <v/>
      </c>
    </row>
    <row r="31">
      <c r="A31" s="3" t="inlineStr">
        <is>
          <t>関連度</t>
        </is>
      </c>
      <c r="B31" s="3" t="inlineStr">
        <is>
          <t>件数</t>
        </is>
      </c>
      <c r="C31" s="3" t="inlineStr">
        <is>
          <t>開催回数計</t>
        </is>
      </c>
      <c r="D31" s="3" t="inlineStr">
        <is>
          <t>集客数判明</t>
        </is>
      </c>
      <c r="E31" s="3" t="inlineStr">
        <is>
          <t>参加・申込・来場の合計</t>
        </is>
      </c>
      <c r="F31" s="3" t="inlineStr">
        <is>
          <t>7月</t>
        </is>
      </c>
      <c r="G31" s="3" t="inlineStr">
        <is>
          <t>8月</t>
        </is>
      </c>
      <c r="H31" s="3" t="inlineStr">
        <is>
          <t>9月</t>
        </is>
      </c>
    </row>
    <row r="32">
      <c r="A32" s="4" t="inlineStr">
        <is>
          <t>◎</t>
        </is>
      </c>
      <c r="B32" s="4">
        <f>COUNTIF('セミナー一覧'!$O$2:$O$685,A32)</f>
        <v/>
      </c>
      <c r="C32" s="5">
        <f>SUMIFS('セミナー一覧'!$E$2:$E$685,'セミナー一覧'!$O$2:$O$685,A32)</f>
        <v/>
      </c>
      <c r="D32" s="4">
        <f>COUNTIFS('セミナー一覧'!$O$2:$O$685,A32,'セミナー一覧'!$P$2:$P$685,"&gt;0")</f>
        <v/>
      </c>
      <c r="E32" s="5">
        <f>SUMIFS('セミナー一覧'!$P$2:$P$685,'セミナー一覧'!$O$2:$O$685,A32,'セミナー一覧'!$Q$2:$Q$685,"&lt;&gt;定員",'セミナー一覧'!$Q$2:$Q$685,"&lt;&gt;予定来場者数")</f>
        <v/>
      </c>
      <c r="F32" s="4">
        <f>COUNTIFS('セミナー一覧'!$O$2:$O$685,A32,'セミナー一覧'!$D$2:$D$685,"7月")</f>
        <v/>
      </c>
      <c r="G32" s="4">
        <f>COUNTIFS('セミナー一覧'!$O$2:$O$685,A32,'セミナー一覧'!$D$2:$D$685,"8月")</f>
        <v/>
      </c>
      <c r="H32" s="4">
        <f>COUNTIFS('セミナー一覧'!$O$2:$O$685,A32,'セミナー一覧'!$D$2:$D$685,"9月")</f>
        <v/>
      </c>
    </row>
    <row r="33">
      <c r="A33" s="4" t="inlineStr">
        <is>
          <t>○</t>
        </is>
      </c>
      <c r="B33" s="4">
        <f>COUNTIF('セミナー一覧'!$O$2:$O$685,A33)</f>
        <v/>
      </c>
      <c r="C33" s="5">
        <f>SUMIFS('セミナー一覧'!$E$2:$E$685,'セミナー一覧'!$O$2:$O$685,A33)</f>
        <v/>
      </c>
      <c r="D33" s="4">
        <f>COUNTIFS('セミナー一覧'!$O$2:$O$685,A33,'セミナー一覧'!$P$2:$P$685,"&gt;0")</f>
        <v/>
      </c>
      <c r="E33" s="5">
        <f>SUMIFS('セミナー一覧'!$P$2:$P$685,'セミナー一覧'!$O$2:$O$685,A33,'セミナー一覧'!$Q$2:$Q$685,"&lt;&gt;定員",'セミナー一覧'!$Q$2:$Q$685,"&lt;&gt;予定来場者数")</f>
        <v/>
      </c>
      <c r="F33" s="4">
        <f>COUNTIFS('セミナー一覧'!$O$2:$O$685,A33,'セミナー一覧'!$D$2:$D$685,"7月")</f>
        <v/>
      </c>
      <c r="G33" s="4">
        <f>COUNTIFS('セミナー一覧'!$O$2:$O$685,A33,'セミナー一覧'!$D$2:$D$685,"8月")</f>
        <v/>
      </c>
      <c r="H33" s="4">
        <f>COUNTIFS('セミナー一覧'!$O$2:$O$685,A33,'セミナー一覧'!$D$2:$D$685,"9月")</f>
        <v/>
      </c>
    </row>
    <row r="34">
      <c r="A34" s="4" t="inlineStr">
        <is>
          <t>△</t>
        </is>
      </c>
      <c r="B34" s="4">
        <f>COUNTIF('セミナー一覧'!$O$2:$O$685,A34)</f>
        <v/>
      </c>
      <c r="C34" s="5">
        <f>SUMIFS('セミナー一覧'!$E$2:$E$685,'セミナー一覧'!$O$2:$O$685,A34)</f>
        <v/>
      </c>
      <c r="D34" s="4">
        <f>COUNTIFS('セミナー一覧'!$O$2:$O$685,A34,'セミナー一覧'!$P$2:$P$685,"&gt;0")</f>
        <v/>
      </c>
      <c r="E34" s="5">
        <f>SUMIFS('セミナー一覧'!$P$2:$P$685,'セミナー一覧'!$O$2:$O$685,A34,'セミナー一覧'!$Q$2:$Q$685,"&lt;&gt;定員",'セミナー一覧'!$Q$2:$Q$685,"&lt;&gt;予定来場者数")</f>
        <v/>
      </c>
      <c r="F34" s="4">
        <f>COUNTIFS('セミナー一覧'!$O$2:$O$685,A34,'セミナー一覧'!$D$2:$D$685,"7月")</f>
        <v/>
      </c>
      <c r="G34" s="4">
        <f>COUNTIFS('セミナー一覧'!$O$2:$O$685,A34,'セミナー一覧'!$D$2:$D$685,"8月")</f>
        <v/>
      </c>
      <c r="H34" s="4">
        <f>COUNTIFS('セミナー一覧'!$O$2:$O$685,A34,'セミナー一覧'!$D$2:$D$685,"9月")</f>
        <v/>
      </c>
    </row>
    <row r="35">
      <c r="A35" s="6" t="inlineStr">
        <is>
          <t>合計</t>
        </is>
      </c>
      <c r="B35" s="6">
        <f>SUM(B32:B34)</f>
        <v/>
      </c>
      <c r="C35" s="7">
        <f>SUM(C32:C34)</f>
        <v/>
      </c>
      <c r="D35" s="6">
        <f>SUM(D32:D34)</f>
        <v/>
      </c>
      <c r="E35" s="7">
        <f>SUM(E32:E34)</f>
        <v/>
      </c>
      <c r="F35" s="6">
        <f>SUM(F32:F34)</f>
        <v/>
      </c>
      <c r="G35" s="6">
        <f>SUM(G32:G34)</f>
        <v/>
      </c>
      <c r="H35" s="6">
        <f>SUM(H32:H34)</f>
        <v/>
      </c>
    </row>
    <row r="37">
      <c r="A37" s="3" t="inlineStr">
        <is>
          <t>AIエージェント/MCP</t>
        </is>
      </c>
      <c r="B37" s="3" t="inlineStr">
        <is>
          <t>件数</t>
        </is>
      </c>
      <c r="C37" s="3" t="inlineStr">
        <is>
          <t>開催回数計</t>
        </is>
      </c>
      <c r="D37" s="3" t="inlineStr">
        <is>
          <t>集客数判明</t>
        </is>
      </c>
      <c r="E37" s="3" t="inlineStr">
        <is>
          <t>参加・申込・来場の合計</t>
        </is>
      </c>
      <c r="F37" s="3" t="inlineStr">
        <is>
          <t>7月</t>
        </is>
      </c>
      <c r="G37" s="3" t="inlineStr">
        <is>
          <t>8月</t>
        </is>
      </c>
      <c r="H37" s="3" t="inlineStr">
        <is>
          <t>9月</t>
        </is>
      </c>
    </row>
    <row r="38">
      <c r="A38" s="4" t="inlineStr">
        <is>
          <t>AIエージェント</t>
        </is>
      </c>
      <c r="B38" s="4">
        <f>COUNTIF('セミナー一覧'!$N$2:$N$685,A38)</f>
        <v/>
      </c>
      <c r="C38" s="5">
        <f>SUMIFS('セミナー一覧'!$E$2:$E$685,'セミナー一覧'!$N$2:$N$685,A38)</f>
        <v/>
      </c>
      <c r="D38" s="4">
        <f>COUNTIFS('セミナー一覧'!$N$2:$N$685,A38,'セミナー一覧'!$P$2:$P$685,"&gt;0")</f>
        <v/>
      </c>
      <c r="E38" s="5">
        <f>SUMIFS('セミナー一覧'!$P$2:$P$685,'セミナー一覧'!$N$2:$N$685,A38,'セミナー一覧'!$Q$2:$Q$685,"&lt;&gt;定員",'セミナー一覧'!$Q$2:$Q$685,"&lt;&gt;予定来場者数")</f>
        <v/>
      </c>
      <c r="F38" s="4">
        <f>COUNTIFS('セミナー一覧'!$N$2:$N$685,A38,'セミナー一覧'!$D$2:$D$685,"7月")</f>
        <v/>
      </c>
      <c r="G38" s="4">
        <f>COUNTIFS('セミナー一覧'!$N$2:$N$685,A38,'セミナー一覧'!$D$2:$D$685,"8月")</f>
        <v/>
      </c>
      <c r="H38" s="4">
        <f>COUNTIFS('セミナー一覧'!$N$2:$N$685,A38,'セミナー一覧'!$D$2:$D$685,"9月")</f>
        <v/>
      </c>
    </row>
    <row r="39">
      <c r="A39" s="4" t="inlineStr">
        <is>
          <t>AIエージェント（AX）</t>
        </is>
      </c>
      <c r="B39" s="4">
        <f>COUNTIF('セミナー一覧'!$N$2:$N$685,A39)</f>
        <v/>
      </c>
      <c r="C39" s="5">
        <f>SUMIFS('セミナー一覧'!$E$2:$E$685,'セミナー一覧'!$N$2:$N$685,A39)</f>
        <v/>
      </c>
      <c r="D39" s="4">
        <f>COUNTIFS('セミナー一覧'!$N$2:$N$685,A39,'セミナー一覧'!$P$2:$P$685,"&gt;0")</f>
        <v/>
      </c>
      <c r="E39" s="5">
        <f>SUMIFS('セミナー一覧'!$P$2:$P$685,'セミナー一覧'!$N$2:$N$685,A39,'セミナー一覧'!$Q$2:$Q$685,"&lt;&gt;定員",'セミナー一覧'!$Q$2:$Q$685,"&lt;&gt;予定来場者数")</f>
        <v/>
      </c>
      <c r="F39" s="4">
        <f>COUNTIFS('セミナー一覧'!$N$2:$N$685,A39,'セミナー一覧'!$D$2:$D$685,"7月")</f>
        <v/>
      </c>
      <c r="G39" s="4">
        <f>COUNTIFS('セミナー一覧'!$N$2:$N$685,A39,'セミナー一覧'!$D$2:$D$685,"8月")</f>
        <v/>
      </c>
      <c r="H39" s="4">
        <f>COUNTIFS('セミナー一覧'!$N$2:$N$685,A39,'セミナー一覧'!$D$2:$D$685,"9月")</f>
        <v/>
      </c>
    </row>
    <row r="40">
      <c r="A40" s="4" t="inlineStr">
        <is>
          <t>AIエージェント（一部セッション）</t>
        </is>
      </c>
      <c r="B40" s="4">
        <f>COUNTIF('セミナー一覧'!$N$2:$N$685,A40)</f>
        <v/>
      </c>
      <c r="C40" s="5">
        <f>SUMIFS('セミナー一覧'!$E$2:$E$685,'セミナー一覧'!$N$2:$N$685,A40)</f>
        <v/>
      </c>
      <c r="D40" s="4">
        <f>COUNTIFS('セミナー一覧'!$N$2:$N$685,A40,'セミナー一覧'!$P$2:$P$685,"&gt;0")</f>
        <v/>
      </c>
      <c r="E40" s="5">
        <f>SUMIFS('セミナー一覧'!$P$2:$P$685,'セミナー一覧'!$N$2:$N$685,A40,'セミナー一覧'!$Q$2:$Q$685,"&lt;&gt;定員",'セミナー一覧'!$Q$2:$Q$685,"&lt;&gt;予定来場者数")</f>
        <v/>
      </c>
      <c r="F40" s="4">
        <f>COUNTIFS('セミナー一覧'!$N$2:$N$685,A40,'セミナー一覧'!$D$2:$D$685,"7月")</f>
        <v/>
      </c>
      <c r="G40" s="4">
        <f>COUNTIFS('セミナー一覧'!$N$2:$N$685,A40,'セミナー一覧'!$D$2:$D$685,"8月")</f>
        <v/>
      </c>
      <c r="H40" s="4">
        <f>COUNTIFS('セミナー一覧'!$N$2:$N$685,A40,'セミナー一覧'!$D$2:$D$685,"9月")</f>
        <v/>
      </c>
    </row>
    <row r="41">
      <c r="A41" s="4" t="inlineStr">
        <is>
          <t>AIエージェント（扱いは小さい）</t>
        </is>
      </c>
      <c r="B41" s="4">
        <f>COUNTIF('セミナー一覧'!$N$2:$N$685,A41)</f>
        <v/>
      </c>
      <c r="C41" s="5">
        <f>SUMIFS('セミナー一覧'!$E$2:$E$685,'セミナー一覧'!$N$2:$N$685,A41)</f>
        <v/>
      </c>
      <c r="D41" s="4">
        <f>COUNTIFS('セミナー一覧'!$N$2:$N$685,A41,'セミナー一覧'!$P$2:$P$685,"&gt;0")</f>
        <v/>
      </c>
      <c r="E41" s="5">
        <f>SUMIFS('セミナー一覧'!$P$2:$P$685,'セミナー一覧'!$N$2:$N$685,A41,'セミナー一覧'!$Q$2:$Q$685,"&lt;&gt;定員",'セミナー一覧'!$Q$2:$Q$685,"&lt;&gt;予定来場者数")</f>
        <v/>
      </c>
      <c r="F41" s="4">
        <f>COUNTIFS('セミナー一覧'!$N$2:$N$685,A41,'セミナー一覧'!$D$2:$D$685,"7月")</f>
        <v/>
      </c>
      <c r="G41" s="4">
        <f>COUNTIFS('セミナー一覧'!$N$2:$N$685,A41,'セミナー一覧'!$D$2:$D$685,"8月")</f>
        <v/>
      </c>
      <c r="H41" s="4">
        <f>COUNTIFS('セミナー一覧'!$N$2:$N$685,A41,'セミナー一覧'!$D$2:$D$685,"9月")</f>
        <v/>
      </c>
    </row>
    <row r="42">
      <c r="A42" s="4" t="inlineStr">
        <is>
          <t>AIエージェント（生成AI中心）</t>
        </is>
      </c>
      <c r="B42" s="4">
        <f>COUNTIF('セミナー一覧'!$N$2:$N$685,A42)</f>
        <v/>
      </c>
      <c r="C42" s="5">
        <f>SUMIFS('セミナー一覧'!$E$2:$E$685,'セミナー一覧'!$N$2:$N$685,A42)</f>
        <v/>
      </c>
      <c r="D42" s="4">
        <f>COUNTIFS('セミナー一覧'!$N$2:$N$685,A42,'セミナー一覧'!$P$2:$P$685,"&gt;0")</f>
        <v/>
      </c>
      <c r="E42" s="5">
        <f>SUMIFS('セミナー一覧'!$P$2:$P$685,'セミナー一覧'!$N$2:$N$685,A42,'セミナー一覧'!$Q$2:$Q$685,"&lt;&gt;定員",'セミナー一覧'!$Q$2:$Q$685,"&lt;&gt;予定来場者数")</f>
        <v/>
      </c>
      <c r="F42" s="4">
        <f>COUNTIFS('セミナー一覧'!$N$2:$N$685,A42,'セミナー一覧'!$D$2:$D$685,"7月")</f>
        <v/>
      </c>
      <c r="G42" s="4">
        <f>COUNTIFS('セミナー一覧'!$N$2:$N$685,A42,'セミナー一覧'!$D$2:$D$685,"8月")</f>
        <v/>
      </c>
      <c r="H42" s="4">
        <f>COUNTIFS('セミナー一覧'!$N$2:$N$685,A42,'セミナー一覧'!$D$2:$D$685,"9月")</f>
        <v/>
      </c>
    </row>
    <row r="43">
      <c r="A43" s="4" t="inlineStr">
        <is>
          <t>AI営業自動化</t>
        </is>
      </c>
      <c r="B43" s="4">
        <f>COUNTIF('セミナー一覧'!$N$2:$N$685,A43)</f>
        <v/>
      </c>
      <c r="C43" s="5">
        <f>SUMIFS('セミナー一覧'!$E$2:$E$685,'セミナー一覧'!$N$2:$N$685,A43)</f>
        <v/>
      </c>
      <c r="D43" s="4">
        <f>COUNTIFS('セミナー一覧'!$N$2:$N$685,A43,'セミナー一覧'!$P$2:$P$685,"&gt;0")</f>
        <v/>
      </c>
      <c r="E43" s="5">
        <f>SUMIFS('セミナー一覧'!$P$2:$P$685,'セミナー一覧'!$N$2:$N$685,A43,'セミナー一覧'!$Q$2:$Q$685,"&lt;&gt;定員",'セミナー一覧'!$Q$2:$Q$685,"&lt;&gt;予定来場者数")</f>
        <v/>
      </c>
      <c r="F43" s="4">
        <f>COUNTIFS('セミナー一覧'!$N$2:$N$685,A43,'セミナー一覧'!$D$2:$D$685,"7月")</f>
        <v/>
      </c>
      <c r="G43" s="4">
        <f>COUNTIFS('セミナー一覧'!$N$2:$N$685,A43,'セミナー一覧'!$D$2:$D$685,"8月")</f>
        <v/>
      </c>
      <c r="H43" s="4">
        <f>COUNTIFS('セミナー一覧'!$N$2:$N$685,A43,'セミナー一覧'!$D$2:$D$685,"9月")</f>
        <v/>
      </c>
    </row>
    <row r="44">
      <c r="A44" s="4" t="inlineStr">
        <is>
          <t>MCP</t>
        </is>
      </c>
      <c r="B44" s="4">
        <f>COUNTIF('セミナー一覧'!$N$2:$N$685,A44)</f>
        <v/>
      </c>
      <c r="C44" s="5">
        <f>SUMIFS('セミナー一覧'!$E$2:$E$685,'セミナー一覧'!$N$2:$N$685,A44)</f>
        <v/>
      </c>
      <c r="D44" s="4">
        <f>COUNTIFS('セミナー一覧'!$N$2:$N$685,A44,'セミナー一覧'!$P$2:$P$685,"&gt;0")</f>
        <v/>
      </c>
      <c r="E44" s="5">
        <f>SUMIFS('セミナー一覧'!$P$2:$P$685,'セミナー一覧'!$N$2:$N$685,A44,'セミナー一覧'!$Q$2:$Q$685,"&lt;&gt;定員",'セミナー一覧'!$Q$2:$Q$685,"&lt;&gt;予定来場者数")</f>
        <v/>
      </c>
      <c r="F44" s="4">
        <f>COUNTIFS('セミナー一覧'!$N$2:$N$685,A44,'セミナー一覧'!$D$2:$D$685,"7月")</f>
        <v/>
      </c>
      <c r="G44" s="4">
        <f>COUNTIFS('セミナー一覧'!$N$2:$N$685,A44,'セミナー一覧'!$D$2:$D$685,"8月")</f>
        <v/>
      </c>
      <c r="H44" s="4">
        <f>COUNTIFS('セミナー一覧'!$N$2:$N$685,A44,'セミナー一覧'!$D$2:$D$685,"9月")</f>
        <v/>
      </c>
    </row>
    <row r="45">
      <c r="A45" s="4" t="inlineStr">
        <is>
          <t>両方</t>
        </is>
      </c>
      <c r="B45" s="4">
        <f>COUNTIF('セミナー一覧'!$N$2:$N$685,A45)</f>
        <v/>
      </c>
      <c r="C45" s="5">
        <f>SUMIFS('セミナー一覧'!$E$2:$E$685,'セミナー一覧'!$N$2:$N$685,A45)</f>
        <v/>
      </c>
      <c r="D45" s="4">
        <f>COUNTIFS('セミナー一覧'!$N$2:$N$685,A45,'セミナー一覧'!$P$2:$P$685,"&gt;0")</f>
        <v/>
      </c>
      <c r="E45" s="5">
        <f>SUMIFS('セミナー一覧'!$P$2:$P$685,'セミナー一覧'!$N$2:$N$685,A45,'セミナー一覧'!$Q$2:$Q$685,"&lt;&gt;定員",'セミナー一覧'!$Q$2:$Q$685,"&lt;&gt;予定来場者数")</f>
        <v/>
      </c>
      <c r="F45" s="4">
        <f>COUNTIFS('セミナー一覧'!$N$2:$N$685,A45,'セミナー一覧'!$D$2:$D$685,"7月")</f>
        <v/>
      </c>
      <c r="G45" s="4">
        <f>COUNTIFS('セミナー一覧'!$N$2:$N$685,A45,'セミナー一覧'!$D$2:$D$685,"8月")</f>
        <v/>
      </c>
      <c r="H45" s="4">
        <f>COUNTIFS('セミナー一覧'!$N$2:$N$685,A45,'セミナー一覧'!$D$2:$D$685,"9月")</f>
        <v/>
      </c>
    </row>
    <row r="46">
      <c r="A46" s="4" t="inlineStr">
        <is>
          <t>両方（MCPが中心）</t>
        </is>
      </c>
      <c r="B46" s="4">
        <f>COUNTIF('セミナー一覧'!$N$2:$N$685,A46)</f>
        <v/>
      </c>
      <c r="C46" s="5">
        <f>SUMIFS('セミナー一覧'!$E$2:$E$685,'セミナー一覧'!$N$2:$N$685,A46)</f>
        <v/>
      </c>
      <c r="D46" s="4">
        <f>COUNTIFS('セミナー一覧'!$N$2:$N$685,A46,'セミナー一覧'!$P$2:$P$685,"&gt;0")</f>
        <v/>
      </c>
      <c r="E46" s="5">
        <f>SUMIFS('セミナー一覧'!$P$2:$P$685,'セミナー一覧'!$N$2:$N$685,A46,'セミナー一覧'!$Q$2:$Q$685,"&lt;&gt;定員",'セミナー一覧'!$Q$2:$Q$685,"&lt;&gt;予定来場者数")</f>
        <v/>
      </c>
      <c r="F46" s="4">
        <f>COUNTIFS('セミナー一覧'!$N$2:$N$685,A46,'セミナー一覧'!$D$2:$D$685,"7月")</f>
        <v/>
      </c>
      <c r="G46" s="4">
        <f>COUNTIFS('セミナー一覧'!$N$2:$N$685,A46,'セミナー一覧'!$D$2:$D$685,"8月")</f>
        <v/>
      </c>
      <c r="H46" s="4">
        <f>COUNTIFS('セミナー一覧'!$N$2:$N$685,A46,'セミナー一覧'!$D$2:$D$685,"9月")</f>
        <v/>
      </c>
    </row>
    <row r="47">
      <c r="A47" s="4" t="inlineStr">
        <is>
          <t>両方（要確認）</t>
        </is>
      </c>
      <c r="B47" s="4">
        <f>COUNTIF('セミナー一覧'!$N$2:$N$685,A47)</f>
        <v/>
      </c>
      <c r="C47" s="5">
        <f>SUMIFS('セミナー一覧'!$E$2:$E$685,'セミナー一覧'!$N$2:$N$685,A47)</f>
        <v/>
      </c>
      <c r="D47" s="4">
        <f>COUNTIFS('セミナー一覧'!$N$2:$N$685,A47,'セミナー一覧'!$P$2:$P$685,"&gt;0")</f>
        <v/>
      </c>
      <c r="E47" s="5">
        <f>SUMIFS('セミナー一覧'!$P$2:$P$685,'セミナー一覧'!$N$2:$N$685,A47,'セミナー一覧'!$Q$2:$Q$685,"&lt;&gt;定員",'セミナー一覧'!$Q$2:$Q$685,"&lt;&gt;予定来場者数")</f>
        <v/>
      </c>
      <c r="F47" s="4">
        <f>COUNTIFS('セミナー一覧'!$N$2:$N$685,A47,'セミナー一覧'!$D$2:$D$685,"7月")</f>
        <v/>
      </c>
      <c r="G47" s="4">
        <f>COUNTIFS('セミナー一覧'!$N$2:$N$685,A47,'セミナー一覧'!$D$2:$D$685,"8月")</f>
        <v/>
      </c>
      <c r="H47" s="4">
        <f>COUNTIFS('セミナー一覧'!$N$2:$N$685,A47,'セミナー一覧'!$D$2:$D$685,"9月")</f>
        <v/>
      </c>
    </row>
    <row r="48">
      <c r="A48" s="6" t="inlineStr">
        <is>
          <t>合計</t>
        </is>
      </c>
      <c r="B48" s="6">
        <f>SUM(B38:B47)</f>
        <v/>
      </c>
      <c r="C48" s="7">
        <f>SUM(C38:C47)</f>
        <v/>
      </c>
      <c r="D48" s="6">
        <f>SUM(D38:D47)</f>
        <v/>
      </c>
      <c r="E48" s="7">
        <f>SUM(E38:E47)</f>
        <v/>
      </c>
      <c r="F48" s="6">
        <f>SUM(F38:F47)</f>
        <v/>
      </c>
      <c r="G48" s="6">
        <f>SUM(G38:G47)</f>
        <v/>
      </c>
      <c r="H48" s="6">
        <f>SUM(H38:H47)</f>
        <v/>
      </c>
    </row>
    <row r="50">
      <c r="A50" s="8" t="inlineStr">
        <is>
          <t>凡例・注意事項</t>
        </is>
      </c>
    </row>
    <row r="51" ht="32" customHeight="1">
      <c r="A51" s="9" t="inlineStr">
        <is>
          <t>・関連度: ◎＝タイトルにAIエージェント/MCP関連語があり、テーマが業務（生産性・営業・製造）に合うもの／○＝どちらか一方だけ合うもの／△＝本文にだけ関連語があり、テーマも技術寄りのもの。</t>
        </is>
      </c>
    </row>
    <row r="52" ht="32" customHeight="1">
      <c r="A52" s="9" t="inlineStr">
        <is>
          <t>・抽出方法: 個別確認＝公式サイトやPR TIMESで内容を確認したもの（第1版の55件）／タイトル一致・本文一致＝プラットフォーム巡回で、キーワードが見つかった箇所。</t>
        </is>
      </c>
    </row>
    <row r="53" ht="32" customHeight="1">
      <c r="A53" s="9" t="inlineStr">
        <is>
          <t>・集客数: connpass・Doorkeeper・こくちーず・TECH PLAYは、掲載ページの参加者数（申込数）を調査時点の表示値で入れています。0や少人数の表示は、外部フォームで申し込むイベントでよく見られます。企業ウェビナーの多くは非公開です。</t>
        </is>
      </c>
    </row>
    <row r="54" ht="32" customHeight="1">
      <c r="A54" s="9" t="inlineStr">
        <is>
          <t>・同じタイトル・同じ主催で複数回開かれたセミナーは1行にまとめ、「開催回数」「開催日一覧」に回数と日付を、集客数に全回の合計を入れています。</t>
        </is>
      </c>
    </row>
    <row r="55" ht="32" customHeight="1">
      <c r="A55" s="9" t="inlineStr">
        <is>
          <t>・「参加・申込・来場の合計」は、定員と予定値を除いた実数だけを足した値です。種別の違う数値を合計しているため、目安として見てください。</t>
        </is>
      </c>
    </row>
    <row r="56" ht="32" customHeight="1">
      <c r="A56" s="9" t="inlineStr">
        <is>
          <t>・Peatixは、この環境からの直接アクセスがCloudFrontに拒否される（403）ため、検索エンジン経由（site:peatix.com）で集めました。そのため網羅できていない可能性があります。</t>
        </is>
      </c>
    </row>
    <row r="57" ht="32" customHeight="1">
      <c r="A57" s="9" t="inlineStr">
        <is>
          <t>・MarkeZine / EnterpriseZine / BOXIL（403）、ITmedia・TechTarget（404）、bizplay（接続不可）、Zoom Events（401）、EventRegist（検索非公開）は、一覧を巡回できませんでした。</t>
        </is>
      </c>
    </row>
    <row r="58" ht="32" customHeight="1">
      <c r="A58" s="9" t="inlineStr">
        <is>
          <t>・自動抽出の行（タイトル一致・本文一致）は、テーマ分類をキーワードで機械的に判定しています。誤分類が含まれる可能性があります。</t>
        </is>
      </c>
    </row>
    <row r="59" ht="32" customHeight="1">
      <c r="A59" s="9" t="inlineStr">
        <is>
          <t>・AIエージェント/MCPの明記がない生成AIセミナー等は「参考」シートに分けています。</t>
        </is>
      </c>
    </row>
  </sheetData>
  <mergeCells count="9">
    <mergeCell ref="A56:H56"/>
    <mergeCell ref="A53:H53"/>
    <mergeCell ref="A55:H55"/>
    <mergeCell ref="A59:H59"/>
    <mergeCell ref="A57:H57"/>
    <mergeCell ref="A54:H54"/>
    <mergeCell ref="A51:H51"/>
    <mergeCell ref="A52:H52"/>
    <mergeCell ref="A58:H58"/>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39"/>
  <sheetViews>
    <sheetView workbookViewId="0">
      <pane xSplit="4" ySplit="8" topLeftCell="E9" activePane="bottomRight" state="frozen"/>
      <selection pane="topRight" activeCell="A1" sqref="A1"/>
      <selection pane="bottomLeft" activeCell="A1" sqref="A1"/>
      <selection pane="bottomRight" activeCell="A1" sqref="A1"/>
    </sheetView>
  </sheetViews>
  <sheetFormatPr baseColWidth="8" defaultRowHeight="15"/>
  <cols>
    <col width="5" customWidth="1" min="1" max="1"/>
    <col width="7" customWidth="1" min="2" max="2"/>
    <col width="17" customWidth="1" min="3" max="3"/>
    <col width="46" customWidth="1" min="4" max="4"/>
    <col width="20" customWidth="1" min="5" max="5"/>
    <col width="46" customWidth="1" min="6" max="6"/>
    <col width="34" customWidth="1" min="7" max="7"/>
    <col width="16" customWidth="1" min="8" max="8"/>
    <col width="6" customWidth="1" min="9" max="9"/>
    <col width="26" customWidth="1" min="10" max="10"/>
    <col width="22" customWidth="1" min="11" max="11"/>
    <col width="9" customWidth="1" min="12" max="12"/>
    <col width="9" customWidth="1" min="13" max="13"/>
    <col width="9" customWidth="1" min="14" max="14"/>
    <col width="16" customWidth="1" min="15" max="15"/>
    <col width="10" customWidth="1" min="16" max="16"/>
    <col width="10" customWidth="1" min="17" max="17"/>
    <col width="10" customWidth="1" min="18" max="18"/>
  </cols>
  <sheetData>
    <row r="1">
      <c r="A1" s="1" t="inlineStr">
        <is>
          <t>みえるクラウド®ログ｜セミナー企画案20本（市場調査にもとづく）</t>
        </is>
      </c>
    </row>
    <row r="2">
      <c r="A2" s="2" t="inlineStr">
        <is>
          <t>青字・黄色セル＝入力欄（仮置きの値。実績に合わせて書き換えてください）。想定参加者と想定デモ予約は数式で自動計算します。</t>
        </is>
      </c>
    </row>
    <row r="4">
      <c r="A4" s="8" t="inlineStr">
        <is>
          <t>前提条件</t>
        </is>
      </c>
    </row>
    <row r="5">
      <c r="A5" s="2" t="inlineStr">
        <is>
          <t>参加率（申込→当日参加）</t>
        </is>
      </c>
      <c r="B5" s="16" t="n">
        <v>0.5</v>
      </c>
      <c r="C5" s="17" t="inlineStr">
        <is>
          <t>仮置き。無料ウェビナーの一般的な水準として置いた値で、自社実績で上書きしてください</t>
        </is>
      </c>
    </row>
    <row r="6">
      <c r="A6" s="2" t="inlineStr">
        <is>
          <t>デモ予約率（参加→45分デモ予約）</t>
        </is>
      </c>
      <c r="B6" s="16" t="n">
        <v>0.08</v>
      </c>
      <c r="C6" s="17" t="inlineStr">
        <is>
          <t>仮置き。自社実績で上書きしてください</t>
        </is>
      </c>
    </row>
    <row r="8" ht="32" customHeight="1">
      <c r="A8" s="3" t="inlineStr">
        <is>
          <t>No</t>
        </is>
      </c>
      <c r="B8" s="3" t="inlineStr">
        <is>
          <t>優先度</t>
        </is>
      </c>
      <c r="C8" s="3" t="inlineStr">
        <is>
          <t>カテゴリ</t>
        </is>
      </c>
      <c r="D8" s="3" t="inlineStr">
        <is>
          <t>セミナータイトル案</t>
        </is>
      </c>
      <c r="E8" s="3" t="inlineStr">
        <is>
          <t>ターゲット</t>
        </is>
      </c>
      <c r="F8" s="3" t="inlineStr">
        <is>
          <t>市場の根拠（調査データ）</t>
        </is>
      </c>
      <c r="G8" s="3" t="inlineStr">
        <is>
          <t>みえるクラウドの訴求ポイント</t>
        </is>
      </c>
      <c r="H8" s="3" t="inlineStr">
        <is>
          <t>推奨形式</t>
        </is>
      </c>
      <c r="I8" s="3" t="inlineStr">
        <is>
          <t>尺</t>
        </is>
      </c>
      <c r="J8" s="3" t="inlineStr">
        <is>
          <t>推奨告知チャネル</t>
        </is>
      </c>
      <c r="K8" s="3" t="inlineStr">
        <is>
          <t>共催・登壇候補</t>
        </is>
      </c>
      <c r="L8" s="3" t="inlineStr">
        <is>
          <t>目標申込数</t>
        </is>
      </c>
      <c r="M8" s="3" t="inlineStr">
        <is>
          <t>想定参加者数</t>
        </is>
      </c>
      <c r="N8" s="3" t="inlineStr">
        <is>
          <t>想定デモ予約数</t>
        </is>
      </c>
      <c r="O8" s="3" t="inlineStr">
        <is>
          <t>CTA（導線）</t>
        </is>
      </c>
      <c r="P8" s="3" t="inlineStr">
        <is>
          <t>開催予定月</t>
        </is>
      </c>
      <c r="Q8" s="3" t="inlineStr">
        <is>
          <t>ステータス</t>
        </is>
      </c>
      <c r="R8" s="3" t="inlineStr">
        <is>
          <t>担当</t>
        </is>
      </c>
    </row>
    <row r="9">
      <c r="A9" s="12" t="n">
        <v>1</v>
      </c>
      <c r="B9" s="12" t="inlineStr">
        <is>
          <t>S</t>
        </is>
      </c>
      <c r="C9" s="10" t="inlineStr">
        <is>
          <t>A. 業務データ×MCP</t>
        </is>
      </c>
      <c r="D9" s="10" t="inlineStr">
        <is>
          <t>「今月のAさんの業務を教えて」とAIに聞くだけ｜PCログ×Claude(MCP)ライブ実演</t>
        </is>
      </c>
      <c r="E9" s="10" t="inlineStr">
        <is>
          <t>経営者・管理職（従業員50名以上）</t>
        </is>
      </c>
      <c r="F9" s="10" t="inlineStr">
        <is>
          <t>MCPセミナーは36件と少なく、大半が開発者向け。kintone・SalesforceのMCP回（136名）やSpeeda MCP（申込終了）の例から、業務データ×MCPの需要は確認できる</t>
        </is>
      </c>
      <c r="G9" s="10" t="inlineStr">
        <is>
          <t>日本初のPCログ×MCP連携。専門知識なしに「聞くだけ」で示唆が得られる</t>
        </is>
      </c>
      <c r="H9" s="10" t="inlineStr">
        <is>
          <t>オンライン（ライブデモ）</t>
        </is>
      </c>
      <c r="I9" s="12" t="inlineStr">
        <is>
          <t>45分</t>
        </is>
      </c>
      <c r="J9" s="10" t="inlineStr">
        <is>
          <t>connpass / TECH PLAY / Peatix / 自社メルマガ</t>
        </is>
      </c>
      <c r="K9" s="10" t="inlineStr">
        <is>
          <t>Claude関連コミュニティ</t>
        </is>
      </c>
      <c r="L9" s="18" t="n">
        <v>60</v>
      </c>
      <c r="M9" s="12">
        <f>ROUND(L9*$B$5,0)</f>
        <v/>
      </c>
      <c r="N9" s="19">
        <f>ROUND(M9*$B$6,1)</f>
        <v/>
      </c>
      <c r="O9" s="10" t="inlineStr">
        <is>
          <t>MCP活用プランのデモ予約</t>
        </is>
      </c>
      <c r="P9" s="20" t="n"/>
      <c r="Q9" s="20" t="inlineStr">
        <is>
          <t>未着手</t>
        </is>
      </c>
      <c r="R9" s="20" t="n"/>
    </row>
    <row r="10">
      <c r="A10" s="12" t="n">
        <v>2</v>
      </c>
      <c r="B10" s="12" t="inlineStr">
        <is>
          <t>A</t>
        </is>
      </c>
      <c r="C10" s="10" t="inlineStr">
        <is>
          <t>A. 業務データ×MCP</t>
        </is>
      </c>
      <c r="D10" s="10" t="inlineStr">
        <is>
          <t>非エンジニア管理職のためのMCP入門｜社内データをAIにつなぐと何が変わるか</t>
        </is>
      </c>
      <c r="E10" s="10" t="inlineStr">
        <is>
          <t>管理職・DX担当</t>
        </is>
      </c>
      <c r="F10" s="10" t="inlineStr">
        <is>
          <t>非エンジニア向けは46件（集客中央値17名）。Claude系は154件と最大テーマ</t>
        </is>
      </c>
      <c r="G10" s="10" t="inlineStr">
        <is>
          <t>MCPをPCログで具体的に体感できる</t>
        </is>
      </c>
      <c r="H10" s="10" t="inlineStr">
        <is>
          <t>オンライン</t>
        </is>
      </c>
      <c r="I10" s="12" t="inlineStr">
        <is>
          <t>60分</t>
        </is>
      </c>
      <c r="J10" s="10" t="inlineStr">
        <is>
          <t>connpass / TECH PLAY</t>
        </is>
      </c>
      <c r="K10" s="10" t="inlineStr">
        <is>
          <t>—</t>
        </is>
      </c>
      <c r="L10" s="18" t="n">
        <v>40</v>
      </c>
      <c r="M10" s="12">
        <f>ROUND(L10*$B$5,0)</f>
        <v/>
      </c>
      <c r="N10" s="19">
        <f>ROUND(M10*$B$6,1)</f>
        <v/>
      </c>
      <c r="O10" s="10" t="inlineStr">
        <is>
          <t>資料請求・デモ予約</t>
        </is>
      </c>
      <c r="P10" s="20" t="n"/>
      <c r="Q10" s="20" t="inlineStr">
        <is>
          <t>未着手</t>
        </is>
      </c>
      <c r="R10" s="20" t="n"/>
    </row>
    <row r="11">
      <c r="A11" s="12" t="n">
        <v>3</v>
      </c>
      <c r="B11" s="12" t="inlineStr">
        <is>
          <t>A</t>
        </is>
      </c>
      <c r="C11" s="10" t="inlineStr">
        <is>
          <t>A. 業務データ×MCP</t>
        </is>
      </c>
      <c r="D11" s="10" t="inlineStr">
        <is>
          <t>Claude Cowork×PCログで、業務報告・評価資料・工数レポートを自動作成するハンズオン</t>
        </is>
      </c>
      <c r="E11" s="10" t="inlineStr">
        <is>
          <t>管理職・人事</t>
        </is>
      </c>
      <c r="F11" s="10" t="inlineStr">
        <is>
          <t>ハンズオン・実演は84件。日報・業務報告は13件でほぼ空白</t>
        </is>
      </c>
      <c r="G11" s="10" t="inlineStr">
        <is>
          <t>業務報告や評価資料をAIが自動作成する（MCP活用プランの機能）</t>
        </is>
      </c>
      <c r="H11" s="10" t="inlineStr">
        <is>
          <t>会場（銀座）＋オンライン</t>
        </is>
      </c>
      <c r="I11" s="12" t="inlineStr">
        <is>
          <t>90分</t>
        </is>
      </c>
      <c r="J11" s="10" t="inlineStr">
        <is>
          <t>Peatix / connpass</t>
        </is>
      </c>
      <c r="K11" s="10" t="inlineStr">
        <is>
          <t>—</t>
        </is>
      </c>
      <c r="L11" s="18" t="n">
        <v>25</v>
      </c>
      <c r="M11" s="12">
        <f>ROUND(L11*$B$5,0)</f>
        <v/>
      </c>
      <c r="N11" s="19">
        <f>ROUND(M11*$B$6,1)</f>
        <v/>
      </c>
      <c r="O11" s="10" t="inlineStr">
        <is>
          <t>トライアル・デモ予約</t>
        </is>
      </c>
      <c r="P11" s="20" t="n"/>
      <c r="Q11" s="20" t="inlineStr">
        <is>
          <t>未着手</t>
        </is>
      </c>
      <c r="R11" s="20" t="n"/>
    </row>
    <row r="12">
      <c r="A12" s="12" t="n">
        <v>4</v>
      </c>
      <c r="B12" s="12" t="inlineStr">
        <is>
          <t>B</t>
        </is>
      </c>
      <c r="C12" s="10" t="inlineStr">
        <is>
          <t>A. 業務データ×MCP</t>
        </is>
      </c>
      <c r="D12" s="10" t="inlineStr">
        <is>
          <t>MCP連携で社内ツールを横断分析｜PCログ×カレンダー×チャットの合同ウェビナー</t>
        </is>
      </c>
      <c r="E12" s="10" t="inlineStr">
        <is>
          <t>情シス・DX推進</t>
        </is>
      </c>
      <c r="F12" s="10" t="inlineStr">
        <is>
          <t>データ連携・データ基盤は18件（平均52名）。SaaS横断のMCP回は集客が良い</t>
        </is>
      </c>
      <c r="G12" s="10" t="inlineStr">
        <is>
          <t>カレンダーやチャットと組み合わせた高精度な業務分析</t>
        </is>
      </c>
      <c r="H12" s="10" t="inlineStr">
        <is>
          <t>オンライン（共催）</t>
        </is>
      </c>
      <c r="I12" s="12" t="inlineStr">
        <is>
          <t>60分</t>
        </is>
      </c>
      <c r="J12" s="10" t="inlineStr">
        <is>
          <t>共催先の会員網 / マジセミ</t>
        </is>
      </c>
      <c r="K12" s="10" t="inlineStr">
        <is>
          <t>連携先SaaS（カレンダー・チャット等）</t>
        </is>
      </c>
      <c r="L12" s="18" t="n">
        <v>80</v>
      </c>
      <c r="M12" s="12">
        <f>ROUND(L12*$B$5,0)</f>
        <v/>
      </c>
      <c r="N12" s="19">
        <f>ROUND(M12*$B$6,1)</f>
        <v/>
      </c>
      <c r="O12" s="10" t="inlineStr">
        <is>
          <t>デモ予約</t>
        </is>
      </c>
      <c r="P12" s="20" t="n"/>
      <c r="Q12" s="20" t="inlineStr">
        <is>
          <t>未着手</t>
        </is>
      </c>
      <c r="R12" s="20" t="n"/>
    </row>
    <row r="13">
      <c r="A13" s="12" t="n">
        <v>5</v>
      </c>
      <c r="B13" s="12" t="inlineStr">
        <is>
          <t>S</t>
        </is>
      </c>
      <c r="C13" s="10" t="inlineStr">
        <is>
          <t>B. AIの定着・ガバナンス</t>
        </is>
      </c>
      <c r="D13" s="10" t="inlineStr">
        <is>
          <t>「AIを入れたのに使われない」を数字で見る｜社内のAI利用実態を可視化する方法</t>
        </is>
      </c>
      <c r="E13" s="10" t="inlineStr">
        <is>
          <t>経営者・DX推進</t>
        </is>
      </c>
      <c r="F13" s="10" t="inlineStr">
        <is>
          <t>定着・PoC止まりは28件で、課題として顕在化している。競合は「定着支援」の話が中心で、実態を計測する切り口は少ない</t>
        </is>
      </c>
      <c r="G13" s="10" t="inlineStr">
        <is>
          <t>「社内で誰がAIをよく使っているか」にAIが答える</t>
        </is>
      </c>
      <c r="H13" s="10" t="inlineStr">
        <is>
          <t>オンライン</t>
        </is>
      </c>
      <c r="I13" s="12" t="inlineStr">
        <is>
          <t>45分</t>
        </is>
      </c>
      <c r="J13" s="10" t="inlineStr">
        <is>
          <t>マジセミ / Doorkeeper / 自社メルマガ</t>
        </is>
      </c>
      <c r="K13" s="10" t="inlineStr">
        <is>
          <t>生成AI研修会社</t>
        </is>
      </c>
      <c r="L13" s="18" t="n">
        <v>50</v>
      </c>
      <c r="M13" s="12">
        <f>ROUND(L13*$B$5,0)</f>
        <v/>
      </c>
      <c r="N13" s="19">
        <f>ROUND(M13*$B$6,1)</f>
        <v/>
      </c>
      <c r="O13" s="10" t="inlineStr">
        <is>
          <t>デモ予約</t>
        </is>
      </c>
      <c r="P13" s="20" t="n"/>
      <c r="Q13" s="20" t="inlineStr">
        <is>
          <t>未着手</t>
        </is>
      </c>
      <c r="R13" s="20" t="n"/>
    </row>
    <row r="14">
      <c r="A14" s="12" t="n">
        <v>6</v>
      </c>
      <c r="B14" s="12" t="inlineStr">
        <is>
          <t>A</t>
        </is>
      </c>
      <c r="C14" s="10" t="inlineStr">
        <is>
          <t>B. AIの定着・ガバナンス</t>
        </is>
      </c>
      <c r="D14" s="10" t="inlineStr">
        <is>
          <t>シャドーAI対策の第一歩｜誰がどのAIツールを使っているかを把握する</t>
        </is>
      </c>
      <c r="E14" s="10" t="inlineStr">
        <is>
          <t>情シス・経営企画</t>
        </is>
      </c>
      <c r="F14" s="10" t="inlineStr">
        <is>
          <t>ガバナンス・セキュリティは40件（平均35名）と集客が安定している</t>
        </is>
      </c>
      <c r="G14" s="10" t="inlineStr">
        <is>
          <t>PCログでAIツールの利用状況を記録・把握できる</t>
        </is>
      </c>
      <c r="H14" s="10" t="inlineStr">
        <is>
          <t>オンライン</t>
        </is>
      </c>
      <c r="I14" s="12" t="inlineStr">
        <is>
          <t>45分</t>
        </is>
      </c>
      <c r="J14" s="10" t="inlineStr">
        <is>
          <t>マジセミ / ビジネス+IT</t>
        </is>
      </c>
      <c r="K14" s="10" t="inlineStr">
        <is>
          <t>セキュリティベンダー</t>
        </is>
      </c>
      <c r="L14" s="18" t="n">
        <v>50</v>
      </c>
      <c r="M14" s="12">
        <f>ROUND(L14*$B$5,0)</f>
        <v/>
      </c>
      <c r="N14" s="19">
        <f>ROUND(M14*$B$6,1)</f>
        <v/>
      </c>
      <c r="O14" s="10" t="inlineStr">
        <is>
          <t>資料請求</t>
        </is>
      </c>
      <c r="P14" s="20" t="n"/>
      <c r="Q14" s="20" t="inlineStr">
        <is>
          <t>未着手</t>
        </is>
      </c>
      <c r="R14" s="20" t="n"/>
    </row>
    <row r="15">
      <c r="A15" s="12" t="n">
        <v>7</v>
      </c>
      <c r="B15" s="12" t="inlineStr">
        <is>
          <t>B</t>
        </is>
      </c>
      <c r="C15" s="10" t="inlineStr">
        <is>
          <t>B. AIの定着・ガバナンス</t>
        </is>
      </c>
      <c r="D15" s="10" t="inlineStr">
        <is>
          <t>AIエージェント時代の情報漏洩対策｜操作ログ・USB・印刷履歴で守る</t>
        </is>
      </c>
      <c r="E15" s="10" t="inlineStr">
        <is>
          <t>情シス・総務</t>
        </is>
      </c>
      <c r="F15" s="10" t="inlineStr">
        <is>
          <t>AIエージェントのセキュリティは、企業ウェビナーの定番テーマ</t>
        </is>
      </c>
      <c r="G15" s="10" t="inlineStr">
        <is>
          <t>「いつ・どこで・誰が」を記録。USBや印刷の履歴も残る</t>
        </is>
      </c>
      <c r="H15" s="10" t="inlineStr">
        <is>
          <t>オンライン</t>
        </is>
      </c>
      <c r="I15" s="12" t="inlineStr">
        <is>
          <t>45分</t>
        </is>
      </c>
      <c r="J15" s="10" t="inlineStr">
        <is>
          <t>マジセミ / Doorkeeper</t>
        </is>
      </c>
      <c r="K15" s="10" t="inlineStr">
        <is>
          <t>—</t>
        </is>
      </c>
      <c r="L15" s="18" t="n">
        <v>40</v>
      </c>
      <c r="M15" s="12">
        <f>ROUND(L15*$B$5,0)</f>
        <v/>
      </c>
      <c r="N15" s="19">
        <f>ROUND(M15*$B$6,1)</f>
        <v/>
      </c>
      <c r="O15" s="10" t="inlineStr">
        <is>
          <t>資料請求</t>
        </is>
      </c>
      <c r="P15" s="20" t="n"/>
      <c r="Q15" s="20" t="inlineStr">
        <is>
          <t>未着手</t>
        </is>
      </c>
      <c r="R15" s="20" t="n"/>
    </row>
    <row r="16">
      <c r="A16" s="12" t="n">
        <v>8</v>
      </c>
      <c r="B16" s="12" t="inlineStr">
        <is>
          <t>A</t>
        </is>
      </c>
      <c r="C16" s="10" t="inlineStr">
        <is>
          <t>B. AIの定着・ガバナンス</t>
        </is>
      </c>
      <c r="D16" s="10" t="inlineStr">
        <is>
          <t>生成AI投資のROIを測る｜導入前後の工数をPCログで比較する</t>
        </is>
      </c>
      <c r="E16" s="10" t="inlineStr">
        <is>
          <t>経営者・経営企画</t>
        </is>
      </c>
      <c r="F16" s="10" t="inlineStr">
        <is>
          <t>工数・可視化は14件で空白。PoC止まりの層は効果測定の方法を求めている</t>
        </is>
      </c>
      <c r="G16" s="10" t="inlineStr">
        <is>
          <t>プロジェクトごとの工数とボトルネックをAIが分析する</t>
        </is>
      </c>
      <c r="H16" s="10" t="inlineStr">
        <is>
          <t>オンライン</t>
        </is>
      </c>
      <c r="I16" s="12" t="inlineStr">
        <is>
          <t>45分</t>
        </is>
      </c>
      <c r="J16" s="10" t="inlineStr">
        <is>
          <t>ビジネス+IT / 自社メルマガ</t>
        </is>
      </c>
      <c r="K16" s="10" t="inlineStr">
        <is>
          <t>—</t>
        </is>
      </c>
      <c r="L16" s="18" t="n">
        <v>40</v>
      </c>
      <c r="M16" s="12">
        <f>ROUND(L16*$B$5,0)</f>
        <v/>
      </c>
      <c r="N16" s="19">
        <f>ROUND(M16*$B$6,1)</f>
        <v/>
      </c>
      <c r="O16" s="10" t="inlineStr">
        <is>
          <t>デモ予約</t>
        </is>
      </c>
      <c r="P16" s="20" t="n"/>
      <c r="Q16" s="20" t="inlineStr">
        <is>
          <t>未着手</t>
        </is>
      </c>
      <c r="R16" s="20" t="n"/>
    </row>
    <row r="17">
      <c r="A17" s="12" t="n">
        <v>9</v>
      </c>
      <c r="B17" s="12" t="inlineStr">
        <is>
          <t>A</t>
        </is>
      </c>
      <c r="C17" s="10" t="inlineStr">
        <is>
          <t>C. 人事評価・健康経営</t>
        </is>
      </c>
      <c r="D17" s="10" t="inlineStr">
        <is>
          <t>MVVに照らしてAIが評価の下書きを作る｜データに基づく人事評価の実演</t>
        </is>
      </c>
      <c r="E17" s="10" t="inlineStr">
        <is>
          <t>人事・経営者</t>
        </is>
      </c>
      <c r="F17" s="10" t="inlineStr">
        <is>
          <t>評価・人事は33件。MVVとデータを組み合わせたAI評価の切り口は見当たらない</t>
        </is>
      </c>
      <c r="G17" s="10" t="inlineStr">
        <is>
          <t>「MVVに照らしたB氏の業務評価」を実演する</t>
        </is>
      </c>
      <c r="H17" s="10" t="inlineStr">
        <is>
          <t>オンライン（ライブデモ）</t>
        </is>
      </c>
      <c r="I17" s="12" t="inlineStr">
        <is>
          <t>45分</t>
        </is>
      </c>
      <c r="J17" s="10" t="inlineStr">
        <is>
          <t>Peatix / HR系メディア</t>
        </is>
      </c>
      <c r="K17" s="10" t="inlineStr">
        <is>
          <t>人事コンサル・HR団体</t>
        </is>
      </c>
      <c r="L17" s="18" t="n">
        <v>50</v>
      </c>
      <c r="M17" s="12">
        <f>ROUND(L17*$B$5,0)</f>
        <v/>
      </c>
      <c r="N17" s="19">
        <f>ROUND(M17*$B$6,1)</f>
        <v/>
      </c>
      <c r="O17" s="10" t="inlineStr">
        <is>
          <t>デモ予約</t>
        </is>
      </c>
      <c r="P17" s="20" t="n"/>
      <c r="Q17" s="20" t="inlineStr">
        <is>
          <t>未着手</t>
        </is>
      </c>
      <c r="R17" s="20" t="n"/>
    </row>
    <row r="18">
      <c r="A18" s="12" t="n">
        <v>10</v>
      </c>
      <c r="B18" s="12" t="inlineStr">
        <is>
          <t>B</t>
        </is>
      </c>
      <c r="C18" s="10" t="inlineStr">
        <is>
          <t>C. 人事評価・健康経営</t>
        </is>
      </c>
      <c r="D18" s="10" t="inlineStr">
        <is>
          <t>「隠れた貢献」を見落とさない｜リモート時代の公正な評価とフィードバック</t>
        </is>
      </c>
      <c r="E18" s="10" t="inlineStr">
        <is>
          <t>管理職・人事</t>
        </is>
      </c>
      <c r="F18" s="10" t="inlineStr">
        <is>
          <t>リモートでの評価を扱うAIセミナーは今回の調査で0件</t>
        </is>
      </c>
      <c r="G18" s="10" t="inlineStr">
        <is>
          <t>頑張りを定量データで可視化する</t>
        </is>
      </c>
      <c r="H18" s="10" t="inlineStr">
        <is>
          <t>オンライン</t>
        </is>
      </c>
      <c r="I18" s="12" t="inlineStr">
        <is>
          <t>45分</t>
        </is>
      </c>
      <c r="J18" s="10" t="inlineStr">
        <is>
          <t>Peatix / 自社メルマガ</t>
        </is>
      </c>
      <c r="K18" s="10" t="inlineStr">
        <is>
          <t>—</t>
        </is>
      </c>
      <c r="L18" s="18" t="n">
        <v>30</v>
      </c>
      <c r="M18" s="12">
        <f>ROUND(L18*$B$5,0)</f>
        <v/>
      </c>
      <c r="N18" s="19">
        <f>ROUND(M18*$B$6,1)</f>
        <v/>
      </c>
      <c r="O18" s="10" t="inlineStr">
        <is>
          <t>資料請求</t>
        </is>
      </c>
      <c r="P18" s="20" t="n"/>
      <c r="Q18" s="20" t="inlineStr">
        <is>
          <t>未着手</t>
        </is>
      </c>
      <c r="R18" s="20" t="n"/>
    </row>
    <row r="19">
      <c r="A19" s="12" t="n">
        <v>11</v>
      </c>
      <c r="B19" s="12" t="inlineStr">
        <is>
          <t>S</t>
        </is>
      </c>
      <c r="C19" s="10" t="inlineStr">
        <is>
          <t>C. 人事評価・健康経営</t>
        </is>
      </c>
      <c r="D19" s="10" t="inlineStr">
        <is>
          <t>健康経営×AI｜深夜・休日の稼働傾向からフォローすべきメンバーを見つける</t>
        </is>
      </c>
      <c r="E19" s="10" t="inlineStr">
        <is>
          <t>人事・総務・健康経営担当</t>
        </is>
      </c>
      <c r="F19" s="10" t="inlineStr">
        <is>
          <t>健康経営・労務は14件でほぼ空白。AIを絡めたものはさらに少ない</t>
        </is>
      </c>
      <c r="G19" s="10" t="inlineStr">
        <is>
          <t>AIが深夜稼働の傾向を検知し、フォローすべき人を教えてくれる</t>
        </is>
      </c>
      <c r="H19" s="10" t="inlineStr">
        <is>
          <t>オンライン</t>
        </is>
      </c>
      <c r="I19" s="12" t="inlineStr">
        <is>
          <t>45分</t>
        </is>
      </c>
      <c r="J19" s="10" t="inlineStr">
        <is>
          <t>健康経営関連団体 / Peatix</t>
        </is>
      </c>
      <c r="K19" s="10" t="inlineStr">
        <is>
          <t>健康経営支援企業・産業医サービス</t>
        </is>
      </c>
      <c r="L19" s="18" t="n">
        <v>50</v>
      </c>
      <c r="M19" s="12">
        <f>ROUND(L19*$B$5,0)</f>
        <v/>
      </c>
      <c r="N19" s="19">
        <f>ROUND(M19*$B$6,1)</f>
        <v/>
      </c>
      <c r="O19" s="10" t="inlineStr">
        <is>
          <t>デモ予約</t>
        </is>
      </c>
      <c r="P19" s="20" t="n"/>
      <c r="Q19" s="20" t="inlineStr">
        <is>
          <t>未着手</t>
        </is>
      </c>
      <c r="R19" s="20" t="n"/>
    </row>
    <row r="20">
      <c r="A20" s="12" t="n">
        <v>12</v>
      </c>
      <c r="B20" s="12" t="inlineStr">
        <is>
          <t>B</t>
        </is>
      </c>
      <c r="C20" s="10" t="inlineStr">
        <is>
          <t>C. 人事評価・健康経営</t>
        </is>
      </c>
      <c r="D20" s="10" t="inlineStr">
        <is>
          <t>社労士と考える労務リスク｜客観的な労働時間の記録とAI分析</t>
        </is>
      </c>
      <c r="E20" s="10" t="inlineStr">
        <is>
          <t>中小企業の経営者・総務</t>
        </is>
      </c>
      <c r="F20" s="10" t="inlineStr">
        <is>
          <t>労務×AIの供給は少ない。士業との共催は信頼を得やすい</t>
        </is>
      </c>
      <c r="G20" s="10" t="inlineStr">
        <is>
          <t>客観的な稼働記録を残し、長時間労働を未然に防ぐ</t>
        </is>
      </c>
      <c r="H20" s="10" t="inlineStr">
        <is>
          <t>オンライン</t>
        </is>
      </c>
      <c r="I20" s="12" t="inlineStr">
        <is>
          <t>60分</t>
        </is>
      </c>
      <c r="J20" s="10" t="inlineStr">
        <is>
          <t>グループ顧客網 / こくちーず</t>
        </is>
      </c>
      <c r="K20" s="10" t="inlineStr">
        <is>
          <t>セブンセンス社会保険労務士法人</t>
        </is>
      </c>
      <c r="L20" s="18" t="n">
        <v>40</v>
      </c>
      <c r="M20" s="12">
        <f>ROUND(L20*$B$5,0)</f>
        <v/>
      </c>
      <c r="N20" s="19">
        <f>ROUND(M20*$B$6,1)</f>
        <v/>
      </c>
      <c r="O20" s="10" t="inlineStr">
        <is>
          <t>資料請求</t>
        </is>
      </c>
      <c r="P20" s="20" t="n"/>
      <c r="Q20" s="20" t="inlineStr">
        <is>
          <t>未着手</t>
        </is>
      </c>
      <c r="R20" s="20" t="n"/>
    </row>
    <row r="21">
      <c r="A21" s="12" t="n">
        <v>13</v>
      </c>
      <c r="B21" s="12" t="inlineStr">
        <is>
          <t>S</t>
        </is>
      </c>
      <c r="C21" s="10" t="inlineStr">
        <is>
          <t>D. 士業向け</t>
        </is>
      </c>
      <c r="D21" s="10" t="inlineStr">
        <is>
          <t>税理士法改正とテレワーク｜業務記録の義務にPCログとAIで対応する</t>
        </is>
      </c>
      <c r="E21" s="10" t="inlineStr">
        <is>
          <t>税理士事務所</t>
        </is>
      </c>
      <c r="F21" s="10" t="inlineStr">
        <is>
          <t>士業×AIは8件と少ない。一方でfreee Advisor Dayの前年参加者は約2,000名で、需要は大きい</t>
        </is>
      </c>
      <c r="G21" s="10" t="inlineStr">
        <is>
          <t>税理業務の記録に対応。導入企業に税理士法人の事例がある</t>
        </is>
      </c>
      <c r="H21" s="10" t="inlineStr">
        <is>
          <t>オンライン＋会場（沼津・銀座）</t>
        </is>
      </c>
      <c r="I21" s="12" t="inlineStr">
        <is>
          <t>60分</t>
        </is>
      </c>
      <c r="J21" s="10" t="inlineStr">
        <is>
          <t>会計ソフト会社・税理士会の経路 / 自社顧客網</t>
        </is>
      </c>
      <c r="K21" s="10" t="inlineStr">
        <is>
          <t>セブンセンス税理士法人・会計ソフト会社</t>
        </is>
      </c>
      <c r="L21" s="18" t="n">
        <v>60</v>
      </c>
      <c r="M21" s="12">
        <f>ROUND(L21*$B$5,0)</f>
        <v/>
      </c>
      <c r="N21" s="19">
        <f>ROUND(M21*$B$6,1)</f>
        <v/>
      </c>
      <c r="O21" s="10" t="inlineStr">
        <is>
          <t>デモ予約</t>
        </is>
      </c>
      <c r="P21" s="20" t="n"/>
      <c r="Q21" s="20" t="inlineStr">
        <is>
          <t>未着手</t>
        </is>
      </c>
      <c r="R21" s="20" t="n"/>
    </row>
    <row r="22">
      <c r="A22" s="12" t="n">
        <v>14</v>
      </c>
      <c r="B22" s="12" t="inlineStr">
        <is>
          <t>A</t>
        </is>
      </c>
      <c r="C22" s="10" t="inlineStr">
        <is>
          <t>D. 士業向け</t>
        </is>
      </c>
      <c r="D22" s="10" t="inlineStr">
        <is>
          <t>会計事務所の生産性改革｜顧問先ごとの工数をAIに聞いて、報酬の見直しに活かす</t>
        </is>
      </c>
      <c r="E22" s="10" t="inlineStr">
        <is>
          <t>会計事務所の所長</t>
        </is>
      </c>
      <c r="F22" s="10" t="inlineStr">
        <is>
          <t>会計事務所ではAI活用の事例需要が高い</t>
        </is>
      </c>
      <c r="G22" s="10" t="inlineStr">
        <is>
          <t>導入企業（クラウドパートナーズ等）の事例が登壇する</t>
        </is>
      </c>
      <c r="H22" s="10" t="inlineStr">
        <is>
          <t>オンライン</t>
        </is>
      </c>
      <c r="I22" s="12" t="inlineStr">
        <is>
          <t>60分</t>
        </is>
      </c>
      <c r="J22" s="10" t="inlineStr">
        <is>
          <t>会計業界メディア / 自社顧客網</t>
        </is>
      </c>
      <c r="K22" s="10" t="inlineStr">
        <is>
          <t>導入企業（事例登壇）</t>
        </is>
      </c>
      <c r="L22" s="18" t="n">
        <v>40</v>
      </c>
      <c r="M22" s="12">
        <f>ROUND(L22*$B$5,0)</f>
        <v/>
      </c>
      <c r="N22" s="19">
        <f>ROUND(M22*$B$6,1)</f>
        <v/>
      </c>
      <c r="O22" s="10" t="inlineStr">
        <is>
          <t>デモ予約</t>
        </is>
      </c>
      <c r="P22" s="20" t="n"/>
      <c r="Q22" s="20" t="inlineStr">
        <is>
          <t>未着手</t>
        </is>
      </c>
      <c r="R22" s="20" t="n"/>
    </row>
    <row r="23">
      <c r="A23" s="12" t="n">
        <v>15</v>
      </c>
      <c r="B23" s="12" t="inlineStr">
        <is>
          <t>B</t>
        </is>
      </c>
      <c r="C23" s="10" t="inlineStr">
        <is>
          <t>E. 業種・職種特化</t>
        </is>
      </c>
      <c r="D23" s="10" t="inlineStr">
        <is>
          <t>製造業の間接部門（設計・生産管理）の工数を見える化して、ボトルネックをAIで特定する</t>
        </is>
      </c>
      <c r="E23" s="10" t="inlineStr">
        <is>
          <t>製造業の管理職</t>
        </is>
      </c>
      <c r="F23" s="10" t="inlineStr">
        <is>
          <t>製造業は33件で、集客が判明しているものは30名前後と安定している</t>
        </is>
      </c>
      <c r="G23" s="10" t="inlineStr">
        <is>
          <t>ミクニエアロスペースの導入事例</t>
        </is>
      </c>
      <c r="H23" s="10" t="inlineStr">
        <is>
          <t>オンライン</t>
        </is>
      </c>
      <c r="I23" s="12" t="inlineStr">
        <is>
          <t>45分</t>
        </is>
      </c>
      <c r="J23" s="10" t="inlineStr">
        <is>
          <t>MONOist系 / 製造業団体 / アイスマイリー</t>
        </is>
      </c>
      <c r="K23" s="10" t="inlineStr">
        <is>
          <t>導入企業（事例登壇）</t>
        </is>
      </c>
      <c r="L23" s="18" t="n">
        <v>40</v>
      </c>
      <c r="M23" s="12">
        <f>ROUND(L23*$B$5,0)</f>
        <v/>
      </c>
      <c r="N23" s="19">
        <f>ROUND(M23*$B$6,1)</f>
        <v/>
      </c>
      <c r="O23" s="10" t="inlineStr">
        <is>
          <t>デモ予約</t>
        </is>
      </c>
      <c r="P23" s="20" t="n"/>
      <c r="Q23" s="20" t="inlineStr">
        <is>
          <t>未着手</t>
        </is>
      </c>
      <c r="R23" s="20" t="n"/>
    </row>
    <row r="24">
      <c r="A24" s="12" t="n">
        <v>16</v>
      </c>
      <c r="B24" s="12" t="inlineStr">
        <is>
          <t>B</t>
        </is>
      </c>
      <c r="C24" s="10" t="inlineStr">
        <is>
          <t>E. 業種・職種特化</t>
        </is>
      </c>
      <c r="D24" s="10" t="inlineStr">
        <is>
          <t>営業はどこに時間を使っているか｜PCログで商談以外の時間を減らす</t>
        </is>
      </c>
      <c r="E24" s="10" t="inlineStr">
        <is>
          <t>営業部長・営業企画</t>
        </is>
      </c>
      <c r="F24" s="10" t="inlineStr">
        <is>
          <t>営業系は147件あるがSFA・CRMの話が中心で、「時間の使い方」という切り口は空白</t>
        </is>
      </c>
      <c r="G24" s="10" t="inlineStr">
        <is>
          <t>役職・役割ごとの対応時間を可視化し、タスクを最適化する</t>
        </is>
      </c>
      <c r="H24" s="10" t="inlineStr">
        <is>
          <t>オンライン</t>
        </is>
      </c>
      <c r="I24" s="12" t="inlineStr">
        <is>
          <t>45分</t>
        </is>
      </c>
      <c r="J24" s="10" t="inlineStr">
        <is>
          <t>SalesZine系 / マジセミ</t>
        </is>
      </c>
      <c r="K24" s="10" t="inlineStr">
        <is>
          <t>SFAベンダー</t>
        </is>
      </c>
      <c r="L24" s="18" t="n">
        <v>40</v>
      </c>
      <c r="M24" s="12">
        <f>ROUND(L24*$B$5,0)</f>
        <v/>
      </c>
      <c r="N24" s="19">
        <f>ROUND(M24*$B$6,1)</f>
        <v/>
      </c>
      <c r="O24" s="10" t="inlineStr">
        <is>
          <t>資料請求</t>
        </is>
      </c>
      <c r="P24" s="20" t="n"/>
      <c r="Q24" s="20" t="inlineStr">
        <is>
          <t>未着手</t>
        </is>
      </c>
      <c r="R24" s="20" t="n"/>
    </row>
    <row r="25">
      <c r="A25" s="12" t="n">
        <v>17</v>
      </c>
      <c r="B25" s="12" t="inlineStr">
        <is>
          <t>A</t>
        </is>
      </c>
      <c r="C25" s="10" t="inlineStr">
        <is>
          <t>E. 業種・職種特化</t>
        </is>
      </c>
      <c r="D25" s="10" t="inlineStr">
        <is>
          <t>業務棚卸しから始めるAIエージェント化｜どの業務をAIに任せるべきかをデータで決める</t>
        </is>
      </c>
      <c r="E25" s="10" t="inlineStr">
        <is>
          <t>DX推進・経営企画</t>
        </is>
      </c>
      <c r="F25" s="10" t="inlineStr">
        <is>
          <t>「AI社員」「任せる」系は52件。多くが抱える「何から任せるか」の問いに、データで答えられる</t>
        </is>
      </c>
      <c r="G25" s="10" t="inlineStr">
        <is>
          <t>実際の業務ログから、AIに任せる候補の業務を抽出する</t>
        </is>
      </c>
      <c r="H25" s="10" t="inlineStr">
        <is>
          <t>オンライン</t>
        </is>
      </c>
      <c r="I25" s="12" t="inlineStr">
        <is>
          <t>60分</t>
        </is>
      </c>
      <c r="J25" s="10" t="inlineStr">
        <is>
          <t>connpass / TECH PLAY / マジセミ</t>
        </is>
      </c>
      <c r="K25" s="10" t="inlineStr">
        <is>
          <t>AIエージェント開発会社</t>
        </is>
      </c>
      <c r="L25" s="18" t="n">
        <v>50</v>
      </c>
      <c r="M25" s="12">
        <f>ROUND(L25*$B$5,0)</f>
        <v/>
      </c>
      <c r="N25" s="19">
        <f>ROUND(M25*$B$6,1)</f>
        <v/>
      </c>
      <c r="O25" s="10" t="inlineStr">
        <is>
          <t>デモ予約</t>
        </is>
      </c>
      <c r="P25" s="20" t="n"/>
      <c r="Q25" s="20" t="inlineStr">
        <is>
          <t>未着手</t>
        </is>
      </c>
      <c r="R25" s="20" t="n"/>
    </row>
    <row r="26">
      <c r="A26" s="12" t="n">
        <v>18</v>
      </c>
      <c r="B26" s="12" t="inlineStr">
        <is>
          <t>B</t>
        </is>
      </c>
      <c r="C26" s="10" t="inlineStr">
        <is>
          <t>E. 業種・職種特化</t>
        </is>
      </c>
      <c r="D26" s="10" t="inlineStr">
        <is>
          <t>ベテランの仕事の進め方を見える化する｜PCログから業務手順と属人化を把握する</t>
        </is>
      </c>
      <c r="E26" s="10" t="inlineStr">
        <is>
          <t>製造・バックオフィスの管理職</t>
        </is>
      </c>
      <c r="F26" s="10" t="inlineStr">
        <is>
          <t>暗黙知・属人化は34件と関心が高く、企業ウェビナーが中心</t>
        </is>
      </c>
      <c r="G26" s="10" t="inlineStr">
        <is>
          <t>操作の記録という別の角度から属人化を把握する</t>
        </is>
      </c>
      <c r="H26" s="10" t="inlineStr">
        <is>
          <t>オンライン</t>
        </is>
      </c>
      <c r="I26" s="12" t="inlineStr">
        <is>
          <t>45分</t>
        </is>
      </c>
      <c r="J26" s="10" t="inlineStr">
        <is>
          <t>マジセミ / Doorkeeper</t>
        </is>
      </c>
      <c r="K26" s="10" t="inlineStr">
        <is>
          <t>ナレッジ管理ベンダー</t>
        </is>
      </c>
      <c r="L26" s="18" t="n">
        <v>30</v>
      </c>
      <c r="M26" s="12">
        <f>ROUND(L26*$B$5,0)</f>
        <v/>
      </c>
      <c r="N26" s="19">
        <f>ROUND(M26*$B$6,1)</f>
        <v/>
      </c>
      <c r="O26" s="10" t="inlineStr">
        <is>
          <t>資料請求</t>
        </is>
      </c>
      <c r="P26" s="20" t="n"/>
      <c r="Q26" s="20" t="inlineStr">
        <is>
          <t>未着手</t>
        </is>
      </c>
      <c r="R26" s="20" t="n"/>
    </row>
    <row r="27">
      <c r="A27" s="12" t="n">
        <v>19</v>
      </c>
      <c r="B27" s="12" t="inlineStr">
        <is>
          <t>B</t>
        </is>
      </c>
      <c r="C27" s="10" t="inlineStr">
        <is>
          <t>F. 形式・地域</t>
        </is>
      </c>
      <c r="D27" s="10" t="inlineStr">
        <is>
          <t>静岡・沼津発｜中小企業経営者のためのAI活用と生産性見える化</t>
        </is>
      </c>
      <c r="E27" s="10" t="inlineStr">
        <is>
          <t>静岡県の中小企業経営者</t>
        </is>
      </c>
      <c r="F27" s="10" t="inlineStr">
        <is>
          <t>地方の経営者向けは少人数の会場開催が中心</t>
        </is>
      </c>
      <c r="G27" s="10" t="inlineStr">
        <is>
          <t>地元での受賞歴や地域の信用を活かす</t>
        </is>
      </c>
      <c r="H27" s="10" t="inlineStr">
        <is>
          <t>会場（沼津）</t>
        </is>
      </c>
      <c r="I27" s="12" t="inlineStr">
        <is>
          <t>90分</t>
        </is>
      </c>
      <c r="J27" s="10" t="inlineStr">
        <is>
          <t>地元金融機関・商工会議所 / こくちーず</t>
        </is>
      </c>
      <c r="K27" s="10" t="inlineStr">
        <is>
          <t>沼津信用金庫・商工会議所</t>
        </is>
      </c>
      <c r="L27" s="18" t="n">
        <v>30</v>
      </c>
      <c r="M27" s="12">
        <f>ROUND(L27*$B$5,0)</f>
        <v/>
      </c>
      <c r="N27" s="19">
        <f>ROUND(M27*$B$6,1)</f>
        <v/>
      </c>
      <c r="O27" s="10" t="inlineStr">
        <is>
          <t>個別相談</t>
        </is>
      </c>
      <c r="P27" s="20" t="n"/>
      <c r="Q27" s="20" t="inlineStr">
        <is>
          <t>未着手</t>
        </is>
      </c>
      <c r="R27" s="20" t="n"/>
    </row>
    <row r="28">
      <c r="A28" s="12" t="n">
        <v>20</v>
      </c>
      <c r="B28" s="12" t="inlineStr">
        <is>
          <t>A</t>
        </is>
      </c>
      <c r="C28" s="10" t="inlineStr">
        <is>
          <t>F. 形式・地域</t>
        </is>
      </c>
      <c r="D28" s="10" t="inlineStr">
        <is>
          <t>月例30分「AIに聞いてみた」ライブ｜視聴者の質問をその場でPCログAIに投げる</t>
        </is>
      </c>
      <c r="E28" s="10" t="inlineStr">
        <is>
          <t>見込み顧客全般</t>
        </is>
      </c>
      <c r="F28" s="10" t="inlineStr">
        <is>
          <t>connpassでは、回数を重ねるAIエージェント勉強会（#90回で毎回50〜60名程度）のような定例シリーズの型が定着している</t>
        </is>
      </c>
      <c r="G28" s="10" t="inlineStr">
        <is>
          <t>「聞くだけ」を毎月体験してもらう</t>
        </is>
      </c>
      <c r="H28" s="10" t="inlineStr">
        <is>
          <t>オンライン（定例）</t>
        </is>
      </c>
      <c r="I28" s="12" t="inlineStr">
        <is>
          <t>30分</t>
        </is>
      </c>
      <c r="J28" s="10" t="inlineStr">
        <is>
          <t>connpass（グループ化） / 自社メルマガ</t>
        </is>
      </c>
      <c r="K28" s="10" t="inlineStr">
        <is>
          <t>—</t>
        </is>
      </c>
      <c r="L28" s="18" t="n">
        <v>30</v>
      </c>
      <c r="M28" s="12">
        <f>ROUND(L28*$B$5,0)</f>
        <v/>
      </c>
      <c r="N28" s="19">
        <f>ROUND(M28*$B$6,1)</f>
        <v/>
      </c>
      <c r="O28" s="10" t="inlineStr">
        <is>
          <t>デモ予約（毎月）</t>
        </is>
      </c>
      <c r="P28" s="20" t="n"/>
      <c r="Q28" s="20" t="inlineStr">
        <is>
          <t>未着手</t>
        </is>
      </c>
      <c r="R28" s="20" t="n"/>
    </row>
    <row r="29">
      <c r="D29" s="8" t="inlineStr">
        <is>
          <t>合計</t>
        </is>
      </c>
      <c r="L29" s="21">
        <f>SUM(L9:L28)</f>
        <v/>
      </c>
      <c r="M29" s="21">
        <f>SUM(M9:M28)</f>
        <v/>
      </c>
      <c r="N29" s="22">
        <f>SUM(N9:N28)</f>
        <v/>
      </c>
    </row>
    <row r="31">
      <c r="C31" s="8" t="inlineStr">
        <is>
          <t>優先度別</t>
        </is>
      </c>
    </row>
    <row r="32">
      <c r="C32" s="23" t="inlineStr">
        <is>
          <t>優先度</t>
        </is>
      </c>
      <c r="D32" s="23" t="inlineStr">
        <is>
          <t>本数</t>
        </is>
      </c>
      <c r="E32" s="23" t="inlineStr">
        <is>
          <t>目標申込</t>
        </is>
      </c>
      <c r="F32" s="23" t="inlineStr">
        <is>
          <t>想定デモ予約</t>
        </is>
      </c>
    </row>
    <row r="33">
      <c r="C33" s="12" t="inlineStr">
        <is>
          <t>S</t>
        </is>
      </c>
      <c r="D33" s="12">
        <f>COUNTIF($B$9:$B$28,C33)</f>
        <v/>
      </c>
      <c r="E33" s="12">
        <f>SUMIF($B$9:$B$28,C33,$L$9:$L$28)</f>
        <v/>
      </c>
      <c r="F33" s="19">
        <f>SUMIF($B$9:$B$28,C33,$N$9:$N$28)</f>
        <v/>
      </c>
    </row>
    <row r="34">
      <c r="C34" s="12" t="inlineStr">
        <is>
          <t>A</t>
        </is>
      </c>
      <c r="D34" s="12">
        <f>COUNTIF($B$9:$B$28,C34)</f>
        <v/>
      </c>
      <c r="E34" s="12">
        <f>SUMIF($B$9:$B$28,C34,$L$9:$L$28)</f>
        <v/>
      </c>
      <c r="F34" s="19">
        <f>SUMIF($B$9:$B$28,C34,$N$9:$N$28)</f>
        <v/>
      </c>
    </row>
    <row r="35">
      <c r="C35" s="12" t="inlineStr">
        <is>
          <t>B</t>
        </is>
      </c>
      <c r="D35" s="12">
        <f>COUNTIF($B$9:$B$28,C35)</f>
        <v/>
      </c>
      <c r="E35" s="12">
        <f>SUMIF($B$9:$B$28,C35,$L$9:$L$28)</f>
        <v/>
      </c>
      <c r="F35" s="19">
        <f>SUMIF($B$9:$B$28,C35,$N$9:$N$28)</f>
        <v/>
      </c>
    </row>
    <row r="37" ht="30" customHeight="1">
      <c r="C37" s="9" t="inlineStr">
        <is>
          <t>優先度: S＝空白が大きく、自社の強みが直接効き、MCP活用プランへの導線が短いもの（最初の四半期に実施）／A＝次に実施／B＝共催先や事例が確保できしだい実施。</t>
        </is>
      </c>
    </row>
    <row r="38" ht="30" customHeight="1">
      <c r="C38" s="9" t="inlineStr">
        <is>
          <t>目標申込数は仮置きです。今回の調査では、プラットフォーム上の集客中央値が10〜20名、100名を超えるのは共催や定例シリーズが中心でした。</t>
        </is>
      </c>
    </row>
    <row r="39" ht="30" customHeight="1">
      <c r="C39" s="9" t="inlineStr">
        <is>
          <t>開催予定月・ステータス・担当は空欄です。記入してお使いください（ステータスはプルダウンで選択）。</t>
        </is>
      </c>
    </row>
  </sheetData>
  <mergeCells count="3">
    <mergeCell ref="C38:K38"/>
    <mergeCell ref="C37:K37"/>
    <mergeCell ref="C39:K39"/>
  </mergeCells>
  <dataValidations count="2">
    <dataValidation sqref="Q9:Q28" showDropDown="0" showInputMessage="0" showErrorMessage="0" allowBlank="1" type="list">
      <formula1>"未着手,企画中,告知中,開催済,見送り"</formula1>
    </dataValidation>
    <dataValidation sqref="B9:B28" showDropDown="0" showInputMessage="0" showErrorMessage="0" allowBlank="1" type="list">
      <formula1>"S,A,B"</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3"/>
  <sheetViews>
    <sheetView workbookViewId="0">
      <pane ySplit="4" topLeftCell="A5" activePane="bottomLeft" state="frozen"/>
      <selection pane="bottomLeft" activeCell="A1" sqref="A1"/>
    </sheetView>
  </sheetViews>
  <sheetFormatPr baseColWidth="8" defaultRowHeight="15"/>
  <cols>
    <col width="28" customWidth="1" min="1" max="1"/>
    <col width="34" customWidth="1" min="2" max="2"/>
    <col width="10" customWidth="1" min="3" max="3"/>
    <col width="12" customWidth="1" min="4" max="4"/>
    <col width="12" customWidth="1" min="5" max="5"/>
    <col width="13" customWidth="1" min="6" max="6"/>
    <col width="56" customWidth="1" min="7" max="7"/>
  </cols>
  <sheetData>
    <row r="1">
      <c r="A1" s="1" t="inlineStr">
        <is>
          <t>市場ニーズ分析：キーワード別の開催件数と集客（2026/7〜9月・684件）</t>
        </is>
      </c>
    </row>
    <row r="2" ht="45" customHeight="1">
      <c r="A2" s="9" t="inlineStr">
        <is>
          <t>出典: 「セミナー一覧」シートの全684件。セミナー名と概要を正規表現で分類して集計した値（Pythonで算出）です。集客の平均・中央値には、参加者数・申込者数が公開されているイベントだけを使っています。定員と非公開のものは除外しています。</t>
        </is>
      </c>
    </row>
    <row r="4" ht="32" customHeight="1">
      <c r="A4" s="3" t="inlineStr">
        <is>
          <t>キーワード群</t>
        </is>
      </c>
      <c r="B4" s="3" t="inlineStr">
        <is>
          <t>判定に使った語</t>
        </is>
      </c>
      <c r="C4" s="3" t="inlineStr">
        <is>
          <t>開催件数</t>
        </is>
      </c>
      <c r="D4" s="3" t="inlineStr">
        <is>
          <t>集客判明件数</t>
        </is>
      </c>
      <c r="E4" s="3" t="inlineStr">
        <is>
          <t>平均集客（名）</t>
        </is>
      </c>
      <c r="F4" s="3" t="inlineStr">
        <is>
          <t>集客中央値（名）</t>
        </is>
      </c>
      <c r="G4" s="3" t="inlineStr">
        <is>
          <t>示唆</t>
        </is>
      </c>
    </row>
    <row r="5">
      <c r="A5" s="10" t="inlineStr">
        <is>
          <t>Claude（Code / Cowork）</t>
        </is>
      </c>
      <c r="B5" s="10" t="inlineStr">
        <is>
          <t>Claude Code|Claude Cowork</t>
        </is>
      </c>
      <c r="C5" s="12" t="n">
        <v>154</v>
      </c>
      <c r="D5" s="12" t="n">
        <v>115</v>
      </c>
      <c r="E5" s="12" t="n">
        <v>88</v>
      </c>
      <c r="F5" s="12" t="n">
        <v>18</v>
      </c>
      <c r="G5" s="10" t="inlineStr">
        <is>
          <t>供給が最も多いテーマ。ツールの使い方講座に偏っている</t>
        </is>
      </c>
    </row>
    <row r="6">
      <c r="A6" s="10" t="inlineStr">
        <is>
          <t>MCP</t>
        </is>
      </c>
      <c r="B6" s="10" t="inlineStr">
        <is>
          <t>MCP</t>
        </is>
      </c>
      <c r="C6" s="12" t="n">
        <v>36</v>
      </c>
      <c r="D6" s="12" t="n">
        <v>18</v>
      </c>
      <c r="E6" s="12" t="n">
        <v>33</v>
      </c>
      <c r="F6" s="12" t="n">
        <v>12</v>
      </c>
      <c r="G6" s="10" t="inlineStr">
        <is>
          <t>大半が開発者向け。業務データ×MCPを経営層・管理職向けに扱うものはほぼ空白</t>
        </is>
      </c>
    </row>
    <row r="7">
      <c r="A7" s="10" t="inlineStr">
        <is>
          <t>Copilot</t>
        </is>
      </c>
      <c r="B7" s="10" t="inlineStr">
        <is>
          <t>Copilot</t>
        </is>
      </c>
      <c r="C7" s="12" t="n">
        <v>25</v>
      </c>
      <c r="D7" s="12" t="n">
        <v>13</v>
      </c>
      <c r="E7" s="12" t="n">
        <v>356</v>
      </c>
      <c r="F7" s="12" t="n">
        <v>7</v>
      </c>
      <c r="G7" s="10" t="inlineStr">
        <is>
          <t>大規模な勉強会が平均値を押し上げている</t>
        </is>
      </c>
    </row>
    <row r="8">
      <c r="A8" s="10" t="inlineStr">
        <is>
          <t>経営者向け</t>
        </is>
      </c>
      <c r="B8" s="10" t="inlineStr">
        <is>
          <t>経営者|経営層|社長|決裁者</t>
        </is>
      </c>
      <c r="C8" s="12" t="n">
        <v>57</v>
      </c>
      <c r="D8" s="12" t="n">
        <v>26</v>
      </c>
      <c r="E8" s="12" t="n">
        <v>13</v>
      </c>
      <c r="F8" s="12" t="n">
        <v>6</v>
      </c>
      <c r="G8" s="10" t="inlineStr">
        <is>
          <t>件数は多いが、1回あたりの集客は小さい</t>
        </is>
      </c>
    </row>
    <row r="9">
      <c r="A9" s="10" t="inlineStr">
        <is>
          <t>士業・税理士・会計</t>
        </is>
      </c>
      <c r="B9" s="10" t="inlineStr">
        <is>
          <t>士業|税理士|会計事務所</t>
        </is>
      </c>
      <c r="C9" s="12" t="n">
        <v>8</v>
      </c>
      <c r="D9" s="12" t="n">
        <v>2</v>
      </c>
      <c r="E9" s="12" t="n">
        <v>1</v>
      </c>
      <c r="F9" s="12" t="n">
        <v>1</v>
      </c>
      <c r="G9" s="10" t="inlineStr">
        <is>
          <t>件数は少ない。ただしfreee Advisor Dayの前年参加者は約2,000名で、需要は大きい</t>
        </is>
      </c>
    </row>
    <row r="10">
      <c r="A10" s="10" t="inlineStr">
        <is>
          <t>AIの定着・PoC止まり</t>
        </is>
      </c>
      <c r="B10" s="10" t="inlineStr">
        <is>
          <t>定着|PoC|使われない|成果が出ない</t>
        </is>
      </c>
      <c r="C10" s="12" t="n">
        <v>28</v>
      </c>
      <c r="D10" s="12" t="n">
        <v>12</v>
      </c>
      <c r="E10" s="12" t="n">
        <v>6</v>
      </c>
      <c r="F10" s="12" t="n">
        <v>6</v>
      </c>
      <c r="G10" s="10" t="inlineStr">
        <is>
          <t>「導入したが使われない」課題が顕在化している</t>
        </is>
      </c>
    </row>
    <row r="11">
      <c r="A11" s="10" t="inlineStr">
        <is>
          <t>ガバナンス・セキュリティ・権限</t>
        </is>
      </c>
      <c r="B11" s="10" t="inlineStr">
        <is>
          <t>ガバナンス|セキュリティ|権限|シャドー</t>
        </is>
      </c>
      <c r="C11" s="12" t="n">
        <v>40</v>
      </c>
      <c r="D11" s="12" t="n">
        <v>16</v>
      </c>
      <c r="E11" s="12" t="n">
        <v>35</v>
      </c>
      <c r="F11" s="12" t="n">
        <v>18</v>
      </c>
      <c r="G11" s="10" t="inlineStr">
        <is>
          <t>集客が比較的安定している</t>
        </is>
      </c>
    </row>
    <row r="12">
      <c r="A12" s="10" t="inlineStr">
        <is>
          <t>暗黙知・属人化・ナレッジ</t>
        </is>
      </c>
      <c r="B12" s="10" t="inlineStr">
        <is>
          <t>暗黙知|属人|ナレッジ|伝承</t>
        </is>
      </c>
      <c r="C12" s="12" t="n">
        <v>34</v>
      </c>
      <c r="D12" s="12" t="n">
        <v>11</v>
      </c>
      <c r="E12" s="12" t="n">
        <v>2</v>
      </c>
      <c r="F12" s="12" t="n">
        <v>1</v>
      </c>
      <c r="G12" s="10" t="inlineStr">
        <is>
          <t>関心は高く、企業ウェビナーが中心</t>
        </is>
      </c>
    </row>
    <row r="13">
      <c r="A13" s="10" t="inlineStr">
        <is>
          <t>工数・可視化</t>
        </is>
      </c>
      <c r="B13" s="10" t="inlineStr">
        <is>
          <t>工数|可視化|見える化</t>
        </is>
      </c>
      <c r="C13" s="12" t="n">
        <v>14</v>
      </c>
      <c r="D13" s="12" t="n">
        <v>3</v>
      </c>
      <c r="E13" s="12" t="n">
        <v>4</v>
      </c>
      <c r="F13" s="12" t="n">
        <v>1</v>
      </c>
      <c r="G13" s="10" t="inlineStr">
        <is>
          <t>ほぼ空白。みえるクラウドの強みの領域</t>
        </is>
      </c>
    </row>
    <row r="14">
      <c r="A14" s="10" t="inlineStr">
        <is>
          <t>評価・人事・HR</t>
        </is>
      </c>
      <c r="B14" s="10" t="inlineStr">
        <is>
          <t>評価|人事|HR|採用|人材</t>
        </is>
      </c>
      <c r="C14" s="12" t="n">
        <v>33</v>
      </c>
      <c r="D14" s="12" t="n">
        <v>15</v>
      </c>
      <c r="E14" s="12" t="n">
        <v>57</v>
      </c>
      <c r="F14" s="12" t="n">
        <v>7</v>
      </c>
      <c r="G14" s="10" t="inlineStr">
        <is>
          <t>MVVに基づく評価は差別化の余地がある</t>
        </is>
      </c>
    </row>
    <row r="15">
      <c r="A15" s="10" t="inlineStr">
        <is>
          <t>健康経営・労務・働き方</t>
        </is>
      </c>
      <c r="B15" s="10" t="inlineStr">
        <is>
          <t>健康経営|労務|長時間|働き方|残業</t>
        </is>
      </c>
      <c r="C15" s="12" t="n">
        <v>14</v>
      </c>
      <c r="D15" s="12" t="n">
        <v>3</v>
      </c>
      <c r="E15" s="12" t="n">
        <v>12</v>
      </c>
      <c r="F15" s="12" t="n">
        <v>3</v>
      </c>
      <c r="G15" s="10" t="inlineStr">
        <is>
          <t>ほぼ空白。AIと組み合わせたものはさらに少ない</t>
        </is>
      </c>
    </row>
    <row r="16">
      <c r="A16" s="10" t="inlineStr">
        <is>
          <t>非エンジニア向け</t>
        </is>
      </c>
      <c r="B16" s="10" t="inlineStr">
        <is>
          <t>非エンジニア|コードを書かない|ノーコード|初心者</t>
        </is>
      </c>
      <c r="C16" s="12" t="n">
        <v>46</v>
      </c>
      <c r="D16" s="12" t="n">
        <v>29</v>
      </c>
      <c r="E16" s="12" t="n">
        <v>29</v>
      </c>
      <c r="F16" s="12" t="n">
        <v>17</v>
      </c>
      <c r="G16" s="10" t="inlineStr">
        <is>
          <t>非エンジニア向けの需要は大きい</t>
        </is>
      </c>
    </row>
    <row r="17">
      <c r="A17" s="10" t="inlineStr">
        <is>
          <t>AI社員・AIに任せる</t>
        </is>
      </c>
      <c r="B17" s="10" t="inlineStr">
        <is>
          <t>AI社員|任せ|やってくれる</t>
        </is>
      </c>
      <c r="C17" s="12" t="n">
        <v>52</v>
      </c>
      <c r="D17" s="12" t="n">
        <v>24</v>
      </c>
      <c r="E17" s="12" t="n">
        <v>20</v>
      </c>
      <c r="F17" s="12" t="n">
        <v>13</v>
      </c>
      <c r="G17" s="10" t="inlineStr">
        <is>
          <t>「何から任せるか」の問いが多い</t>
        </is>
      </c>
    </row>
    <row r="18">
      <c r="A18" s="10" t="inlineStr">
        <is>
          <t>データ連携・データ基盤</t>
        </is>
      </c>
      <c r="B18" s="10" t="inlineStr">
        <is>
          <t>データ連携|データ基盤|社内データ</t>
        </is>
      </c>
      <c r="C18" s="12" t="n">
        <v>18</v>
      </c>
      <c r="D18" s="12" t="n">
        <v>12</v>
      </c>
      <c r="E18" s="12" t="n">
        <v>52</v>
      </c>
      <c r="F18" s="12" t="n">
        <v>12</v>
      </c>
      <c r="G18" s="10" t="inlineStr">
        <is>
          <t>MCPと相性が良い</t>
        </is>
      </c>
    </row>
    <row r="19">
      <c r="A19" s="10" t="inlineStr">
        <is>
          <t>日報・業務報告・議事録</t>
        </is>
      </c>
      <c r="B19" s="10" t="inlineStr">
        <is>
          <t>日報|業務報告|議事録|報告書</t>
        </is>
      </c>
      <c r="C19" s="12" t="n">
        <v>13</v>
      </c>
      <c r="D19" s="12" t="n">
        <v>4</v>
      </c>
      <c r="E19" s="12" t="n">
        <v>3</v>
      </c>
      <c r="F19" s="12" t="n">
        <v>4</v>
      </c>
      <c r="G19" s="10" t="inlineStr">
        <is>
          <t>ほぼ空白。レポートの自動作成と合う</t>
        </is>
      </c>
    </row>
    <row r="20">
      <c r="A20" s="10" t="inlineStr">
        <is>
          <t>実演・ハンズオン・ワークショップ</t>
        </is>
      </c>
      <c r="B20" s="10" t="inlineStr">
        <is>
          <t>ハンズオン|実演|デモ|ワークショップ</t>
        </is>
      </c>
      <c r="C20" s="12" t="n">
        <v>84</v>
      </c>
      <c r="D20" s="12" t="n">
        <v>56</v>
      </c>
      <c r="E20" s="12" t="n">
        <v>25</v>
      </c>
      <c r="F20" s="12" t="n">
        <v>9</v>
      </c>
      <c r="G20" s="10" t="inlineStr">
        <is>
          <t>「見せる」形式が主流</t>
        </is>
      </c>
    </row>
    <row r="21">
      <c r="A21" s="10" t="inlineStr">
        <is>
          <t>製造業</t>
        </is>
      </c>
      <c r="B21" s="10" t="inlineStr">
        <is>
          <t>製造|工場|ものづくり</t>
        </is>
      </c>
      <c r="C21" s="12" t="n">
        <v>33</v>
      </c>
      <c r="D21" s="12" t="n">
        <v>6</v>
      </c>
      <c r="E21" s="12" t="n">
        <v>37</v>
      </c>
      <c r="F21" s="12" t="n">
        <v>30</v>
      </c>
      <c r="G21" s="10" t="inlineStr">
        <is>
          <t>集客が判明しているものは30名前後で安定している</t>
        </is>
      </c>
    </row>
    <row r="23">
      <c r="A23" s="8" t="inlineStr">
        <is>
          <t>空白度</t>
        </is>
      </c>
      <c r="B23" s="2">
        <f>"開催件数20件未満のキーワード群："&amp;COUNTIF(C5:C21,"&lt;20")&amp;"群"</f>
        <v/>
      </c>
    </row>
  </sheetData>
  <mergeCells count="1">
    <mergeCell ref="A2:G2"/>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X685"/>
  <sheetViews>
    <sheetView workbookViewId="0">
      <pane xSplit="7" ySplit="1" topLeftCell="H2" activePane="bottomRight" state="frozen"/>
      <selection pane="topRight" activeCell="A1" sqref="A1"/>
      <selection pane="bottomLeft" activeCell="A1" sqref="A1"/>
      <selection pane="bottomRight" activeCell="A1" sqref="A1"/>
    </sheetView>
  </sheetViews>
  <sheetFormatPr baseColWidth="8" defaultRowHeight="15"/>
  <cols>
    <col width="6" customWidth="1" min="1" max="1"/>
    <col width="11" customWidth="1" min="2" max="2"/>
    <col width="11" customWidth="1" min="3" max="3"/>
    <col width="7" customWidth="1" min="4" max="4"/>
    <col width="7" customWidth="1" min="5" max="5"/>
    <col width="18" customWidth="1" min="6" max="6"/>
    <col width="50" customWidth="1" min="7" max="7"/>
    <col width="24" customWidth="1" min="8" max="8"/>
    <col width="22" customWidth="1" min="9" max="9"/>
    <col width="14" customWidth="1" min="10" max="10"/>
    <col width="11" customWidth="1" min="11" max="11"/>
    <col width="26" customWidth="1" min="12" max="12"/>
    <col width="18" customWidth="1" min="13" max="13"/>
    <col width="12" customWidth="1" min="14" max="14"/>
    <col width="6" customWidth="1" min="15" max="15"/>
    <col width="9" customWidth="1" min="16" max="16"/>
    <col width="11" customWidth="1" min="17" max="17"/>
    <col width="8" customWidth="1" min="18" max="18"/>
    <col width="26" customWidth="1" min="19" max="19"/>
    <col width="50" customWidth="1" min="20" max="20"/>
    <col width="42" customWidth="1" min="21" max="21"/>
    <col width="30" customWidth="1" min="22" max="22"/>
    <col width="10" customWidth="1" min="23" max="23"/>
    <col width="24" customWidth="1" min="24" max="24"/>
  </cols>
  <sheetData>
    <row r="1" ht="30" customHeight="1">
      <c r="A1" s="3" t="inlineStr">
        <is>
          <t>No</t>
        </is>
      </c>
      <c r="B1" s="3" t="inlineStr">
        <is>
          <t>開催日（初回）</t>
        </is>
      </c>
      <c r="C1" s="3" t="inlineStr">
        <is>
          <t>開催日（最終）</t>
        </is>
      </c>
      <c r="D1" s="3" t="inlineStr">
        <is>
          <t>開催月</t>
        </is>
      </c>
      <c r="E1" s="3" t="inlineStr">
        <is>
          <t>開催回数</t>
        </is>
      </c>
      <c r="F1" s="3" t="inlineStr">
        <is>
          <t>開催日一覧（複数回）</t>
        </is>
      </c>
      <c r="G1" s="3" t="inlineStr">
        <is>
          <t>セミナー名</t>
        </is>
      </c>
      <c r="H1" s="3" t="inlineStr">
        <is>
          <t>主催者</t>
        </is>
      </c>
      <c r="I1" s="3" t="inlineStr">
        <is>
          <t>共催・登壇</t>
        </is>
      </c>
      <c r="J1" s="3" t="inlineStr">
        <is>
          <t>掲載プラットフォーム</t>
        </is>
      </c>
      <c r="K1" s="3" t="inlineStr">
        <is>
          <t>形式</t>
        </is>
      </c>
      <c r="L1" s="3" t="inlineStr">
        <is>
          <t>会場・場所</t>
        </is>
      </c>
      <c r="M1" s="3" t="inlineStr">
        <is>
          <t>テーマ分類</t>
        </is>
      </c>
      <c r="N1" s="3" t="inlineStr">
        <is>
          <t>AIエージェント/MCP</t>
        </is>
      </c>
      <c r="O1" s="3" t="inlineStr">
        <is>
          <t>関連度</t>
        </is>
      </c>
      <c r="P1" s="3" t="inlineStr">
        <is>
          <t>集客数</t>
        </is>
      </c>
      <c r="Q1" s="3" t="inlineStr">
        <is>
          <t>集客数の種別</t>
        </is>
      </c>
      <c r="R1" s="3" t="inlineStr">
        <is>
          <t>定員</t>
        </is>
      </c>
      <c r="S1" s="3" t="inlineStr">
        <is>
          <t>集客数の補足</t>
        </is>
      </c>
      <c r="T1" s="3" t="inlineStr">
        <is>
          <t>概要・抜粋</t>
        </is>
      </c>
      <c r="U1" s="3" t="inlineStr">
        <is>
          <t>ソースURL</t>
        </is>
      </c>
      <c r="V1" s="3" t="inlineStr">
        <is>
          <t>補足URL</t>
        </is>
      </c>
      <c r="W1" s="3" t="inlineStr">
        <is>
          <t>抽出方法</t>
        </is>
      </c>
      <c r="X1" s="3" t="inlineStr">
        <is>
          <t>備考</t>
        </is>
      </c>
    </row>
    <row r="2">
      <c r="A2" s="10" t="n">
        <v>1</v>
      </c>
      <c r="B2" s="24" t="n">
        <v>46204</v>
      </c>
      <c r="C2" s="24" t="n">
        <v>46204</v>
      </c>
      <c r="D2" s="10">
        <f>MONTH(B2)&amp;"月"</f>
        <v/>
      </c>
      <c r="E2" s="12" t="n">
        <v>1</v>
      </c>
      <c r="F2" s="10" t="n"/>
      <c r="G2" s="10" t="inlineStr">
        <is>
          <t>AIコーディング時代の設計判断力を鍛える ―失敗パターンから学ぶ“動く”の先の考え方</t>
        </is>
      </c>
      <c r="H2" s="10" t="inlineStr">
        <is>
          <t>Findy/ファインディ</t>
        </is>
      </c>
      <c r="I2" s="10" t="n"/>
      <c r="J2" s="10" t="inlineStr">
        <is>
          <t>TECH PLAY</t>
        </is>
      </c>
      <c r="K2" s="10" t="inlineStr">
        <is>
          <t>オンライン</t>
        </is>
      </c>
      <c r="L2" s="10" t="n"/>
      <c r="M2" s="10" t="inlineStr">
        <is>
          <t>開発生産性</t>
        </is>
      </c>
      <c r="N2" s="10" t="inlineStr">
        <is>
          <t>AIエージェント</t>
        </is>
      </c>
      <c r="O2" s="12" t="inlineStr">
        <is>
          <t>△</t>
        </is>
      </c>
      <c r="P2" s="13" t="n">
        <v>149</v>
      </c>
      <c r="Q2" s="12" t="inlineStr">
        <is>
          <t>申込者数</t>
        </is>
      </c>
      <c r="R2" s="14" t="n">
        <v>200</v>
      </c>
      <c r="S2" s="10" t="n"/>
      <c r="T2" s="10" t="inlineStr">
        <is>
          <t>✍️概要 AIコーディングエージェントが急速に普及する中、「動く」ものが簡単に生成されるようになりました。しかし、価値あるシステムを構築するためには、人間の設計判断力がこれまで以上に重要となります。 本イベントでは、kawasimaさんが整理された『Decision Quality と設計判断失敗パターン』を基に、設計判断の失敗パターンを解説いただきます。 また、kawasimaさんが作成中の、コーディングエージェントを活用した失敗パタ</t>
        </is>
      </c>
      <c r="U2" s="15" t="inlineStr">
        <is>
          <t>https://techplay.jp/event/996755</t>
        </is>
      </c>
      <c r="V2" s="10" t="n"/>
      <c r="W2" s="10" t="inlineStr">
        <is>
          <t>本文一致</t>
        </is>
      </c>
      <c r="X2" s="10" t="n"/>
    </row>
    <row r="3">
      <c r="A3" s="10" t="n">
        <v>2</v>
      </c>
      <c r="B3" s="24" t="n">
        <v>46204</v>
      </c>
      <c r="C3" s="24" t="n">
        <v>46204</v>
      </c>
      <c r="D3" s="10">
        <f>MONTH(B3)&amp;"月"</f>
        <v/>
      </c>
      <c r="E3" s="12" t="n">
        <v>1</v>
      </c>
      <c r="F3" s="10" t="n"/>
      <c r="G3" s="10" t="inlineStr">
        <is>
          <t>Codexで管理職の仕事をラクにする 第3回：部下ごとの報告・面談資料編</t>
        </is>
      </c>
      <c r="H3" s="10" t="inlineStr">
        <is>
          <t>はんなりプログラミングの会</t>
        </is>
      </c>
      <c r="I3" s="10" t="n"/>
      <c r="J3" s="10" t="inlineStr">
        <is>
          <t>connpass</t>
        </is>
      </c>
      <c r="K3" s="10" t="inlineStr">
        <is>
          <t>オンライン</t>
        </is>
      </c>
      <c r="L3" s="10" t="inlineStr">
        <is>
          <t>youtube live</t>
        </is>
      </c>
      <c r="M3" s="10" t="inlineStr">
        <is>
          <t>開発生産性</t>
        </is>
      </c>
      <c r="N3" s="10" t="inlineStr">
        <is>
          <t>AIエージェント</t>
        </is>
      </c>
      <c r="O3" s="12" t="inlineStr">
        <is>
          <t>○</t>
        </is>
      </c>
      <c r="P3" s="13" t="n">
        <v>1</v>
      </c>
      <c r="Q3" s="12" t="inlineStr">
        <is>
          <t>参加者数</t>
        </is>
      </c>
      <c r="R3" s="14" t="n">
        <v>20</v>
      </c>
      <c r="S3" s="10" t="n"/>
      <c r="T3" s="10" t="n"/>
      <c r="U3" s="15" t="inlineStr">
        <is>
          <t>https://hannari-python.connpass.com/event/397219/</t>
        </is>
      </c>
      <c r="V3" s="10" t="n"/>
      <c r="W3" s="10" t="inlineStr">
        <is>
          <t>タイトル一致</t>
        </is>
      </c>
      <c r="X3" s="10" t="n"/>
    </row>
    <row r="4">
      <c r="A4" s="10" t="n">
        <v>3</v>
      </c>
      <c r="B4" s="24" t="n">
        <v>46204</v>
      </c>
      <c r="C4" s="24" t="n">
        <v>46204</v>
      </c>
      <c r="D4" s="10">
        <f>MONTH(B4)&amp;"月"</f>
        <v/>
      </c>
      <c r="E4" s="12" t="n">
        <v>1</v>
      </c>
      <c r="F4" s="10" t="n"/>
      <c r="G4" s="10" t="inlineStr">
        <is>
          <t>【CeeBeeDee】Claude Code スキルでここまでできる！〜オリジナルスキルのススメ／こもりまさあき</t>
        </is>
      </c>
      <c r="H4" s="10" t="inlineStr">
        <is>
          <t>CeeBeeDee</t>
        </is>
      </c>
      <c r="I4" s="10" t="n"/>
      <c r="J4" s="10" t="inlineStr">
        <is>
          <t>Doorkeeper</t>
        </is>
      </c>
      <c r="K4" s="10" t="inlineStr">
        <is>
          <t>不明</t>
        </is>
      </c>
      <c r="L4" s="10" t="n"/>
      <c r="M4" s="10" t="inlineStr">
        <is>
          <t>開発生産性</t>
        </is>
      </c>
      <c r="N4" s="10" t="inlineStr">
        <is>
          <t>AIエージェント</t>
        </is>
      </c>
      <c r="O4" s="12" t="inlineStr">
        <is>
          <t>○</t>
        </is>
      </c>
      <c r="P4" s="13" t="n">
        <v>92</v>
      </c>
      <c r="Q4" s="12" t="inlineStr">
        <is>
          <t>参加者数</t>
        </is>
      </c>
      <c r="R4" s="14" t="n"/>
      <c r="S4" s="10" t="n"/>
      <c r="T4" s="10" t="inlineStr">
        <is>
          <t xml:space="preserve"> Web制作の現場ですぐに使えるClaude Codeの「スキル」について、実例とデモを交えて、こもりまさあきさんに解説いただきます。 本イベントは有料イベントとして開催します。 無料での配信は行わず、お申し込みいただいた方のみに配信URLをお知らせします。 アーカイブ（と当日の配信）はサブスクの対象ですが、こもりまさあきさんの 「KMRVID Claude Skills」講座 （15,400円）は付属しません。 手作業から解放される！</t>
        </is>
      </c>
      <c r="U4" s="15" t="inlineStr">
        <is>
          <t>https://cssnite.doorkeeper.jp/events/197993</t>
        </is>
      </c>
      <c r="V4" s="10" t="n"/>
      <c r="W4" s="10" t="inlineStr">
        <is>
          <t>タイトル一致</t>
        </is>
      </c>
      <c r="X4" s="10" t="n"/>
    </row>
    <row r="5">
      <c r="A5" s="10" t="n">
        <v>4</v>
      </c>
      <c r="B5" s="24" t="n">
        <v>46204</v>
      </c>
      <c r="C5" s="24" t="n">
        <v>46206</v>
      </c>
      <c r="D5" s="10">
        <f>MONTH(B5)&amp;"月"</f>
        <v/>
      </c>
      <c r="E5" s="12" t="n">
        <v>1</v>
      </c>
      <c r="F5" s="10" t="n"/>
      <c r="G5" s="10" t="inlineStr">
        <is>
          <t>ものづくり ワールド［東京］2026</t>
        </is>
      </c>
      <c r="H5" s="10" t="inlineStr">
        <is>
          <t>RX Japan</t>
        </is>
      </c>
      <c r="I5" s="10" t="n"/>
      <c r="J5" s="10" t="inlineStr">
        <is>
          <t>個別調査（公式サイト・PR TIMES等）</t>
        </is>
      </c>
      <c r="K5" s="10" t="inlineStr">
        <is>
          <t>会場</t>
        </is>
      </c>
      <c r="L5" s="10" t="inlineStr">
        <is>
          <t>東京ビッグサイト</t>
        </is>
      </c>
      <c r="M5" s="10" t="inlineStr">
        <is>
          <t>生産管理・製造・SCM</t>
        </is>
      </c>
      <c r="N5" s="10" t="inlineStr">
        <is>
          <t>AIエージェント</t>
        </is>
      </c>
      <c r="O5" s="12" t="inlineStr">
        <is>
          <t>◎</t>
        </is>
      </c>
      <c r="P5" s="13" t="n">
        <v>81697</v>
      </c>
      <c r="Q5" s="12" t="inlineStr">
        <is>
          <t>来場者数</t>
        </is>
      </c>
      <c r="R5" s="14" t="n"/>
      <c r="S5" s="10" t="inlineStr">
        <is>
          <t>3日間の合計（併催展を含む）。7/1は20,534名、7/2は25,577名、7/3は35,586名。</t>
        </is>
      </c>
      <c r="T5" s="10" t="inlineStr">
        <is>
          <t>日本最大級の製造業展示会。製造業DX展、製造業×フィジカルAI展、設計・製造ソリューション展などで構成されている。</t>
        </is>
      </c>
      <c r="U5" s="15" t="inlineStr">
        <is>
          <t>https://www.manufacturing-world.jp/tokyo/ja-jp/previous/visitorcount.html</t>
        </is>
      </c>
      <c r="V5" s="10" t="n"/>
      <c r="W5" s="10" t="inlineStr">
        <is>
          <t>個別確認</t>
        </is>
      </c>
      <c r="X5" s="10" t="inlineStr">
        <is>
          <t>展示会。AIエージェント専門の展示ではない</t>
        </is>
      </c>
    </row>
    <row r="6">
      <c r="A6" s="10" t="n">
        <v>5</v>
      </c>
      <c r="B6" s="24" t="n">
        <v>46205</v>
      </c>
      <c r="C6" s="24" t="n">
        <v>46205</v>
      </c>
      <c r="D6" s="10">
        <f>MONTH(B6)&amp;"月"</f>
        <v/>
      </c>
      <c r="E6" s="12" t="n">
        <v>1</v>
      </c>
      <c r="F6" s="10" t="n"/>
      <c r="G6" s="10" t="inlineStr">
        <is>
          <t>AgentCoreハーネスとマネージドKBでRAG &amp; AIエージェント構築を体験！</t>
        </is>
      </c>
      <c r="H6" s="10" t="inlineStr">
        <is>
          <t>JAWS-UG東京</t>
        </is>
      </c>
      <c r="I6" s="10" t="n"/>
      <c r="J6" s="10" t="inlineStr">
        <is>
          <t>connpass</t>
        </is>
      </c>
      <c r="K6" s="10" t="inlineStr">
        <is>
          <t>オンライン</t>
        </is>
      </c>
      <c r="L6" s="10" t="inlineStr">
        <is>
          <t>Zoom</t>
        </is>
      </c>
      <c r="M6" s="10" t="inlineStr">
        <is>
          <t>技術・AI全般</t>
        </is>
      </c>
      <c r="N6" s="10" t="inlineStr">
        <is>
          <t>AIエージェント</t>
        </is>
      </c>
      <c r="O6" s="12" t="inlineStr">
        <is>
          <t>○</t>
        </is>
      </c>
      <c r="P6" s="13" t="n">
        <v>316</v>
      </c>
      <c r="Q6" s="12" t="inlineStr">
        <is>
          <t>参加者数</t>
        </is>
      </c>
      <c r="R6" s="14" t="n"/>
      <c r="S6" s="10" t="n"/>
      <c r="T6" s="10" t="n"/>
      <c r="U6" s="15" t="inlineStr">
        <is>
          <t>https://jawsug.connpass.com/event/398118/</t>
        </is>
      </c>
      <c r="V6" s="10" t="n"/>
      <c r="W6" s="10" t="inlineStr">
        <is>
          <t>タイトル一致</t>
        </is>
      </c>
      <c r="X6" s="10" t="n"/>
    </row>
    <row r="7">
      <c r="A7" s="10" t="n">
        <v>6</v>
      </c>
      <c r="B7" s="24" t="n">
        <v>46205</v>
      </c>
      <c r="C7" s="24" t="n">
        <v>46205</v>
      </c>
      <c r="D7" s="10">
        <f>MONTH(B7)&amp;"月"</f>
        <v/>
      </c>
      <c r="E7" s="12" t="n">
        <v>1</v>
      </c>
      <c r="F7" s="10" t="n"/>
      <c r="G7" s="10" t="inlineStr">
        <is>
          <t>EMLinkウェビナー開催：「AIエージェントに選ばれる」設備保全データ整備 — AI活用の成否は、データの整え方で決まる（7月2日・参加無料）</t>
        </is>
      </c>
      <c r="H7" s="10" t="inlineStr">
        <is>
          <t>EMLink（株式会社設備保全総合研究所）</t>
        </is>
      </c>
      <c r="I7" s="10" t="n"/>
      <c r="J7" s="10" t="inlineStr">
        <is>
          <t>PR TIMES</t>
        </is>
      </c>
      <c r="K7" s="10" t="inlineStr">
        <is>
          <t>online</t>
        </is>
      </c>
      <c r="L7" s="10" t="inlineStr">
        <is>
          <t>オンライン（Teamsウェビナー：事前登録制）／参加無料</t>
        </is>
      </c>
      <c r="M7" s="10" t="inlineStr">
        <is>
          <t>生産管理・製造・SCM</t>
        </is>
      </c>
      <c r="N7" s="10" t="inlineStr">
        <is>
          <t>AIエージェント</t>
        </is>
      </c>
      <c r="O7" s="12" t="inlineStr">
        <is>
          <t>◎</t>
        </is>
      </c>
      <c r="P7" s="13" t="n"/>
      <c r="Q7" s="12" t="inlineStr">
        <is>
          <t>不明</t>
        </is>
      </c>
      <c r="R7" s="14" t="n"/>
      <c r="S7" s="10" t="n"/>
      <c r="T7" s="10" t="inlineStr">
        <is>
          <t>工場・インフラ向け設備保全クラウド『EMLink』を提供する株式会社設備保全総合研究所は、ウェビナー「AIエージェントに選ばれる設備保全データ整備」を2026年7月2日（木）14:00より開催します。検索の世界で「AIに選ばれる情報設計」が注目されているように、設備保全の世界でも、AIエージェントが参照できる形にデータを整えることが、AI活用の成果を左右します。 これから生成AI・AIエージェントを保全・設備管理業務に取り入れたい方、「</t>
        </is>
      </c>
      <c r="U7" s="15" t="inlineStr">
        <is>
          <t>https://prtimes.jp/main/html/rd/p/000000032.000115057.html</t>
        </is>
      </c>
      <c r="V7" s="10" t="n"/>
      <c r="W7" s="10" t="inlineStr">
        <is>
          <t>タイトル一致</t>
        </is>
      </c>
      <c r="X7" s="10" t="n"/>
    </row>
    <row r="8">
      <c r="A8" s="10" t="n">
        <v>7</v>
      </c>
      <c r="B8" s="24" t="n">
        <v>46205</v>
      </c>
      <c r="C8" s="24" t="n">
        <v>46205</v>
      </c>
      <c r="D8" s="10">
        <f>MONTH(B8)&amp;"月"</f>
        <v/>
      </c>
      <c r="E8" s="12" t="n">
        <v>1</v>
      </c>
      <c r="F8" s="10" t="n"/>
      <c r="G8" s="10" t="inlineStr">
        <is>
          <t>Hardening Designers Conference 2026</t>
        </is>
      </c>
      <c r="H8" s="10" t="inlineStr">
        <is>
          <t>hardening</t>
        </is>
      </c>
      <c r="I8" s="10" t="n"/>
      <c r="J8" s="10" t="inlineStr">
        <is>
          <t>Doorkeeper</t>
        </is>
      </c>
      <c r="K8" s="10" t="inlineStr">
        <is>
          <t>不明</t>
        </is>
      </c>
      <c r="L8" s="10" t="n"/>
      <c r="M8" s="10" t="inlineStr">
        <is>
          <t>営業・マーケ・CS</t>
        </is>
      </c>
      <c r="N8" s="10" t="inlineStr">
        <is>
          <t>AIエージェント</t>
        </is>
      </c>
      <c r="O8" s="12" t="inlineStr">
        <is>
          <t>○</t>
        </is>
      </c>
      <c r="P8" s="13" t="n">
        <v>210</v>
      </c>
      <c r="Q8" s="12" t="inlineStr">
        <is>
          <t>参加者数</t>
        </is>
      </c>
      <c r="R8" s="14" t="n">
        <v>265</v>
      </c>
      <c r="S8" s="10" t="n"/>
      <c r="T8" s="10" t="inlineStr">
        <is>
          <t xml:space="preserve"> 📅 開催日時 DAY1 7/2(木) 10:00–17:00 ── Training Session / Micro Hardening（ マルチトラック並行開催 ） DAY2 7/3(金) 13:00–18:00 ── Conference Day｜Tech Showcase &amp; Open Mic DAY3 7/4(土) 09:00–18:00 ── Conference Day｜Deep Session 🎯 このカンファレンスで得</t>
        </is>
      </c>
      <c r="U8" s="15" t="inlineStr">
        <is>
          <t>https://hardening.doorkeeper.jp/events/196978</t>
        </is>
      </c>
      <c r="V8" s="10" t="n"/>
      <c r="W8" s="10" t="inlineStr">
        <is>
          <t>本文一致</t>
        </is>
      </c>
      <c r="X8" s="10" t="n"/>
    </row>
    <row r="9">
      <c r="A9" s="10" t="n">
        <v>8</v>
      </c>
      <c r="B9" s="24" t="n">
        <v>46205</v>
      </c>
      <c r="C9" s="24" t="n">
        <v>46205</v>
      </c>
      <c r="D9" s="10">
        <f>MONTH(B9)&amp;"月"</f>
        <v/>
      </c>
      <c r="E9" s="12" t="n">
        <v>1</v>
      </c>
      <c r="F9" s="10" t="n"/>
      <c r="G9" s="10" t="inlineStr">
        <is>
          <t>【無料オンライン】Claude Code勉強会 -入門編-</t>
        </is>
      </c>
      <c r="H9" s="10" t="inlineStr">
        <is>
          <t>株式会社ビズリンク 事務所</t>
        </is>
      </c>
      <c r="I9" s="10" t="n"/>
      <c r="J9" s="10" t="inlineStr">
        <is>
          <t>こくちーずプロ</t>
        </is>
      </c>
      <c r="K9" s="10" t="inlineStr">
        <is>
          <t>オンライン</t>
        </is>
      </c>
      <c r="L9" s="10" t="inlineStr">
        <is>
          <t>オンライン 日本</t>
        </is>
      </c>
      <c r="M9" s="10" t="inlineStr">
        <is>
          <t>開発生産性</t>
        </is>
      </c>
      <c r="N9" s="10" t="inlineStr">
        <is>
          <t>AIエージェント</t>
        </is>
      </c>
      <c r="O9" s="12" t="inlineStr">
        <is>
          <t>○</t>
        </is>
      </c>
      <c r="P9" s="13" t="n"/>
      <c r="Q9" s="12" t="inlineStr">
        <is>
          <t>不明</t>
        </is>
      </c>
      <c r="R9" s="14" t="n"/>
      <c r="S9" s="10" t="n"/>
      <c r="T9" s="10" t="inlineStr">
        <is>
          <t>【無料】「相談する」AIから「任せる」AIへ。 ─Claude Code勉強会＜入門編＞ー 導入編と実践編、参加者100名突破しました！ 経営者限定の導入編はこちら！ 【完全無料・オンライン・60分】 「ChatGPTは使っているが、仕事の速さも量も変わっていない」 「AIを活用している人との差が、なんとなく広がっている気がする」 ──そんな方のための、自律型AI「Claude Code」入門ウェビナーです。 AIに"相談する"時代から</t>
        </is>
      </c>
      <c r="U9" s="15" t="inlineStr">
        <is>
          <t>https://www.kokuchpro.com/event/a91b6275bcbfff0a1e04532f6c25ecf3/3817804/</t>
        </is>
      </c>
      <c r="V9" s="10" t="n"/>
      <c r="W9" s="10" t="inlineStr">
        <is>
          <t>タイトル一致</t>
        </is>
      </c>
      <c r="X9" s="10" t="n"/>
    </row>
    <row r="10">
      <c r="A10" s="10" t="n">
        <v>9</v>
      </c>
      <c r="B10" s="24" t="n">
        <v>46206</v>
      </c>
      <c r="C10" s="24" t="n">
        <v>46206</v>
      </c>
      <c r="D10" s="10">
        <f>MONTH(B10)&amp;"月"</f>
        <v/>
      </c>
      <c r="E10" s="12" t="n">
        <v>1</v>
      </c>
      <c r="F10" s="10" t="n"/>
      <c r="G10" s="10" t="inlineStr">
        <is>
          <t>AI駆動開発の最前線  ～シアトル発・Biz × Techを繋ぐAI Native開発プロセス～【Slalom Tech Night vol.1】</t>
        </is>
      </c>
      <c r="H10" s="10" t="inlineStr">
        <is>
          <t>Slalom株式会社</t>
        </is>
      </c>
      <c r="I10" s="10" t="n"/>
      <c r="J10" s="10" t="inlineStr">
        <is>
          <t>TECH PLAY</t>
        </is>
      </c>
      <c r="K10" s="10" t="inlineStr">
        <is>
          <t>ハイブリッド</t>
        </is>
      </c>
      <c r="L10" s="10" t="inlineStr">
        <is>
          <t>現地参加の場合：愛宕グリーンヒルズMORIタワー7F／オンラインの場合：Zoomウェビナー 〒105-6207 東京都港区愛宕2-5-1 愛宕グリーンヒルズMORIタワー7F</t>
        </is>
      </c>
      <c r="M10" s="10" t="inlineStr">
        <is>
          <t>営業・マーケ・CS</t>
        </is>
      </c>
      <c r="N10" s="10" t="inlineStr">
        <is>
          <t>AIエージェント</t>
        </is>
      </c>
      <c r="O10" s="12" t="inlineStr">
        <is>
          <t>○</t>
        </is>
      </c>
      <c r="P10" s="13" t="n">
        <v>375</v>
      </c>
      <c r="Q10" s="12" t="inlineStr">
        <is>
          <t>申込者数</t>
        </is>
      </c>
      <c r="R10" s="14" t="n">
        <v>370</v>
      </c>
      <c r="S10" s="10" t="n"/>
      <c r="T10" s="10" t="inlineStr">
        <is>
          <t>概要 生成AIの進化によって、ソフトウェア開発は大きく変わり始めています。 コード生成やAIエージェントによって実装スピードは加速する一方で、実際の開発現場では、 ・要件定義と実装が分断される ・AI活用が部分最適に留まる ・設計や意思決定がボトルネックになる ・「何を作るべきか」を定義できる人材が不足する といった新たな課題も見え始めています。 では、AI Native時代のプロダクト開発は、どのように変わるのでしょうか。 本イベント</t>
        </is>
      </c>
      <c r="U10" s="15" t="inlineStr">
        <is>
          <t>https://techplay.jp/event/995896</t>
        </is>
      </c>
      <c r="V10" s="10" t="n"/>
      <c r="W10" s="10" t="inlineStr">
        <is>
          <t>本文一致</t>
        </is>
      </c>
      <c r="X10" s="10" t="n"/>
    </row>
    <row r="11">
      <c r="A11" s="10" t="n">
        <v>10</v>
      </c>
      <c r="B11" s="24" t="n">
        <v>46206</v>
      </c>
      <c r="C11" s="24" t="n">
        <v>46206</v>
      </c>
      <c r="D11" s="10">
        <f>MONTH(B11)&amp;"月"</f>
        <v/>
      </c>
      <c r="E11" s="12" t="n">
        <v>1</v>
      </c>
      <c r="F11" s="10" t="n"/>
      <c r="G11" s="10" t="inlineStr">
        <is>
          <t>Cursor meetup Nagoya #1</t>
        </is>
      </c>
      <c r="H11" s="10" t="inlineStr">
        <is>
          <t>AIエージェントユーザー会（AIAU）</t>
        </is>
      </c>
      <c r="I11" s="10" t="n"/>
      <c r="J11" s="10" t="inlineStr">
        <is>
          <t>connpass</t>
        </is>
      </c>
      <c r="K11" s="10" t="inlineStr">
        <is>
          <t>会場</t>
        </is>
      </c>
      <c r="L11" s="10" t="inlineStr">
        <is>
          <t>〒460-0008 愛知県名古屋市中区栄４丁目１−１</t>
        </is>
      </c>
      <c r="M11" s="10" t="inlineStr">
        <is>
          <t>開発生産性</t>
        </is>
      </c>
      <c r="N11" s="10" t="inlineStr">
        <is>
          <t>AIエージェント</t>
        </is>
      </c>
      <c r="O11" s="12" t="inlineStr">
        <is>
          <t>○</t>
        </is>
      </c>
      <c r="P11" s="13" t="n">
        <v>3</v>
      </c>
      <c r="Q11" s="12" t="inlineStr">
        <is>
          <t>参加者数</t>
        </is>
      </c>
      <c r="R11" s="14" t="n">
        <v>55</v>
      </c>
      <c r="S11" s="10" t="n"/>
      <c r="T11" s="10" t="n"/>
      <c r="U11" s="15" t="inlineStr">
        <is>
          <t>https://aiau.connpass.com/event/396073/</t>
        </is>
      </c>
      <c r="V11" s="10" t="n"/>
      <c r="W11" s="10" t="inlineStr">
        <is>
          <t>タイトル一致</t>
        </is>
      </c>
      <c r="X11" s="10" t="n"/>
    </row>
    <row r="12">
      <c r="A12" s="10" t="n">
        <v>11</v>
      </c>
      <c r="B12" s="24" t="n">
        <v>46206</v>
      </c>
      <c r="C12" s="24" t="n">
        <v>46206</v>
      </c>
      <c r="D12" s="10">
        <f>MONTH(B12)&amp;"月"</f>
        <v/>
      </c>
      <c r="E12" s="12" t="n">
        <v>1</v>
      </c>
      <c r="F12" s="10" t="n"/>
      <c r="G12" s="10" t="inlineStr">
        <is>
          <t>QA・スクラムのための価値駆動開発 —顧客にとって役立つ問いの立て方</t>
        </is>
      </c>
      <c r="H12" s="10" t="inlineStr">
        <is>
          <t>Findy/ファインディ</t>
        </is>
      </c>
      <c r="I12" s="10" t="n"/>
      <c r="J12" s="10" t="inlineStr">
        <is>
          <t>TECH PLAY</t>
        </is>
      </c>
      <c r="K12" s="10" t="inlineStr">
        <is>
          <t>オンライン</t>
        </is>
      </c>
      <c r="L12" s="10" t="n"/>
      <c r="M12" s="10" t="inlineStr">
        <is>
          <t>営業・マーケ・CS</t>
        </is>
      </c>
      <c r="N12" s="10" t="inlineStr">
        <is>
          <t>AIエージェント</t>
        </is>
      </c>
      <c r="O12" s="12" t="inlineStr">
        <is>
          <t>○</t>
        </is>
      </c>
      <c r="P12" s="13" t="n">
        <v>14</v>
      </c>
      <c r="Q12" s="12" t="inlineStr">
        <is>
          <t>申込者数</t>
        </is>
      </c>
      <c r="R12" s="14" t="n">
        <v>100</v>
      </c>
      <c r="S12" s="10" t="n"/>
      <c r="T12" s="10" t="inlineStr">
        <is>
          <t>✍️概要 Agentic Codingが日常化したいま、仕様駆動開発は重要な開発プロセスとして広まってきました。 しかし、仕様の手前にある「本当に顧客に価値を届けられるか」を最上流で見極める力が、チームの成果と持続可能性を左右します。 今回ご登壇いただくkubopさんは、価値駆動開発 &gt; 仕様駆動開発 &gt; 振る舞い駆動開発 &gt; テスト駆動開発といった包含関係として捉え、これらを相反するものではなく組み合わせながら活用する実践を提唱してい</t>
        </is>
      </c>
      <c r="U12" s="15" t="inlineStr">
        <is>
          <t>https://techplay.jp/event/996433</t>
        </is>
      </c>
      <c r="V12" s="10" t="n"/>
      <c r="W12" s="10" t="inlineStr">
        <is>
          <t>本文一致</t>
        </is>
      </c>
      <c r="X12" s="10" t="n"/>
    </row>
    <row r="13">
      <c r="A13" s="10" t="n">
        <v>12</v>
      </c>
      <c r="B13" s="24" t="n">
        <v>46206</v>
      </c>
      <c r="C13" s="24" t="n">
        <v>46206</v>
      </c>
      <c r="D13" s="10">
        <f>MONTH(B13)&amp;"月"</f>
        <v/>
      </c>
      <c r="E13" s="12" t="n">
        <v>1</v>
      </c>
      <c r="F13" s="10" t="n"/>
      <c r="G13" s="10" t="inlineStr">
        <is>
          <t>W&amp;B公式ハンズオン「AI Engineering Dojo」―AIエージェントの評価・改善に挑戦！</t>
        </is>
      </c>
      <c r="H13" s="10" t="inlineStr">
        <is>
          <t>ジェネラティブエージェンツ / Generative Agents</t>
        </is>
      </c>
      <c r="I13" s="10" t="n"/>
      <c r="J13" s="10" t="inlineStr">
        <is>
          <t>connpass</t>
        </is>
      </c>
      <c r="K13" s="10" t="inlineStr">
        <is>
          <t>オンライン</t>
        </is>
      </c>
      <c r="L13" s="10" t="inlineStr">
        <is>
          <t>オンライン</t>
        </is>
      </c>
      <c r="M13" s="10" t="inlineStr">
        <is>
          <t>技術・AI全般</t>
        </is>
      </c>
      <c r="N13" s="10" t="inlineStr">
        <is>
          <t>AIエージェント</t>
        </is>
      </c>
      <c r="O13" s="12" t="inlineStr">
        <is>
          <t>○</t>
        </is>
      </c>
      <c r="P13" s="13" t="n">
        <v>79</v>
      </c>
      <c r="Q13" s="12" t="inlineStr">
        <is>
          <t>参加者数</t>
        </is>
      </c>
      <c r="R13" s="14" t="n">
        <v>200</v>
      </c>
      <c r="S13" s="10" t="n"/>
      <c r="T13" s="10" t="n"/>
      <c r="U13" s="15" t="inlineStr">
        <is>
          <t>https://generative-agents.connpass.com/event/397776/</t>
        </is>
      </c>
      <c r="V13" s="10" t="n"/>
      <c r="W13" s="10" t="inlineStr">
        <is>
          <t>タイトル一致</t>
        </is>
      </c>
      <c r="X13" s="10" t="n"/>
    </row>
    <row r="14">
      <c r="A14" s="10" t="n">
        <v>13</v>
      </c>
      <c r="B14" s="24" t="n">
        <v>46206</v>
      </c>
      <c r="C14" s="24" t="n">
        <v>46206</v>
      </c>
      <c r="D14" s="10">
        <f>MONTH(B14)&amp;"月"</f>
        <v/>
      </c>
      <c r="E14" s="12" t="n">
        <v>1</v>
      </c>
      <c r="F14" s="10" t="n"/>
      <c r="G14" s="10" t="inlineStr">
        <is>
          <t>【CeeBeeDee】Claude Code使いこなせてる？　挫折しないための使いこなし術／たにぐち まこと</t>
        </is>
      </c>
      <c r="H14" s="10" t="inlineStr">
        <is>
          <t>CeeBeeDee</t>
        </is>
      </c>
      <c r="I14" s="10" t="n"/>
      <c r="J14" s="10" t="inlineStr">
        <is>
          <t>Doorkeeper</t>
        </is>
      </c>
      <c r="K14" s="10" t="inlineStr">
        <is>
          <t>不明</t>
        </is>
      </c>
      <c r="L14" s="10" t="n"/>
      <c r="M14" s="10" t="inlineStr">
        <is>
          <t>開発生産性</t>
        </is>
      </c>
      <c r="N14" s="10" t="inlineStr">
        <is>
          <t>AIエージェント</t>
        </is>
      </c>
      <c r="O14" s="12" t="inlineStr">
        <is>
          <t>○</t>
        </is>
      </c>
      <c r="P14" s="13" t="n">
        <v>608</v>
      </c>
      <c r="Q14" s="12" t="inlineStr">
        <is>
          <t>参加者数</t>
        </is>
      </c>
      <c r="R14" s="14" t="n"/>
      <c r="S14" s="10" t="n"/>
      <c r="T14" s="10" t="inlineStr">
        <is>
          <t xml:space="preserve"> 本イベントは終了しています。「アーカイブ動画を見たい方」「スライドをダウンロードしたい方」はSTORESからお求めください。 個人向け（3,300円） ※領収書なし 個人・フリーランス（5,500円） 法人向け（11,000円） 本日現在（7月3日[金]）、194本のアーカイブが見放題になる定額制（サブスク）も用意しています。 3ヶ月ごと：35ドル 12ヶ月ごと：130ドル 動画だけでなく、スライドや補足なども含まれます。 生成AIコ</t>
        </is>
      </c>
      <c r="U14" s="15" t="inlineStr">
        <is>
          <t>https://cssnite.doorkeeper.jp/events/197947</t>
        </is>
      </c>
      <c r="V14" s="10" t="n"/>
      <c r="W14" s="10" t="inlineStr">
        <is>
          <t>タイトル一致</t>
        </is>
      </c>
      <c r="X14" s="10" t="n"/>
    </row>
    <row r="15">
      <c r="A15" s="10" t="n">
        <v>14</v>
      </c>
      <c r="B15" s="24" t="n">
        <v>46206</v>
      </c>
      <c r="C15" s="24" t="n">
        <v>46206</v>
      </c>
      <c r="D15" s="10">
        <f>MONTH(B15)&amp;"月"</f>
        <v/>
      </c>
      <c r="E15" s="12" t="n">
        <v>1</v>
      </c>
      <c r="F15" s="10" t="n"/>
      <c r="G15" s="10" t="inlineStr">
        <is>
          <t>デジタル活用実践セミナー第3弾“超実践型”職場で活かせる「生成AIセミナー」応用編</t>
        </is>
      </c>
      <c r="H15" s="10" t="inlineStr">
        <is>
          <t>魚津観光まちづくり株式会社</t>
        </is>
      </c>
      <c r="I15" s="10" t="n"/>
      <c r="J15" s="10" t="inlineStr">
        <is>
          <t>こくちーずプロ</t>
        </is>
      </c>
      <c r="K15" s="10" t="inlineStr">
        <is>
          <t>オフライン（会場）</t>
        </is>
      </c>
      <c r="L15" s="10" t="inlineStr">
        <is>
          <t>魚津商工会議所5階研修室 富山県魚津市釈迦堂1丁目12-18</t>
        </is>
      </c>
      <c r="M15" s="10" t="inlineStr">
        <is>
          <t>生産性向上・業務効率化</t>
        </is>
      </c>
      <c r="N15" s="10" t="inlineStr">
        <is>
          <t>AIエージェント</t>
        </is>
      </c>
      <c r="O15" s="12" t="inlineStr">
        <is>
          <t>○</t>
        </is>
      </c>
      <c r="P15" s="13" t="n">
        <v>0</v>
      </c>
      <c r="Q15" s="12" t="inlineStr">
        <is>
          <t>参加者数</t>
        </is>
      </c>
      <c r="R15" s="14" t="n">
        <v>40</v>
      </c>
      <c r="S15" s="10" t="n"/>
      <c r="T15" s="10" t="inlineStr">
        <is>
          <t>【プログラム】 ・AIO（AI最適化）対策への心構えと備え ・AIエージェントの業務活用と社内データ整備 ・事業者向けワンランク上のセキュリティ対策 ＋α：今後のAIトレンドについて 申し込みは以下から https://x.gd/mnuIs https://uozu-machi.com/news/4166/ 【無料個別相談会実施】 公益財団法人富山県新世紀産業機構のご協力により、富山県よろず支援拠点による無料個別相談会も実施します。講演</t>
        </is>
      </c>
      <c r="U15" s="15" t="inlineStr">
        <is>
          <t>https://www.kokuchpro.com/event/a5d256165da52d3d1c762f606d771a51/</t>
        </is>
      </c>
      <c r="V15" s="10" t="n"/>
      <c r="W15" s="10" t="inlineStr">
        <is>
          <t>本文一致</t>
        </is>
      </c>
      <c r="X15" s="10" t="n"/>
    </row>
    <row r="16">
      <c r="A16" s="10" t="n">
        <v>15</v>
      </c>
      <c r="B16" s="24" t="n">
        <v>46207</v>
      </c>
      <c r="C16" s="24" t="n">
        <v>46285</v>
      </c>
      <c r="D16" s="10">
        <f>MONTH(B16)&amp;"月"</f>
        <v/>
      </c>
      <c r="E16" s="12" t="n">
        <v>5</v>
      </c>
      <c r="F16" s="10" t="inlineStr">
        <is>
          <t>07/04、08/01、08/15、09/05、09/20</t>
        </is>
      </c>
      <c r="G16" s="10" t="inlineStr">
        <is>
          <t>Women Who Go Tokyo読書会 Goで作るセキュリティ分析LLMエージェント #11</t>
        </is>
      </c>
      <c r="H16" s="10" t="inlineStr">
        <is>
          <t>Women Who Go Tokyo</t>
        </is>
      </c>
      <c r="I16" s="10" t="n"/>
      <c r="J16" s="10" t="inlineStr">
        <is>
          <t>connpass</t>
        </is>
      </c>
      <c r="K16" s="10" t="inlineStr">
        <is>
          <t>オンライン</t>
        </is>
      </c>
      <c r="L16" s="10" t="inlineStr">
        <is>
          <t>オンライン</t>
        </is>
      </c>
      <c r="M16" s="10" t="inlineStr">
        <is>
          <t>技術・AI全般</t>
        </is>
      </c>
      <c r="N16" s="10" t="inlineStr">
        <is>
          <t>AIエージェント</t>
        </is>
      </c>
      <c r="O16" s="12" t="inlineStr">
        <is>
          <t>○</t>
        </is>
      </c>
      <c r="P16" s="13" t="n">
        <v>24</v>
      </c>
      <c r="Q16" s="12" t="inlineStr">
        <is>
          <t>参加者数</t>
        </is>
      </c>
      <c r="R16" s="14" t="n">
        <v>50</v>
      </c>
      <c r="S16" s="10" t="inlineStr">
        <is>
          <t>全5回の合計</t>
        </is>
      </c>
      <c r="T16" s="10" t="n"/>
      <c r="U16" s="15" t="inlineStr">
        <is>
          <t>https://womenwhogo-tokyo.connpass.com/event/398081/</t>
        </is>
      </c>
      <c r="V16" s="10" t="n"/>
      <c r="W16" s="10" t="inlineStr">
        <is>
          <t>タイトル一致</t>
        </is>
      </c>
      <c r="X16" s="10" t="n"/>
    </row>
    <row r="17">
      <c r="A17" s="10" t="n">
        <v>16</v>
      </c>
      <c r="B17" s="24" t="n">
        <v>46207</v>
      </c>
      <c r="C17" s="24" t="n">
        <v>46242</v>
      </c>
      <c r="D17" s="10">
        <f>MONTH(B17)&amp;"月"</f>
        <v/>
      </c>
      <c r="E17" s="12" t="n">
        <v>5</v>
      </c>
      <c r="F17" s="10" t="inlineStr">
        <is>
          <t>07/04、07/18、07/25、08/01、08/08</t>
        </is>
      </c>
      <c r="G17" s="10" t="inlineStr">
        <is>
          <t>【初心者歓迎・無料】ゼロから始めるClaude Code講座</t>
        </is>
      </c>
      <c r="H17" s="10" t="inlineStr">
        <is>
          <t>みんなのグラさんと愉快な仲間たち</t>
        </is>
      </c>
      <c r="I17" s="10" t="n"/>
      <c r="J17" s="10" t="inlineStr">
        <is>
          <t>connpass</t>
        </is>
      </c>
      <c r="K17" s="10" t="inlineStr">
        <is>
          <t>会場</t>
        </is>
      </c>
      <c r="L17" s="10" t="inlineStr">
        <is>
          <t>千代田区平河町2-7-2 VORT永田町6F</t>
        </is>
      </c>
      <c r="M17" s="10" t="inlineStr">
        <is>
          <t>開発生産性</t>
        </is>
      </c>
      <c r="N17" s="10" t="inlineStr">
        <is>
          <t>AIエージェント</t>
        </is>
      </c>
      <c r="O17" s="12" t="inlineStr">
        <is>
          <t>○</t>
        </is>
      </c>
      <c r="P17" s="13" t="n">
        <v>8</v>
      </c>
      <c r="Q17" s="12" t="inlineStr">
        <is>
          <t>参加者数</t>
        </is>
      </c>
      <c r="R17" s="14" t="n"/>
      <c r="S17" s="10" t="inlineStr">
        <is>
          <t>全5回の合計</t>
        </is>
      </c>
      <c r="T17" s="10" t="n"/>
      <c r="U17" s="15" t="inlineStr">
        <is>
          <t>https://glass-sun.connpass.com/event/397320/</t>
        </is>
      </c>
      <c r="V17" s="10" t="n"/>
      <c r="W17" s="10" t="inlineStr">
        <is>
          <t>タイトル一致</t>
        </is>
      </c>
      <c r="X17" s="10" t="n"/>
    </row>
    <row r="18">
      <c r="A18" s="10" t="n">
        <v>17</v>
      </c>
      <c r="B18" s="24" t="n">
        <v>46207</v>
      </c>
      <c r="C18" s="24" t="n">
        <v>46207</v>
      </c>
      <c r="D18" s="10">
        <f>MONTH(B18)&amp;"月"</f>
        <v/>
      </c>
      <c r="E18" s="12" t="n">
        <v>1</v>
      </c>
      <c r="F18" s="10" t="n"/>
      <c r="G18" s="10" t="inlineStr">
        <is>
          <t>【参加無料】Riding プログラミング講習会のお知らせ【7月4日(土)開催】</t>
        </is>
      </c>
      <c r="H18" s="10" t="inlineStr">
        <is>
          <t>株式会社Riding</t>
        </is>
      </c>
      <c r="I18" s="10" t="n"/>
      <c r="J18" s="10" t="inlineStr">
        <is>
          <t>こくちーずプロ</t>
        </is>
      </c>
      <c r="K18" s="10" t="inlineStr">
        <is>
          <t>オフライン（会場）</t>
        </is>
      </c>
      <c r="L18" s="10" t="inlineStr">
        <is>
          <t>株式会社Riding 東京都東京都品川区西五反田8-2-8 五反田佑気ビル 9F</t>
        </is>
      </c>
      <c r="M18" s="10" t="inlineStr">
        <is>
          <t>開発生産性</t>
        </is>
      </c>
      <c r="N18" s="10" t="inlineStr">
        <is>
          <t>AIエージェント</t>
        </is>
      </c>
      <c r="O18" s="12" t="inlineStr">
        <is>
          <t>△</t>
        </is>
      </c>
      <c r="P18" s="13" t="n">
        <v>0</v>
      </c>
      <c r="Q18" s="12" t="inlineStr">
        <is>
          <t>参加者数</t>
        </is>
      </c>
      <c r="R18" s="14" t="n">
        <v>10</v>
      </c>
      <c r="S18" s="10" t="n"/>
      <c r="T18" s="10" t="inlineStr">
        <is>
          <t>---- 【参加無料】Riding プログラミング講習会のお知らせ【7月4日(土)開催】 こんにちは！ 第6回Riding主催のプログラミング講習会を下記のとおり開催することとなりました。 第6回目のテーマは ①「Riding研修の卒業制作発表」 ②「ゲスト LiNKCREW 山口さんによる講義」 ③「Claude Codeで始めるループエンジニアリング」 の3本立てです！ 初心者の方ももちろん大歓迎です！ プログラミングを学びながら、</t>
        </is>
      </c>
      <c r="U18" s="15" t="inlineStr">
        <is>
          <t>https://www.kokuchpro.com/event/bb34ad45cb8a954b11e51e243e031fe6/</t>
        </is>
      </c>
      <c r="V18" s="10" t="n"/>
      <c r="W18" s="10" t="inlineStr">
        <is>
          <t>本文一致</t>
        </is>
      </c>
      <c r="X18" s="10" t="n"/>
    </row>
    <row r="19">
      <c r="A19" s="10" t="n">
        <v>18</v>
      </c>
      <c r="B19" s="24" t="n">
        <v>46207</v>
      </c>
      <c r="C19" s="24" t="n">
        <v>46207</v>
      </c>
      <c r="D19" s="10">
        <f>MONTH(B19)&amp;"月"</f>
        <v/>
      </c>
      <c r="E19" s="12" t="n">
        <v>1</v>
      </c>
      <c r="F19" s="10" t="n"/>
      <c r="G19" s="10" t="inlineStr">
        <is>
          <t>ゼロからはじめるClaude Code入門講座(対面・無料)</t>
        </is>
      </c>
      <c r="H19" s="10" t="inlineStr">
        <is>
          <t>テックジム事務局</t>
        </is>
      </c>
      <c r="I19" s="10" t="n"/>
      <c r="J19" s="10" t="inlineStr">
        <is>
          <t>こくちーずプロ</t>
        </is>
      </c>
      <c r="K19" s="10" t="inlineStr">
        <is>
          <t>オフライン（会場）</t>
        </is>
      </c>
      <c r="L19" s="10" t="inlineStr">
        <is>
          <t>テックジム東京本校 東京都千代田区平河町2-7-2 VORT永田町6F</t>
        </is>
      </c>
      <c r="M19" s="10" t="inlineStr">
        <is>
          <t>開発生産性</t>
        </is>
      </c>
      <c r="N19" s="10" t="inlineStr">
        <is>
          <t>AIエージェント</t>
        </is>
      </c>
      <c r="O19" s="12" t="inlineStr">
        <is>
          <t>○</t>
        </is>
      </c>
      <c r="P19" s="13" t="n">
        <v>1</v>
      </c>
      <c r="Q19" s="12" t="inlineStr">
        <is>
          <t>参加者数</t>
        </is>
      </c>
      <c r="R19" s="14" t="n">
        <v>3</v>
      </c>
      <c r="S19" s="10" t="n"/>
      <c r="T19" s="10" t="inlineStr">
        <is>
          <t>ゼロからはじめるClaude Code講座（対面・無料） 【会場での開催となります】 オンラインでは出来ない細やかなサポートが、リアル開催ならでは！ 初学者から年齢、性別に限らず興味がある方に受講頂いている当講座。 どなたでもお気軽にご参加ください。講座後はテックジム会員様と混ざって頂き自習室を自由にご利用ください。 入退室は自由となっております。※ノートPC持参でお願いします。 あなたの作りたいものを作る 本講座では 「その日のうちに</t>
        </is>
      </c>
      <c r="U19" s="15" t="inlineStr">
        <is>
          <t>https://www.kokuchpro.com/event/8d639521d6dab7ff6a25a9a1fff3340e/3819131/</t>
        </is>
      </c>
      <c r="V19" s="10" t="n"/>
      <c r="W19" s="10" t="inlineStr">
        <is>
          <t>タイトル一致</t>
        </is>
      </c>
      <c r="X19" s="10" t="n"/>
    </row>
    <row r="20">
      <c r="A20" s="10" t="n">
        <v>19</v>
      </c>
      <c r="B20" s="24" t="n">
        <v>46207</v>
      </c>
      <c r="C20" s="24" t="n">
        <v>46291</v>
      </c>
      <c r="D20" s="10">
        <f>MONTH(B20)&amp;"月"</f>
        <v/>
      </c>
      <c r="E20" s="12" t="n">
        <v>13</v>
      </c>
      <c r="F20" s="10" t="inlineStr">
        <is>
          <t>07/04、07/11、07/18、07/25、08/01、08/08、08/15、08/22、08/29、09/05、09/12、09/19、09/26</t>
        </is>
      </c>
      <c r="G20" s="10" t="inlineStr">
        <is>
          <t>バイブコーディングクラブ</t>
        </is>
      </c>
      <c r="H20" s="10" t="inlineStr">
        <is>
          <t>I Love AI</t>
        </is>
      </c>
      <c r="I20" s="10" t="n"/>
      <c r="J20" s="10" t="inlineStr">
        <is>
          <t>TECH PLAY</t>
        </is>
      </c>
      <c r="K20" s="10" t="inlineStr">
        <is>
          <t>ハイブリッド</t>
        </is>
      </c>
      <c r="L20" s="10" t="inlineStr">
        <is>
          <t>エンジニアカフェ 福岡市中央区天神1丁目15番30号</t>
        </is>
      </c>
      <c r="M20" s="10" t="inlineStr">
        <is>
          <t>開発生産性</t>
        </is>
      </c>
      <c r="N20" s="10" t="inlineStr">
        <is>
          <t>AIエージェント</t>
        </is>
      </c>
      <c r="O20" s="12" t="inlineStr">
        <is>
          <t>△</t>
        </is>
      </c>
      <c r="P20" s="13" t="n">
        <v>13</v>
      </c>
      <c r="Q20" s="12" t="inlineStr">
        <is>
          <t>申込者数</t>
        </is>
      </c>
      <c r="R20" s="14" t="n">
        <v>52</v>
      </c>
      <c r="S20" s="10" t="inlineStr">
        <is>
          <t>全13回の合計</t>
        </is>
      </c>
      <c r="T20" s="10" t="inlineStr">
        <is>
          <t>バイブコーディングクラブ Claude Code Proプラン支給！挑戦者募集☆（未経験可） 概要 バイブコーディングとは、AIにコーディングを任せて高速に実装する手法です🤖 本イベントでは、挑戦者が持参するアイデアでバイブコーディングを行い、1ヶ月間でプロダクトを完成させます🧠 バイブコーディングクラブウェブサイトで歴代挑戦者の作品を閲覧できます👀 挑戦者 募集中です🔥 非エンジニアでも上級者でも挑戦可能です🙆 参加登録後に支給する1</t>
        </is>
      </c>
      <c r="U20" s="15" t="inlineStr">
        <is>
          <t>https://techplay.jp/event/997598</t>
        </is>
      </c>
      <c r="V20" s="10" t="n"/>
      <c r="W20" s="10" t="inlineStr">
        <is>
          <t>本文一致</t>
        </is>
      </c>
      <c r="X20" s="10" t="n"/>
    </row>
    <row r="21">
      <c r="A21" s="10" t="n">
        <v>20</v>
      </c>
      <c r="B21" s="24" t="n">
        <v>46208</v>
      </c>
      <c r="C21" s="24" t="n">
        <v>46208</v>
      </c>
      <c r="D21" s="10">
        <f>MONTH(B21)&amp;"月"</f>
        <v/>
      </c>
      <c r="E21" s="12" t="n">
        <v>1</v>
      </c>
      <c r="F21" s="10" t="n"/>
      <c r="G21" s="10" t="inlineStr">
        <is>
          <t>Microsoft Agent 365 の成長を見守る会</t>
        </is>
      </c>
      <c r="H21" s="10" t="inlineStr">
        <is>
          <t>Microsoft Agent 365 Japan</t>
        </is>
      </c>
      <c r="I21" s="10" t="n"/>
      <c r="J21" s="10" t="inlineStr">
        <is>
          <t>connpass</t>
        </is>
      </c>
      <c r="K21" s="10" t="inlineStr">
        <is>
          <t>オンライン</t>
        </is>
      </c>
      <c r="L21" s="10" t="inlineStr">
        <is>
          <t>オンライン</t>
        </is>
      </c>
      <c r="M21" s="10" t="inlineStr">
        <is>
          <t>技術・AI全般</t>
        </is>
      </c>
      <c r="N21" s="10" t="inlineStr">
        <is>
          <t>AIエージェント</t>
        </is>
      </c>
      <c r="O21" s="12" t="inlineStr">
        <is>
          <t>○</t>
        </is>
      </c>
      <c r="P21" s="13" t="n">
        <v>53</v>
      </c>
      <c r="Q21" s="12" t="inlineStr">
        <is>
          <t>参加者数</t>
        </is>
      </c>
      <c r="R21" s="14" t="n"/>
      <c r="S21" s="10" t="n"/>
      <c r="T21" s="10" t="n"/>
      <c r="U21" s="15" t="inlineStr">
        <is>
          <t>https://agent365jp.connpass.com/event/396638/</t>
        </is>
      </c>
      <c r="V21" s="10" t="n"/>
      <c r="W21" s="10" t="inlineStr">
        <is>
          <t>タイトル一致</t>
        </is>
      </c>
      <c r="X21" s="10" t="n"/>
    </row>
    <row r="22">
      <c r="A22" s="10" t="n">
        <v>21</v>
      </c>
      <c r="B22" s="24" t="n">
        <v>46208</v>
      </c>
      <c r="C22" s="24" t="n">
        <v>46257</v>
      </c>
      <c r="D22" s="10">
        <f>MONTH(B22)&amp;"月"</f>
        <v/>
      </c>
      <c r="E22" s="12" t="n">
        <v>4</v>
      </c>
      <c r="F22" s="10" t="inlineStr">
        <is>
          <t>07/05、07/19、08/02、08/23</t>
        </is>
      </c>
      <c r="G22" s="10" t="inlineStr">
        <is>
          <t>[秋葉原] AI駆動開発 / LLM もくもく会 (初参加・初心者大歓迎！)</t>
        </is>
      </c>
      <c r="H22" s="10" t="inlineStr">
        <is>
          <t>コワーキングスペース秋葉原 Weeyble</t>
        </is>
      </c>
      <c r="I22" s="10" t="n"/>
      <c r="J22" s="10" t="inlineStr">
        <is>
          <t>TECH PLAY</t>
        </is>
      </c>
      <c r="K22" s="10" t="inlineStr">
        <is>
          <t>会場</t>
        </is>
      </c>
      <c r="L22" s="10" t="inlineStr">
        <is>
          <t>コワーキングスペース秋葉原 Weeyble 東京都千代田区神田佐久間町3-37-1 山茂登ビル3F</t>
        </is>
      </c>
      <c r="M22" s="10" t="inlineStr">
        <is>
          <t>開発生産性</t>
        </is>
      </c>
      <c r="N22" s="10" t="inlineStr">
        <is>
          <t>MCP</t>
        </is>
      </c>
      <c r="O22" s="12" t="inlineStr">
        <is>
          <t>△</t>
        </is>
      </c>
      <c r="P22" s="13" t="n"/>
      <c r="Q22" s="12" t="inlineStr">
        <is>
          <t>非公開</t>
        </is>
      </c>
      <c r="R22" s="14" t="n">
        <v>32</v>
      </c>
      <c r="S22" s="10" t="inlineStr">
        <is>
          <t>全4回の合計</t>
        </is>
      </c>
      <c r="T22" s="10" t="inlineStr">
        <is>
          <t>この会について AI駆動開発や大規模言語モデル（LLM）についての理解を深めるためのもくもく会です。 LLMそのものについて勉強したい方はもちろん、LLMを活用しながら他のプログラミングや研究、業務の課題に取り組む方も大歓迎です。 キーワード: Claude Code / Codex / Cline / Cursor / Copilot / MCP / ChatGPT / Gemini / Llama / RAG / LangChain</t>
        </is>
      </c>
      <c r="U22" s="15" t="inlineStr">
        <is>
          <t>https://techplay.jp/event/997834</t>
        </is>
      </c>
      <c r="V22" s="10" t="n"/>
      <c r="W22" s="10" t="inlineStr">
        <is>
          <t>本文一致</t>
        </is>
      </c>
      <c r="X22" s="10" t="n"/>
    </row>
    <row r="23">
      <c r="A23" s="10" t="n">
        <v>22</v>
      </c>
      <c r="B23" s="24" t="n">
        <v>46208</v>
      </c>
      <c r="C23" s="24" t="n">
        <v>46250</v>
      </c>
      <c r="D23" s="10">
        <f>MONTH(B23)&amp;"月"</f>
        <v/>
      </c>
      <c r="E23" s="12" t="n">
        <v>4</v>
      </c>
      <c r="F23" s="10" t="inlineStr">
        <is>
          <t>07/05、07/19、08/02、08/16</t>
        </is>
      </c>
      <c r="G23" s="10" t="inlineStr">
        <is>
          <t>[秋葉原] Amazon Bedrock AgentCore 実践入門 輪読&amp;勉強会 4章ハンズオン</t>
        </is>
      </c>
      <c r="H23" s="10" t="inlineStr">
        <is>
          <t>Weeyble データサイエンス</t>
        </is>
      </c>
      <c r="I23" s="10" t="n"/>
      <c r="J23" s="10" t="inlineStr">
        <is>
          <t>connpass</t>
        </is>
      </c>
      <c r="K23" s="10" t="inlineStr">
        <is>
          <t>会場</t>
        </is>
      </c>
      <c r="L23" s="10" t="inlineStr">
        <is>
          <t>東京都千代田区神田佐久間町3丁目37-1 山茂登ビル3F Weeyble</t>
        </is>
      </c>
      <c r="M23" s="10" t="inlineStr">
        <is>
          <t>技術・AI全般</t>
        </is>
      </c>
      <c r="N23" s="10" t="inlineStr">
        <is>
          <t>AIエージェント</t>
        </is>
      </c>
      <c r="O23" s="12" t="inlineStr">
        <is>
          <t>○</t>
        </is>
      </c>
      <c r="P23" s="13" t="n">
        <v>32</v>
      </c>
      <c r="Q23" s="12" t="inlineStr">
        <is>
          <t>参加者数</t>
        </is>
      </c>
      <c r="R23" s="14" t="n">
        <v>38</v>
      </c>
      <c r="S23" s="10" t="inlineStr">
        <is>
          <t>全4回の合計</t>
        </is>
      </c>
      <c r="T23" s="10" t="n"/>
      <c r="U23" s="15" t="inlineStr">
        <is>
          <t>https://weeyble-data.connpass.com/event/398804/</t>
        </is>
      </c>
      <c r="V23" s="10" t="n"/>
      <c r="W23" s="10" t="inlineStr">
        <is>
          <t>タイトル一致</t>
        </is>
      </c>
      <c r="X23" s="10" t="n"/>
    </row>
    <row r="24">
      <c r="A24" s="10" t="n">
        <v>23</v>
      </c>
      <c r="B24" s="24" t="n">
        <v>46208</v>
      </c>
      <c r="C24" s="24" t="n">
        <v>46292</v>
      </c>
      <c r="D24" s="10">
        <f>MONTH(B24)&amp;"月"</f>
        <v/>
      </c>
      <c r="E24" s="12" t="n">
        <v>8</v>
      </c>
      <c r="F24" s="10" t="inlineStr">
        <is>
          <t>07/05、07/12、07/26、08/02、08/23、09/06、09/13、09/27</t>
        </is>
      </c>
      <c r="G24" s="10" t="inlineStr">
        <is>
          <t>「実践Claude Code入門」読書会 #4</t>
        </is>
      </c>
      <c r="H24" s="10" t="inlineStr">
        <is>
          <t>IT系勉強会</t>
        </is>
      </c>
      <c r="I24" s="10" t="n"/>
      <c r="J24" s="10" t="inlineStr">
        <is>
          <t>connpass</t>
        </is>
      </c>
      <c r="K24" s="10" t="inlineStr">
        <is>
          <t>オンライン</t>
        </is>
      </c>
      <c r="L24" s="10" t="inlineStr">
        <is>
          <t>オンライン</t>
        </is>
      </c>
      <c r="M24" s="10" t="inlineStr">
        <is>
          <t>開発生産性</t>
        </is>
      </c>
      <c r="N24" s="10" t="inlineStr">
        <is>
          <t>AIエージェント</t>
        </is>
      </c>
      <c r="O24" s="12" t="inlineStr">
        <is>
          <t>○</t>
        </is>
      </c>
      <c r="P24" s="13" t="n">
        <v>32</v>
      </c>
      <c r="Q24" s="12" t="inlineStr">
        <is>
          <t>参加者数</t>
        </is>
      </c>
      <c r="R24" s="14" t="n"/>
      <c r="S24" s="10" t="inlineStr">
        <is>
          <t>全8回の合計</t>
        </is>
      </c>
      <c r="T24" s="10" t="n"/>
      <c r="U24" s="15" t="inlineStr">
        <is>
          <t>https://study-group.connpass.com/event/398087/</t>
        </is>
      </c>
      <c r="V24" s="10" t="n"/>
      <c r="W24" s="10" t="inlineStr">
        <is>
          <t>タイトル一致</t>
        </is>
      </c>
      <c r="X24" s="10" t="n"/>
    </row>
    <row r="25">
      <c r="A25" s="10" t="n">
        <v>24</v>
      </c>
      <c r="B25" s="24" t="n">
        <v>46208</v>
      </c>
      <c r="C25" s="24" t="n">
        <v>46208</v>
      </c>
      <c r="D25" s="10">
        <f>MONTH(B25)&amp;"月"</f>
        <v/>
      </c>
      <c r="E25" s="12" t="n">
        <v>1</v>
      </c>
      <c r="F25" s="10" t="n"/>
      <c r="G25" s="10" t="inlineStr">
        <is>
          <t>【増枠】小杉湯の隣 Hermes Agent を触る会</t>
        </is>
      </c>
      <c r="H25" s="10" t="inlineStr">
        <is>
          <t>DevAI</t>
        </is>
      </c>
      <c r="I25" s="10" t="n"/>
      <c r="J25" s="10" t="inlineStr">
        <is>
          <t>connpass</t>
        </is>
      </c>
      <c r="K25" s="10" t="inlineStr">
        <is>
          <t>会場</t>
        </is>
      </c>
      <c r="L25" s="10" t="inlineStr">
        <is>
          <t>杉並区高円寺北３丁目３２−１７</t>
        </is>
      </c>
      <c r="M25" s="10" t="inlineStr">
        <is>
          <t>生産管理・製造・SCM</t>
        </is>
      </c>
      <c r="N25" s="10" t="inlineStr">
        <is>
          <t>AIエージェント</t>
        </is>
      </c>
      <c r="O25" s="12" t="inlineStr">
        <is>
          <t>◎</t>
        </is>
      </c>
      <c r="P25" s="13" t="n">
        <v>5</v>
      </c>
      <c r="Q25" s="12" t="inlineStr">
        <is>
          <t>参加者数</t>
        </is>
      </c>
      <c r="R25" s="14" t="n">
        <v>8</v>
      </c>
      <c r="S25" s="10" t="n"/>
      <c r="T25" s="10" t="n"/>
      <c r="U25" s="15" t="inlineStr">
        <is>
          <t>https://ai-developer-monetization-lab.connpass.com/event/397293/</t>
        </is>
      </c>
      <c r="V25" s="10" t="n"/>
      <c r="W25" s="10" t="inlineStr">
        <is>
          <t>タイトル一致</t>
        </is>
      </c>
      <c r="X25" s="10" t="n"/>
    </row>
    <row r="26">
      <c r="A26" s="10" t="n">
        <v>25</v>
      </c>
      <c r="B26" s="24" t="n">
        <v>46208</v>
      </c>
      <c r="C26" s="24" t="n">
        <v>46208</v>
      </c>
      <c r="D26" s="10">
        <f>MONTH(B26)&amp;"月"</f>
        <v/>
      </c>
      <c r="E26" s="12" t="n">
        <v>1</v>
      </c>
      <c r="F26" s="10" t="n"/>
      <c r="G26" s="10" t="inlineStr">
        <is>
          <t>安全に使うClaude Code</t>
        </is>
      </c>
      <c r="H26" s="10" t="inlineStr">
        <is>
          <t>デジタルレイバーズ</t>
        </is>
      </c>
      <c r="I26" s="10" t="n"/>
      <c r="J26" s="10" t="inlineStr">
        <is>
          <t>connpass</t>
        </is>
      </c>
      <c r="K26" s="10" t="inlineStr">
        <is>
          <t>オンライン</t>
        </is>
      </c>
      <c r="L26" s="10" t="inlineStr">
        <is>
          <t>オンライン</t>
        </is>
      </c>
      <c r="M26" s="10" t="inlineStr">
        <is>
          <t>開発生産性</t>
        </is>
      </c>
      <c r="N26" s="10" t="inlineStr">
        <is>
          <t>AIエージェント</t>
        </is>
      </c>
      <c r="O26" s="12" t="inlineStr">
        <is>
          <t>○</t>
        </is>
      </c>
      <c r="P26" s="13" t="n">
        <v>22</v>
      </c>
      <c r="Q26" s="12" t="inlineStr">
        <is>
          <t>参加者数</t>
        </is>
      </c>
      <c r="R26" s="14" t="n">
        <v>30</v>
      </c>
      <c r="S26" s="10" t="n"/>
      <c r="T26" s="10" t="n"/>
      <c r="U26" s="15" t="inlineStr">
        <is>
          <t>https://digital-labors.connpass.com/event/397379/</t>
        </is>
      </c>
      <c r="V26" s="10" t="n"/>
      <c r="W26" s="10" t="inlineStr">
        <is>
          <t>タイトル一致</t>
        </is>
      </c>
      <c r="X26" s="10" t="n"/>
    </row>
    <row r="27">
      <c r="A27" s="10" t="n">
        <v>26</v>
      </c>
      <c r="B27" s="24" t="n">
        <v>46208</v>
      </c>
      <c r="C27" s="24" t="n">
        <v>46208</v>
      </c>
      <c r="D27" s="10">
        <f>MONTH(B27)&amp;"月"</f>
        <v/>
      </c>
      <c r="E27" s="12" t="n">
        <v>1</v>
      </c>
      <c r="F27" s="10" t="n"/>
      <c r="G27" s="10" t="inlineStr">
        <is>
          <t>安全に使うClaude Code 〜非エンジニアのための"守りながら使う"実践ガイド〜</t>
        </is>
      </c>
      <c r="H27" s="10" t="inlineStr">
        <is>
          <t>デジタルレイバーズ</t>
        </is>
      </c>
      <c r="I27" s="10" t="n"/>
      <c r="J27" s="10" t="inlineStr">
        <is>
          <t>TECH PLAY</t>
        </is>
      </c>
      <c r="K27" s="10" t="inlineStr">
        <is>
          <t>オンライン</t>
        </is>
      </c>
      <c r="L27" s="10" t="n"/>
      <c r="M27" s="10" t="inlineStr">
        <is>
          <t>生産性向上・業務効率化</t>
        </is>
      </c>
      <c r="N27" s="10" t="inlineStr">
        <is>
          <t>AIエージェント</t>
        </is>
      </c>
      <c r="O27" s="12" t="inlineStr">
        <is>
          <t>◎</t>
        </is>
      </c>
      <c r="P27" s="13" t="n">
        <v>24</v>
      </c>
      <c r="Q27" s="12" t="inlineStr">
        <is>
          <t>申込者数</t>
        </is>
      </c>
      <c r="R27" s="14" t="n">
        <v>30</v>
      </c>
      <c r="S27" s="10" t="n"/>
      <c r="T27" s="10" t="inlineStr">
        <is>
          <t>簡単な紹介 非エンジニアの方が、Claude Codeを安全に使いこなし、データ分析から提案資料の作成、ファイル処理までを実務に落とし込むための実践ガイドです。 イベントについて 本セミナーは、エンジニアではない経営者・幹部・実務担当者の方を対象に、Claude Codeを「プログラム開発のためのツール」ではなく「あらゆる業務を任せられる汎用的なアシスタント」として捉え直すための講義＋デモのセミナーです。 多くの現場では、複雑なデータの</t>
        </is>
      </c>
      <c r="U27" s="15" t="inlineStr">
        <is>
          <t>https://techplay.jp/event/997138</t>
        </is>
      </c>
      <c r="V27" s="10" t="n"/>
      <c r="W27" s="10" t="inlineStr">
        <is>
          <t>タイトル一致</t>
        </is>
      </c>
      <c r="X27" s="10" t="n"/>
    </row>
    <row r="28">
      <c r="A28" s="10" t="n">
        <v>27</v>
      </c>
      <c r="B28" s="24" t="n">
        <v>46208</v>
      </c>
      <c r="C28" s="24" t="n">
        <v>46243</v>
      </c>
      <c r="D28" s="10">
        <f>MONTH(B28)&amp;"月"</f>
        <v/>
      </c>
      <c r="E28" s="12" t="n">
        <v>3</v>
      </c>
      <c r="F28" s="10" t="inlineStr">
        <is>
          <t>07/05、07/31、08/09</t>
        </is>
      </c>
      <c r="G28" s="10" t="inlineStr">
        <is>
          <t>第9回Roblox×AIで、自分だけの ゲームを作ろう！</t>
        </is>
      </c>
      <c r="H28" s="10" t="inlineStr">
        <is>
          <t>gameschool</t>
        </is>
      </c>
      <c r="I28" s="10" t="n"/>
      <c r="J28" s="10" t="inlineStr">
        <is>
          <t>Doorkeeper</t>
        </is>
      </c>
      <c r="K28" s="10" t="inlineStr">
        <is>
          <t>会場</t>
        </is>
      </c>
      <c r="L28" s="10" t="inlineStr">
        <is>
          <t>路地裏GarageMarket 〒338-0013 埼玉県さいたま市中央区鈴谷７丁目７−３</t>
        </is>
      </c>
      <c r="M28" s="10" t="inlineStr">
        <is>
          <t>生産管理・製造・SCM</t>
        </is>
      </c>
      <c r="N28" s="10" t="inlineStr">
        <is>
          <t>AIエージェント</t>
        </is>
      </c>
      <c r="O28" s="12" t="inlineStr">
        <is>
          <t>○</t>
        </is>
      </c>
      <c r="P28" s="13" t="n">
        <v>6</v>
      </c>
      <c r="Q28" s="12" t="inlineStr">
        <is>
          <t>参加者数</t>
        </is>
      </c>
      <c r="R28" s="14" t="n">
        <v>27</v>
      </c>
      <c r="S28" s="10" t="inlineStr">
        <is>
          <t>全3回の合計</t>
        </is>
      </c>
      <c r="T28" s="10" t="inlineStr">
        <is>
          <t xml:space="preserve"> Robloxでのゲーム作り 🎮 あなたの想像力が、新しいゲームの世界を創る 「遊ぶだけ」から「作る喜び」へ。 Robloxは世界中で2億人以上のユーザーが楽しむゲームの広場。 好きなゲームで遊ぶのも楽しいけれど、「自分だけのゲームを作る」体験はもっと楽しい！ この特別体験イベントでは、プロのゲームクリエイターがあなたのクリエイティブな一歩を全力でサポートします。 これからの時代は、ただ遊ぶだけでなく「自分で作って届ける力」が大きな武器</t>
        </is>
      </c>
      <c r="U28" s="15" t="inlineStr">
        <is>
          <t>https://gameschool.doorkeeper.jp/events/197905</t>
        </is>
      </c>
      <c r="V28" s="10" t="n"/>
      <c r="W28" s="10" t="inlineStr">
        <is>
          <t>本文一致</t>
        </is>
      </c>
      <c r="X28" s="10" t="n"/>
    </row>
    <row r="29">
      <c r="A29" s="10" t="n">
        <v>28</v>
      </c>
      <c r="B29" s="24" t="n">
        <v>46209</v>
      </c>
      <c r="C29" s="24" t="n">
        <v>46209</v>
      </c>
      <c r="D29" s="10">
        <f>MONTH(B29)&amp;"月"</f>
        <v/>
      </c>
      <c r="E29" s="12" t="n">
        <v>1</v>
      </c>
      <c r="F29" s="10" t="n"/>
      <c r="G29" s="10" t="inlineStr">
        <is>
          <t>AIエージェントの最新動向とこれからのキャリア【Developers Online】</t>
        </is>
      </c>
      <c r="H29" s="10" t="inlineStr">
        <is>
          <t>Developers Summit</t>
        </is>
      </c>
      <c r="I29" s="10" t="n"/>
      <c r="J29" s="10" t="inlineStr">
        <is>
          <t>connpass</t>
        </is>
      </c>
      <c r="K29" s="10" t="inlineStr">
        <is>
          <t>オンライン</t>
        </is>
      </c>
      <c r="L29" s="10" t="inlineStr">
        <is>
          <t>オンライン</t>
        </is>
      </c>
      <c r="M29" s="10" t="inlineStr">
        <is>
          <t>技術・AI全般</t>
        </is>
      </c>
      <c r="N29" s="10" t="inlineStr">
        <is>
          <t>AIエージェント</t>
        </is>
      </c>
      <c r="O29" s="12" t="inlineStr">
        <is>
          <t>○</t>
        </is>
      </c>
      <c r="P29" s="13" t="n">
        <v>140</v>
      </c>
      <c r="Q29" s="12" t="inlineStr">
        <is>
          <t>参加者数</t>
        </is>
      </c>
      <c r="R29" s="14" t="n">
        <v>150</v>
      </c>
      <c r="S29" s="10" t="n"/>
      <c r="T29" s="10" t="n"/>
      <c r="U29" s="15" t="inlineStr">
        <is>
          <t>https://devsumi.connpass.com/event/396236/</t>
        </is>
      </c>
      <c r="V29" s="10" t="n"/>
      <c r="W29" s="10" t="inlineStr">
        <is>
          <t>タイトル一致</t>
        </is>
      </c>
      <c r="X29" s="10" t="n"/>
    </row>
    <row r="30">
      <c r="A30" s="10" t="n">
        <v>29</v>
      </c>
      <c r="B30" s="24" t="n">
        <v>46209</v>
      </c>
      <c r="C30" s="24" t="n">
        <v>46209</v>
      </c>
      <c r="D30" s="10">
        <f>MONTH(B30)&amp;"月"</f>
        <v/>
      </c>
      <c r="E30" s="12" t="n">
        <v>1</v>
      </c>
      <c r="F30" s="10" t="n"/>
      <c r="G30" s="10" t="inlineStr">
        <is>
          <t>AI社員を作るClaude Code入門ウェビナー|経営者向け無料セミナー</t>
        </is>
      </c>
      <c r="H30" s="10" t="inlineStr">
        <is>
          <t>AI社員を作るClaude Code入門ウェビナー|経営者向け無料セミナー事務局</t>
        </is>
      </c>
      <c r="I30" s="10" t="n"/>
      <c r="J30" s="10" t="inlineStr">
        <is>
          <t>こくちーずプロ</t>
        </is>
      </c>
      <c r="K30" s="10" t="inlineStr">
        <is>
          <t>オンライン</t>
        </is>
      </c>
      <c r="L30" s="10" t="inlineStr">
        <is>
          <t>オンライン 日本</t>
        </is>
      </c>
      <c r="M30" s="10" t="inlineStr">
        <is>
          <t>生産性向上・業務効率化</t>
        </is>
      </c>
      <c r="N30" s="10" t="inlineStr">
        <is>
          <t>AIエージェント</t>
        </is>
      </c>
      <c r="O30" s="12" t="inlineStr">
        <is>
          <t>◎</t>
        </is>
      </c>
      <c r="P30" s="13" t="n">
        <v>0</v>
      </c>
      <c r="Q30" s="12" t="inlineStr">
        <is>
          <t>参加者数</t>
        </is>
      </c>
      <c r="R30" s="14" t="n">
        <v>30</v>
      </c>
      <c r="S30" s="10" t="n"/>
      <c r="T30" s="10" t="inlineStr">
        <is>
          <t>「Claude Code、最近よく聞くけど…正直、何ができるのかよくわからない」 そんな方のための1時間です。コードは書きません。プログラミングの知識も不要。日本語で頼むだけで何ができるのか——実演でそのまま全部お見せします。 Claude Codeを使えば、コードが書けなくても ・営業／マーケ／経理に「AI社員」を配置して、チームで仕事を回せる ・ホームページやLPを、外注せずに自分で作れる ・業務アプリを、その場で作って使い始められ</t>
        </is>
      </c>
      <c r="U30" s="15" t="inlineStr">
        <is>
          <t>https://www.kokuchpro.com/event/50d9c59588f29fcd31a0c4bba740d584/</t>
        </is>
      </c>
      <c r="V30" s="10" t="n"/>
      <c r="W30" s="10" t="inlineStr">
        <is>
          <t>タイトル一致</t>
        </is>
      </c>
      <c r="X30" s="10" t="n"/>
    </row>
    <row r="31">
      <c r="A31" s="10" t="n">
        <v>30</v>
      </c>
      <c r="B31" s="24" t="n">
        <v>46209</v>
      </c>
      <c r="C31" s="24" t="n">
        <v>46216</v>
      </c>
      <c r="D31" s="10">
        <f>MONTH(B31)&amp;"月"</f>
        <v/>
      </c>
      <c r="E31" s="12" t="n">
        <v>2</v>
      </c>
      <c r="F31" s="10" t="inlineStr">
        <is>
          <t>07/06、07/13</t>
        </is>
      </c>
      <c r="G31" s="10" t="inlineStr">
        <is>
          <t>【梅田・少人数】取り残されないための実践AI活用ワークショップ|ChatGPT以外の生成AIも使い分け</t>
        </is>
      </c>
      <c r="H31" s="10" t="inlineStr">
        <is>
          <t>merit運営事務局</t>
        </is>
      </c>
      <c r="I31" s="10" t="n"/>
      <c r="J31" s="10" t="inlineStr">
        <is>
          <t>こくちーずプロ</t>
        </is>
      </c>
      <c r="K31" s="10" t="inlineStr">
        <is>
          <t>オフライン（会場）</t>
        </is>
      </c>
      <c r="L31" s="10" t="inlineStr">
        <is>
          <t>re:Dine 大阪府大阪市北区大深町6-38 グラングリーン大阪 北館 JAM BASE 1 階</t>
        </is>
      </c>
      <c r="M31" s="10" t="inlineStr">
        <is>
          <t>生産性向上・業務効率化</t>
        </is>
      </c>
      <c r="N31" s="10" t="inlineStr">
        <is>
          <t>AIエージェント</t>
        </is>
      </c>
      <c r="O31" s="12" t="inlineStr">
        <is>
          <t>○</t>
        </is>
      </c>
      <c r="P31" s="13" t="n">
        <v>7</v>
      </c>
      <c r="Q31" s="12" t="inlineStr">
        <is>
          <t>参加者数</t>
        </is>
      </c>
      <c r="R31" s="14" t="n">
        <v>12</v>
      </c>
      <c r="S31" s="10" t="inlineStr">
        <is>
          <t>全2回の合計</t>
        </is>
      </c>
      <c r="T31" s="10" t="inlineStr">
        <is>
          <t>※ご参加の方は、 申込完了メール より 「自己紹介シート」 の作成をお願いしております。必ずご確認頂くようお願い致します。 MERIT AI WORKSHOP AI活用ワークショップ ChatGPTだけじゃない、 主要AIの「使い分け」を90分で。 手を動かしながら、明日から使える実践スキルが身につく 「ChatGPTは使ってるけど、他のAIと何が違うの？」 「目的に合ったAIをちゃんと選べているか自信がない…」 その疑問を、 90分の</t>
        </is>
      </c>
      <c r="U31" s="15" t="inlineStr">
        <is>
          <t>https://www.kokuchpro.com/event/462c32654e8582dc98f1d8324a64443d/</t>
        </is>
      </c>
      <c r="V31" s="10" t="n"/>
      <c r="W31" s="10" t="inlineStr">
        <is>
          <t>本文一致</t>
        </is>
      </c>
      <c r="X31" s="10" t="n"/>
    </row>
    <row r="32">
      <c r="A32" s="10" t="n">
        <v>31</v>
      </c>
      <c r="B32" s="24" t="n">
        <v>46210</v>
      </c>
      <c r="C32" s="24" t="n">
        <v>46239</v>
      </c>
      <c r="D32" s="10">
        <f>MONTH(B32)&amp;"月"</f>
        <v/>
      </c>
      <c r="E32" s="12" t="n">
        <v>2</v>
      </c>
      <c r="F32" s="10" t="inlineStr">
        <is>
          <t>07/07、08/05</t>
        </is>
      </c>
      <c r="G32" s="10" t="inlineStr">
        <is>
          <t>AIセキュリティ実践！最初に見るべき4つの領域 〜ID・ネットワーク・ログ・AI資産管理から考える〜</t>
        </is>
      </c>
      <c r="H32" s="10" t="inlineStr">
        <is>
          <t>cloudace</t>
        </is>
      </c>
      <c r="I32" s="10" t="n"/>
      <c r="J32" s="10" t="inlineStr">
        <is>
          <t>Doorkeeper</t>
        </is>
      </c>
      <c r="K32" s="10" t="inlineStr">
        <is>
          <t>不明</t>
        </is>
      </c>
      <c r="L32" s="10" t="n"/>
      <c r="M32" s="10" t="inlineStr">
        <is>
          <t>営業・マーケ・CS</t>
        </is>
      </c>
      <c r="N32" s="10" t="inlineStr">
        <is>
          <t>AIエージェント</t>
        </is>
      </c>
      <c r="O32" s="12" t="inlineStr">
        <is>
          <t>○</t>
        </is>
      </c>
      <c r="P32" s="13" t="n">
        <v>0</v>
      </c>
      <c r="Q32" s="12" t="inlineStr">
        <is>
          <t>参加者数</t>
        </is>
      </c>
      <c r="R32" s="14" t="n">
        <v>60</v>
      </c>
      <c r="S32" s="10" t="inlineStr">
        <is>
          <t>全2回の合計</t>
        </is>
      </c>
      <c r="T32" s="10" t="inlineStr">
        <is>
          <t xml:space="preserve"> 【重要】本セミナーはdoorkeeperだけではお申し込み完了となりません。下記リンク先よりクラウドエースのwebサイトにてお申し込みをお願いいたします。 お申し込みはこちら https://cloud-ace.jp/event/260707/?utm_source=doorkeeper&amp;utm_medium=referral 社内で生成AIやAIアシスタント（AIエージェント）の活用が進む中、「安全に使うための仕組みづくり」に悩む担</t>
        </is>
      </c>
      <c r="U32" s="15" t="inlineStr">
        <is>
          <t>https://cloudace.doorkeeper.jp/events/197917</t>
        </is>
      </c>
      <c r="V32" s="10" t="n"/>
      <c r="W32" s="10" t="inlineStr">
        <is>
          <t>本文一致</t>
        </is>
      </c>
      <c r="X32" s="10" t="n"/>
    </row>
    <row r="33">
      <c r="A33" s="10" t="n">
        <v>32</v>
      </c>
      <c r="B33" s="24" t="n">
        <v>46210</v>
      </c>
      <c r="C33" s="24" t="n">
        <v>46210</v>
      </c>
      <c r="D33" s="10">
        <f>MONTH(B33)&amp;"月"</f>
        <v/>
      </c>
      <c r="E33" s="12" t="n">
        <v>1</v>
      </c>
      <c r="F33" s="10" t="n"/>
      <c r="G33" s="10" t="inlineStr">
        <is>
          <t>Devinの組織運用 - 開発現場での活用とガバナンス</t>
        </is>
      </c>
      <c r="H33" s="10" t="inlineStr">
        <is>
          <t>ファインディ／Findy</t>
        </is>
      </c>
      <c r="I33" s="10" t="n"/>
      <c r="J33" s="10" t="inlineStr">
        <is>
          <t>connpass</t>
        </is>
      </c>
      <c r="K33" s="10" t="inlineStr">
        <is>
          <t>オンライン</t>
        </is>
      </c>
      <c r="L33" s="10" t="inlineStr">
        <is>
          <t>オンライン</t>
        </is>
      </c>
      <c r="M33" s="10" t="inlineStr">
        <is>
          <t>開発生産性</t>
        </is>
      </c>
      <c r="N33" s="10" t="inlineStr">
        <is>
          <t>AIエージェント</t>
        </is>
      </c>
      <c r="O33" s="12" t="inlineStr">
        <is>
          <t>○</t>
        </is>
      </c>
      <c r="P33" s="13" t="n">
        <v>234</v>
      </c>
      <c r="Q33" s="12" t="inlineStr">
        <is>
          <t>参加者数</t>
        </is>
      </c>
      <c r="R33" s="14" t="n"/>
      <c r="S33" s="10" t="n"/>
      <c r="T33" s="10" t="n"/>
      <c r="U33" s="15" t="inlineStr">
        <is>
          <t>https://findy.connpass.com/event/396823/</t>
        </is>
      </c>
      <c r="V33" s="10" t="n"/>
      <c r="W33" s="10" t="inlineStr">
        <is>
          <t>タイトル一致</t>
        </is>
      </c>
      <c r="X33" s="10" t="n"/>
    </row>
    <row r="34">
      <c r="A34" s="10" t="n">
        <v>33</v>
      </c>
      <c r="B34" s="24" t="n">
        <v>46210</v>
      </c>
      <c r="C34" s="24" t="n">
        <v>46238</v>
      </c>
      <c r="D34" s="10">
        <f>MONTH(B34)&amp;"月"</f>
        <v/>
      </c>
      <c r="E34" s="12" t="n">
        <v>4</v>
      </c>
      <c r="F34" s="10" t="inlineStr">
        <is>
          <t>07/07、07/21、07/28、08/04</t>
        </is>
      </c>
      <c r="G34" s="10" t="inlineStr">
        <is>
          <t>Weekly Claude Code Live #9</t>
        </is>
      </c>
      <c r="H34" s="10" t="inlineStr">
        <is>
          <t>ジェネラティブエージェンツ / Generative Agents</t>
        </is>
      </c>
      <c r="I34" s="10" t="n"/>
      <c r="J34" s="10" t="inlineStr">
        <is>
          <t>connpass</t>
        </is>
      </c>
      <c r="K34" s="10" t="inlineStr">
        <is>
          <t>会場</t>
        </is>
      </c>
      <c r="L34" s="10" t="inlineStr">
        <is>
          <t>(場所未定)</t>
        </is>
      </c>
      <c r="M34" s="10" t="inlineStr">
        <is>
          <t>開発生産性</t>
        </is>
      </c>
      <c r="N34" s="10" t="inlineStr">
        <is>
          <t>AIエージェント</t>
        </is>
      </c>
      <c r="O34" s="12" t="inlineStr">
        <is>
          <t>○</t>
        </is>
      </c>
      <c r="P34" s="13" t="n">
        <v>93</v>
      </c>
      <c r="Q34" s="12" t="inlineStr">
        <is>
          <t>参加者数</t>
        </is>
      </c>
      <c r="R34" s="14" t="n"/>
      <c r="S34" s="10" t="inlineStr">
        <is>
          <t>全4回の合計</t>
        </is>
      </c>
      <c r="T34" s="10" t="n"/>
      <c r="U34" s="15" t="inlineStr">
        <is>
          <t>https://generative-agents.connpass.com/event/399060/</t>
        </is>
      </c>
      <c r="V34" s="10" t="n"/>
      <c r="W34" s="10" t="inlineStr">
        <is>
          <t>タイトル一致</t>
        </is>
      </c>
      <c r="X34" s="10" t="n"/>
    </row>
    <row r="35">
      <c r="A35" s="10" t="n">
        <v>34</v>
      </c>
      <c r="B35" s="24" t="n">
        <v>46210</v>
      </c>
      <c r="C35" s="24" t="n">
        <v>46210</v>
      </c>
      <c r="D35" s="10">
        <f>MONTH(B35)&amp;"月"</f>
        <v/>
      </c>
      <c r="E35" s="12" t="n">
        <v>1</v>
      </c>
      <c r="F35" s="10" t="n"/>
      <c r="G35" s="10" t="inlineStr">
        <is>
          <t>【7月7日開催｜無料ウェビナー】スマート製造における産業用AI：2026年の技術トレンドと実装課題</t>
        </is>
      </c>
      <c r="H35" s="10" t="inlineStr">
        <is>
          <t>株式会社グローバルインフォメーション</t>
        </is>
      </c>
      <c r="I35" s="10" t="n"/>
      <c r="J35" s="10" t="inlineStr">
        <is>
          <t>ZDNET Japan イベント</t>
        </is>
      </c>
      <c r="K35" s="10" t="inlineStr">
        <is>
          <t>オンライン</t>
        </is>
      </c>
      <c r="L35" s="10" t="inlineStr">
        <is>
          <t>WEB</t>
        </is>
      </c>
      <c r="M35" s="10" t="inlineStr">
        <is>
          <t>生産管理・製造・SCM</t>
        </is>
      </c>
      <c r="N35" s="10" t="inlineStr">
        <is>
          <t>AIエージェント</t>
        </is>
      </c>
      <c r="O35" s="12" t="inlineStr">
        <is>
          <t>○</t>
        </is>
      </c>
      <c r="P35" s="13" t="n"/>
      <c r="Q35" s="12" t="inlineStr">
        <is>
          <t>不明</t>
        </is>
      </c>
      <c r="R35" s="14" t="n"/>
      <c r="S35" s="10" t="n"/>
      <c r="T35" s="10" t="inlineStr">
        <is>
          <t>開催場所： WEB 開催日： 2026-07-07 市場調査レポートを販売する株式会社グローバルインフォメーションはドイツを本拠とする提携調査会社、IoT Analytics (IoTアナリティクス)社と共同で無料ウェビナー「スマート製造における産業用AI：2026年の技術トレンドと実装課題」を7月7日に開催いたします。 参加申し込み・詳細 ( リンク » ) ■セミナー概要 開催日：2026年7月7日(火) 開催時間：14:00～15</t>
        </is>
      </c>
      <c r="U35" s="15" t="inlineStr">
        <is>
          <t>https://japan.zdnet.com/event_info/30014942/</t>
        </is>
      </c>
      <c r="V35" s="10" t="n"/>
      <c r="W35" s="10" t="inlineStr">
        <is>
          <t>本文一致</t>
        </is>
      </c>
      <c r="X35" s="10" t="n"/>
    </row>
    <row r="36">
      <c r="A36" s="10" t="n">
        <v>35</v>
      </c>
      <c r="B36" s="24" t="n">
        <v>46210</v>
      </c>
      <c r="C36" s="24" t="n">
        <v>46232</v>
      </c>
      <c r="D36" s="10">
        <f>MONTH(B36)&amp;"月"</f>
        <v/>
      </c>
      <c r="E36" s="12" t="n">
        <v>1</v>
      </c>
      <c r="F36" s="10" t="n"/>
      <c r="G36" s="10" t="inlineStr">
        <is>
          <t>【松尾研発】「職人の勘」をデータ化する。AIエージェントによる不具合対応ナレッジの標準化と実践事例</t>
        </is>
      </c>
      <c r="H36" s="10" t="inlineStr">
        <is>
          <t>株式会社QuackShift</t>
        </is>
      </c>
      <c r="I36" s="10" t="n"/>
      <c r="J36" s="10" t="inlineStr">
        <is>
          <t>TECH PLAY</t>
        </is>
      </c>
      <c r="K36" s="10" t="inlineStr">
        <is>
          <t>オンライン</t>
        </is>
      </c>
      <c r="L36" s="10" t="n"/>
      <c r="M36" s="10" t="inlineStr">
        <is>
          <t>生産性向上・業務効率化</t>
        </is>
      </c>
      <c r="N36" s="10" t="inlineStr">
        <is>
          <t>AIエージェント</t>
        </is>
      </c>
      <c r="O36" s="12" t="inlineStr">
        <is>
          <t>◎</t>
        </is>
      </c>
      <c r="P36" s="13" t="n">
        <v>1</v>
      </c>
      <c r="Q36" s="12" t="inlineStr">
        <is>
          <t>申込者数</t>
        </is>
      </c>
      <c r="R36" s="14" t="n">
        <v>100</v>
      </c>
      <c r="S36" s="10" t="n"/>
      <c r="T36" s="10" t="inlineStr">
        <is>
          <t>【松尾研発】「職人の勘」をデータ化する。AIエージェントによる不具合対応ナレッジの標準化と実践事例 2026年7月29日（水）12:00-13:00 「不具合対応ナレッジの標準化とAIエージェント活用」をテーマに無料のオンラインセミナーを開催します！ 【イベント内容】 「あのトラブル、以前も起きた気がするが、どう対応したか分からない」 「熟練のAさんがいないと、設備の異常原因が特定できない」 「過去の報告書や修理記録はPDFやExcel</t>
        </is>
      </c>
      <c r="U36" s="15" t="inlineStr">
        <is>
          <t>https://techplay.jp/event/997993</t>
        </is>
      </c>
      <c r="V36" s="10" t="n"/>
      <c r="W36" s="10" t="inlineStr">
        <is>
          <t>タイトル一致</t>
        </is>
      </c>
      <c r="X36" s="10" t="n"/>
    </row>
    <row r="37">
      <c r="A37" s="10" t="n">
        <v>36</v>
      </c>
      <c r="B37" s="24" t="n">
        <v>46210</v>
      </c>
      <c r="C37" s="24" t="n">
        <v>46273</v>
      </c>
      <c r="D37" s="10">
        <f>MONTH(B37)&amp;"月"</f>
        <v/>
      </c>
      <c r="E37" s="12" t="n">
        <v>3</v>
      </c>
      <c r="F37" s="10" t="inlineStr">
        <is>
          <t>07/07、08/04、09/08</t>
        </is>
      </c>
      <c r="G37" s="10" t="inlineStr">
        <is>
          <t>【生成AIベストプラクティス】上場企業15社以上で効果が!AI Agent型の導入で活用促進する施策</t>
        </is>
      </c>
      <c r="H37" s="10" t="inlineStr">
        <is>
          <t>TechWorker</t>
        </is>
      </c>
      <c r="I37" s="10" t="n"/>
      <c r="J37" s="10" t="inlineStr">
        <is>
          <t>connpass</t>
        </is>
      </c>
      <c r="K37" s="10" t="inlineStr">
        <is>
          <t>オンライン</t>
        </is>
      </c>
      <c r="L37" s="10" t="inlineStr">
        <is>
          <t>オンライン</t>
        </is>
      </c>
      <c r="M37" s="10" t="inlineStr">
        <is>
          <t>技術・AI全般</t>
        </is>
      </c>
      <c r="N37" s="10" t="inlineStr">
        <is>
          <t>AIエージェント</t>
        </is>
      </c>
      <c r="O37" s="12" t="inlineStr">
        <is>
          <t>○</t>
        </is>
      </c>
      <c r="P37" s="13" t="n">
        <v>15</v>
      </c>
      <c r="Q37" s="12" t="inlineStr">
        <is>
          <t>参加者数</t>
        </is>
      </c>
      <c r="R37" s="14" t="n"/>
      <c r="S37" s="10" t="inlineStr">
        <is>
          <t>全3回の合計</t>
        </is>
      </c>
      <c r="T37" s="10" t="n"/>
      <c r="U37" s="15" t="inlineStr">
        <is>
          <t>https://connpass.com/event/396661/</t>
        </is>
      </c>
      <c r="V37" s="10" t="n"/>
      <c r="W37" s="10" t="inlineStr">
        <is>
          <t>タイトル一致</t>
        </is>
      </c>
      <c r="X37" s="10" t="n"/>
    </row>
    <row r="38">
      <c r="A38" s="10" t="n">
        <v>37</v>
      </c>
      <c r="B38" s="24" t="n">
        <v>46210</v>
      </c>
      <c r="C38" s="24" t="n">
        <v>46210</v>
      </c>
      <c r="D38" s="10">
        <f>MONTH(B38)&amp;"月"</f>
        <v/>
      </c>
      <c r="E38" s="12" t="n">
        <v>1</v>
      </c>
      <c r="F38" s="10" t="n"/>
      <c r="G38" s="10" t="inlineStr">
        <is>
          <t>今こそ試したい Claude Cowork ⼊⾨②|AI集客を徹底解説</t>
        </is>
      </c>
      <c r="H38" s="10" t="inlineStr">
        <is>
          <t>みんなシステムズ セミナー担当</t>
        </is>
      </c>
      <c r="I38" s="10" t="n"/>
      <c r="J38" s="10" t="inlineStr">
        <is>
          <t>こくちーずプロ</t>
        </is>
      </c>
      <c r="K38" s="10" t="inlineStr">
        <is>
          <t>オンライン</t>
        </is>
      </c>
      <c r="L38" s="10" t="inlineStr">
        <is>
          <t>オンライン 日本</t>
        </is>
      </c>
      <c r="M38" s="10" t="inlineStr">
        <is>
          <t>営業・マーケ・CS</t>
        </is>
      </c>
      <c r="N38" s="10" t="inlineStr">
        <is>
          <t>AIエージェント</t>
        </is>
      </c>
      <c r="O38" s="12" t="inlineStr">
        <is>
          <t>◎</t>
        </is>
      </c>
      <c r="P38" s="13" t="n">
        <v>2</v>
      </c>
      <c r="Q38" s="12" t="inlineStr">
        <is>
          <t>参加者数</t>
        </is>
      </c>
      <c r="R38" s="14" t="n">
        <v>30</v>
      </c>
      <c r="S38" s="10" t="n"/>
      <c r="T38" s="10" t="inlineStr">
        <is>
          <t>セミナー情報 前回、満員御礼のClaude Cowork ⼊⾨。 今回はコンテンツ制作を軸として、「Claude Cowork」の活用事例をご紹介します。 プログラミング知識は不要。 ホームページ改善、ブログ記事作成、業務実績ページ作成の事例を元にClaude Coworkの活用事例をご紹介します。 このセミナーでお話しすること Claude Coworkを活用したホームページ改善事例 Claude Cowork×Excelによるブログ</t>
        </is>
      </c>
      <c r="U38" s="15" t="inlineStr">
        <is>
          <t>https://www.kokuchpro.com/event/06a414b82ca253edd78099fa5ac8a980/</t>
        </is>
      </c>
      <c r="V38" s="10" t="n"/>
      <c r="W38" s="10" t="inlineStr">
        <is>
          <t>タイトル一致</t>
        </is>
      </c>
      <c r="X38" s="10" t="n"/>
    </row>
    <row r="39">
      <c r="A39" s="10" t="n">
        <v>38</v>
      </c>
      <c r="B39" s="24" t="n">
        <v>46210</v>
      </c>
      <c r="C39" s="24" t="n">
        <v>46210</v>
      </c>
      <c r="D39" s="10">
        <f>MONTH(B39)&amp;"月"</f>
        <v/>
      </c>
      <c r="E39" s="12" t="n">
        <v>1</v>
      </c>
      <c r="F39" s="10" t="n"/>
      <c r="G39" s="10" t="inlineStr">
        <is>
          <t>実演で理解!AI-Claudeで創る、新しい仕事のカタチ。〜『AIに任せる』、未経験からの実践AX〜</t>
        </is>
      </c>
      <c r="H39" s="10" t="inlineStr">
        <is>
          <t>（記載なし）</t>
        </is>
      </c>
      <c r="I39" s="10" t="n"/>
      <c r="J39" s="10" t="inlineStr">
        <is>
          <t>こくちーずプロ</t>
        </is>
      </c>
      <c r="K39" s="10" t="inlineStr">
        <is>
          <t>オンライン</t>
        </is>
      </c>
      <c r="L39" s="10" t="inlineStr">
        <is>
          <t>オンライン 日本</t>
        </is>
      </c>
      <c r="M39" s="10" t="inlineStr">
        <is>
          <t>営業・マーケ・CS</t>
        </is>
      </c>
      <c r="N39" s="10" t="inlineStr">
        <is>
          <t>AIエージェント</t>
        </is>
      </c>
      <c r="O39" s="12" t="inlineStr">
        <is>
          <t>○</t>
        </is>
      </c>
      <c r="P39" s="13" t="n"/>
      <c r="Q39" s="12" t="inlineStr">
        <is>
          <t>不明</t>
        </is>
      </c>
      <c r="R39" s="14" t="n"/>
      <c r="S39" s="10" t="n"/>
      <c r="T39" s="10" t="inlineStr">
        <is>
          <t>話題の生成AI「Claude」を活用してみたいけど、 難しそうで、どう活用したら良いかわからない… そんなビジネスパーソンに向けて、AI「Claude」を取り巻く市場や企業課題を提示しながら具体的な活用方法を実演（デモンストレーション）を通じて、「Claude」を体験できるウェビナーを開催します。 ▶︎詳しくは こちら 今回は、観光業や宿泊業の業界が抱える「口コミ返信」の業務課題をテーマに、「Claude」を実演。 非IT企業でも、営業</t>
        </is>
      </c>
      <c r="U39" s="15" t="inlineStr">
        <is>
          <t>https://www.kokuchpro.com/event/a79b4469b0d0538468ca8b3f0a02fe13/</t>
        </is>
      </c>
      <c r="V39" s="10" t="n"/>
      <c r="W39" s="10" t="inlineStr">
        <is>
          <t>本文一致</t>
        </is>
      </c>
      <c r="X39" s="10" t="n"/>
    </row>
    <row r="40">
      <c r="A40" s="10" t="n">
        <v>39</v>
      </c>
      <c r="B40" s="24" t="n">
        <v>46211</v>
      </c>
      <c r="C40" s="24" t="n">
        <v>46293</v>
      </c>
      <c r="D40" s="10">
        <f>MONTH(B40)&amp;"月"</f>
        <v/>
      </c>
      <c r="E40" s="12" t="n">
        <v>13</v>
      </c>
      <c r="F40" s="10" t="inlineStr">
        <is>
          <t>07/08、07/11、07/19、07/22、07/29、08/15、08/23、08/26、08/29、09/13、09/16、09/23、09/28</t>
        </is>
      </c>
      <c r="G40" s="10" t="inlineStr">
        <is>
          <t>0からのClaudeCodeによるAIエージェント入門セミナー</t>
        </is>
      </c>
      <c r="H40" s="10" t="inlineStr">
        <is>
          <t>データ分析ベーシック講座クラブ</t>
        </is>
      </c>
      <c r="I40" s="10" t="n"/>
      <c r="J40" s="10" t="inlineStr">
        <is>
          <t>connpass</t>
        </is>
      </c>
      <c r="K40" s="10" t="inlineStr">
        <is>
          <t>オンライン</t>
        </is>
      </c>
      <c r="L40" s="10" t="inlineStr">
        <is>
          <t>オンライン</t>
        </is>
      </c>
      <c r="M40" s="10" t="inlineStr">
        <is>
          <t>営業・マーケ・CS</t>
        </is>
      </c>
      <c r="N40" s="10" t="inlineStr">
        <is>
          <t>AIエージェント</t>
        </is>
      </c>
      <c r="O40" s="12" t="inlineStr">
        <is>
          <t>◎</t>
        </is>
      </c>
      <c r="P40" s="13" t="n">
        <v>36</v>
      </c>
      <c r="Q40" s="12" t="inlineStr">
        <is>
          <t>参加者数</t>
        </is>
      </c>
      <c r="R40" s="14" t="n">
        <v>130</v>
      </c>
      <c r="S40" s="10" t="inlineStr">
        <is>
          <t>全13回の合計</t>
        </is>
      </c>
      <c r="T40" s="10" t="n"/>
      <c r="U40" s="15" t="inlineStr">
        <is>
          <t>https://data-analysis-basics.connpass.com/event/399367/</t>
        </is>
      </c>
      <c r="V40" s="10" t="n"/>
      <c r="W40" s="10" t="inlineStr">
        <is>
          <t>タイトル一致</t>
        </is>
      </c>
      <c r="X40" s="10" t="n"/>
    </row>
    <row r="41">
      <c r="A41" s="10" t="n">
        <v>40</v>
      </c>
      <c r="B41" s="24" t="n">
        <v>46211</v>
      </c>
      <c r="C41" s="24" t="n">
        <v>46211</v>
      </c>
      <c r="D41" s="10">
        <f>MONTH(B41)&amp;"月"</f>
        <v/>
      </c>
      <c r="E41" s="12" t="n">
        <v>1</v>
      </c>
      <c r="F41" s="10" t="n"/>
      <c r="G41" s="10" t="inlineStr">
        <is>
          <t>AIで記録し、AIに聞く。i-Reporter×Dr.Sum×AIで変わる製造現場</t>
        </is>
      </c>
      <c r="H41" s="10" t="inlineStr">
        <is>
          <t>（記載なし）</t>
        </is>
      </c>
      <c r="I41" s="10" t="n"/>
      <c r="J41" s="10" t="inlineStr">
        <is>
          <t>ビジネス+IT</t>
        </is>
      </c>
      <c r="K41" s="10" t="inlineStr">
        <is>
          <t>online</t>
        </is>
      </c>
      <c r="L41" s="10" t="inlineStr">
        <is>
          <t>オンライン</t>
        </is>
      </c>
      <c r="M41" s="10" t="inlineStr">
        <is>
          <t>生産管理・製造・SCM</t>
        </is>
      </c>
      <c r="N41" s="10" t="inlineStr">
        <is>
          <t>MCP</t>
        </is>
      </c>
      <c r="O41" s="12" t="inlineStr">
        <is>
          <t>○</t>
        </is>
      </c>
      <c r="P41" s="13" t="n"/>
      <c r="Q41" s="12" t="inlineStr">
        <is>
          <t>不明</t>
        </is>
      </c>
      <c r="R41" s="14" t="n"/>
      <c r="S41" s="10" t="n"/>
      <c r="T41" s="10" t="inlineStr">
        <is>
          <t>日報・点検・品質記録など、製造現場には膨大なデータが生まれ続けています。i-Reporterでは、Edge AIによるOCRやバーコード読み取りを活用することで、これらの現場記録をスピーディかつ正確にデジタル化することができます。しかし、「記録はできている、でもそのデータをAIに活かせていない」という課題を感じる企業が増えているのも現実です。 本セミナーでは、MCP対応を開始したデータ分析基盤Dr.Sumを活用し、複数システムのデータ統</t>
        </is>
      </c>
      <c r="U41" s="15" t="inlineStr">
        <is>
          <t>https://www.sbbit.jp/eventinfo/89048</t>
        </is>
      </c>
      <c r="V41" s="10" t="n"/>
      <c r="W41" s="10" t="inlineStr">
        <is>
          <t>本文一致</t>
        </is>
      </c>
      <c r="X41" s="10" t="n"/>
    </row>
    <row r="42">
      <c r="A42" s="10" t="n">
        <v>41</v>
      </c>
      <c r="B42" s="24" t="n">
        <v>46211</v>
      </c>
      <c r="C42" s="24" t="n">
        <v>46246</v>
      </c>
      <c r="D42" s="10">
        <f>MONTH(B42)&amp;"月"</f>
        <v/>
      </c>
      <c r="E42" s="12" t="n">
        <v>2</v>
      </c>
      <c r="F42" s="10" t="inlineStr">
        <is>
          <t>07/08、08/12</t>
        </is>
      </c>
      <c r="G42" s="10" t="inlineStr">
        <is>
          <t>AIミーティング 2026/07/08 #AIエージェント #MCP</t>
        </is>
      </c>
      <c r="H42" s="10" t="inlineStr">
        <is>
          <t>大阪駆動開発</t>
        </is>
      </c>
      <c r="I42" s="10" t="n"/>
      <c r="J42" s="10" t="inlineStr">
        <is>
          <t>connpass</t>
        </is>
      </c>
      <c r="K42" s="10" t="inlineStr">
        <is>
          <t>オンライン</t>
        </is>
      </c>
      <c r="L42" s="10" t="inlineStr">
        <is>
          <t>オンライン</t>
        </is>
      </c>
      <c r="M42" s="10" t="inlineStr">
        <is>
          <t>開発生産性</t>
        </is>
      </c>
      <c r="N42" s="10" t="inlineStr">
        <is>
          <t>両方</t>
        </is>
      </c>
      <c r="O42" s="12" t="inlineStr">
        <is>
          <t>○</t>
        </is>
      </c>
      <c r="P42" s="13" t="n">
        <v>108</v>
      </c>
      <c r="Q42" s="12" t="inlineStr">
        <is>
          <t>参加者数</t>
        </is>
      </c>
      <c r="R42" s="14" t="n"/>
      <c r="S42" s="10" t="inlineStr">
        <is>
          <t>全2回の合計</t>
        </is>
      </c>
      <c r="T42" s="10" t="n"/>
      <c r="U42" s="15" t="inlineStr">
        <is>
          <t>https://osaka-driven-dev.connpass.com/event/396961/</t>
        </is>
      </c>
      <c r="V42" s="10" t="n"/>
      <c r="W42" s="10" t="inlineStr">
        <is>
          <t>タイトル一致</t>
        </is>
      </c>
      <c r="X42" s="10" t="n"/>
    </row>
    <row r="43">
      <c r="A43" s="10" t="n">
        <v>42</v>
      </c>
      <c r="B43" s="24" t="n">
        <v>46211</v>
      </c>
      <c r="C43" s="24" t="n">
        <v>46211</v>
      </c>
      <c r="D43" s="10">
        <f>MONTH(B43)&amp;"月"</f>
        <v/>
      </c>
      <c r="E43" s="12" t="n">
        <v>1</v>
      </c>
      <c r="F43" s="10" t="n"/>
      <c r="G43" s="10" t="inlineStr">
        <is>
          <t>Agentforce活用を成功に導くSalesforceセキュリティとAIガバナンス最前線 ～自律型AI環境で顕在化する「ファイル・URL由来のサイバー脅威」の盲点～</t>
        </is>
      </c>
      <c r="H43" s="10" t="inlineStr">
        <is>
          <t>ウィズセキュア株式会社</t>
        </is>
      </c>
      <c r="I43" s="10" t="inlineStr">
        <is>
          <t>マジセミ株式会社</t>
        </is>
      </c>
      <c r="J43" s="10" t="inlineStr">
        <is>
          <t>Doorkeeper</t>
        </is>
      </c>
      <c r="K43" s="10" t="inlineStr">
        <is>
          <t>不明</t>
        </is>
      </c>
      <c r="L43" s="10" t="n"/>
      <c r="M43" s="10" t="inlineStr">
        <is>
          <t>営業・マーケ・CS</t>
        </is>
      </c>
      <c r="N43" s="10" t="inlineStr">
        <is>
          <t>AIエージェント</t>
        </is>
      </c>
      <c r="O43" s="12" t="inlineStr">
        <is>
          <t>◎</t>
        </is>
      </c>
      <c r="P43" s="13" t="n">
        <v>5</v>
      </c>
      <c r="Q43" s="12" t="inlineStr">
        <is>
          <t>参加者数</t>
        </is>
      </c>
      <c r="R43" s="14" t="n">
        <v>8</v>
      </c>
      <c r="S43" s="10" t="n"/>
      <c r="T43"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Agentforce導入がもたらす圧倒的な業務効率化と経営メリットとは Agentforceは、Salesforceが提供する自律型AIエージェント基盤として、営業やカスタマーサポート・マーケティングな</t>
        </is>
      </c>
      <c r="U43" s="15" t="inlineStr">
        <is>
          <t>https://majisemi-security.doorkeeper.jp/events/197735</t>
        </is>
      </c>
      <c r="V43" s="10" t="n"/>
      <c r="W43" s="10" t="inlineStr">
        <is>
          <t>タイトル一致</t>
        </is>
      </c>
      <c r="X43" s="10" t="n"/>
    </row>
    <row r="44">
      <c r="A44" s="10" t="n">
        <v>43</v>
      </c>
      <c r="B44" s="24" t="n">
        <v>46211</v>
      </c>
      <c r="C44" s="24" t="n">
        <v>46211</v>
      </c>
      <c r="D44" s="10">
        <f>MONTH(B44)&amp;"月"</f>
        <v/>
      </c>
      <c r="E44" s="12" t="n">
        <v>1</v>
      </c>
      <c r="F44" s="10" t="n"/>
      <c r="G44" s="10" t="inlineStr">
        <is>
          <t>Claude Codeで開発効率をアップする！　＜第2回＞勝手な動きで壊させない！</t>
        </is>
      </c>
      <c r="H44" s="10" t="inlineStr">
        <is>
          <t>mnp-pr</t>
        </is>
      </c>
      <c r="I44" s="10" t="n"/>
      <c r="J44" s="10" t="inlineStr">
        <is>
          <t>connpass</t>
        </is>
      </c>
      <c r="K44" s="10" t="inlineStr">
        <is>
          <t>オンライン</t>
        </is>
      </c>
      <c r="L44" s="10" t="inlineStr">
        <is>
          <t>オンライン</t>
        </is>
      </c>
      <c r="M44" s="10" t="inlineStr">
        <is>
          <t>開発生産性</t>
        </is>
      </c>
      <c r="N44" s="10" t="inlineStr">
        <is>
          <t>AIエージェント</t>
        </is>
      </c>
      <c r="O44" s="12" t="inlineStr">
        <is>
          <t>○</t>
        </is>
      </c>
      <c r="P44" s="13" t="n">
        <v>37</v>
      </c>
      <c r="Q44" s="12" t="inlineStr">
        <is>
          <t>参加者数</t>
        </is>
      </c>
      <c r="R44" s="14" t="n">
        <v>50</v>
      </c>
      <c r="S44" s="10" t="n"/>
      <c r="T44" s="10" t="n"/>
      <c r="U44" s="15" t="inlineStr">
        <is>
          <t>https://connpass.com/event/399507/</t>
        </is>
      </c>
      <c r="V44" s="10" t="n"/>
      <c r="W44" s="10" t="inlineStr">
        <is>
          <t>タイトル一致</t>
        </is>
      </c>
      <c r="X44" s="10" t="n"/>
    </row>
    <row r="45">
      <c r="A45" s="10" t="n">
        <v>44</v>
      </c>
      <c r="B45" s="24" t="n">
        <v>46211</v>
      </c>
      <c r="C45" s="24" t="n">
        <v>46255</v>
      </c>
      <c r="D45" s="10">
        <f>MONTH(B45)&amp;"月"</f>
        <v/>
      </c>
      <c r="E45" s="12" t="n">
        <v>4</v>
      </c>
      <c r="F45" s="10" t="inlineStr">
        <is>
          <t>07/08、07/21、08/12、08/21</t>
        </is>
      </c>
      <c r="G45" s="10" t="inlineStr">
        <is>
          <t>GA4×生成AI(Gemini)で 広がるデータ分析の新常識  〜探索レポートが苦手でもOK！  MCPサーバーで始める自然言語GA4分析〜</t>
        </is>
      </c>
      <c r="H45" s="10" t="inlineStr">
        <is>
          <t>株式会社シンメトリック</t>
        </is>
      </c>
      <c r="I45" s="10" t="n"/>
      <c r="J45" s="10" t="inlineStr">
        <is>
          <t>TECH PLAY</t>
        </is>
      </c>
      <c r="K45" s="10" t="inlineStr">
        <is>
          <t>オンライン</t>
        </is>
      </c>
      <c r="L45" s="10" t="n"/>
      <c r="M45" s="10" t="inlineStr">
        <is>
          <t>営業・マーケ・CS</t>
        </is>
      </c>
      <c r="N45" s="10" t="inlineStr">
        <is>
          <t>MCP</t>
        </is>
      </c>
      <c r="O45" s="12" t="inlineStr">
        <is>
          <t>◎</t>
        </is>
      </c>
      <c r="P45" s="13" t="n"/>
      <c r="Q45" s="12" t="inlineStr">
        <is>
          <t>非公開</t>
        </is>
      </c>
      <c r="R45" s="14" t="n">
        <v>120</v>
      </c>
      <c r="S45" s="10" t="inlineStr">
        <is>
          <t>全4回の合計</t>
        </is>
      </c>
      <c r="T45" s="10" t="inlineStr">
        <is>
          <t>GA4×生成AI(Gemini)で広がるデータ分析の新常識〜探索レポートが苦手でもOK！MCPサーバーで始める自然言語GA4分析〜 本セミナーの参加にはTechPlayでのお申込み後、開催15分前までにセミナー申し込みフォームへ必要事項をご記入いただく必要がございます。申し込みフォームへのリンクは申し込み完了メールに記載しております 参加費 無料 開催概要 本セミナーの参加にはTechPlayでのお申込み後、開催15分前までにセミナー申</t>
        </is>
      </c>
      <c r="U45" s="15" t="inlineStr">
        <is>
          <t>https://techplay.jp/event/997571</t>
        </is>
      </c>
      <c r="V45" s="10" t="n"/>
      <c r="W45" s="10" t="inlineStr">
        <is>
          <t>タイトル一致</t>
        </is>
      </c>
      <c r="X45" s="10" t="n"/>
    </row>
    <row r="46">
      <c r="A46" s="10" t="n">
        <v>45</v>
      </c>
      <c r="B46" s="24" t="n">
        <v>46211</v>
      </c>
      <c r="C46" s="24" t="n">
        <v>46219</v>
      </c>
      <c r="D46" s="10">
        <f>MONTH(B46)&amp;"月"</f>
        <v/>
      </c>
      <c r="E46" s="12" t="n">
        <v>1</v>
      </c>
      <c r="F46" s="10" t="n"/>
      <c r="G46" s="10" t="inlineStr">
        <is>
          <t>「ブラウザ操作AIエージェント」で実現する、現場主導の業務効率化</t>
        </is>
      </c>
      <c r="H46" s="10" t="inlineStr">
        <is>
          <t>株式会社リンクレア</t>
        </is>
      </c>
      <c r="I46" s="10" t="n"/>
      <c r="J46" s="10" t="inlineStr">
        <is>
          <t>ビジネス+IT</t>
        </is>
      </c>
      <c r="K46" s="10" t="inlineStr">
        <is>
          <t>online</t>
        </is>
      </c>
      <c r="L46" s="10" t="inlineStr">
        <is>
          <t>オンライン</t>
        </is>
      </c>
      <c r="M46" s="10" t="inlineStr">
        <is>
          <t>生産性向上・業務効率化</t>
        </is>
      </c>
      <c r="N46" s="10" t="inlineStr">
        <is>
          <t>AIエージェント</t>
        </is>
      </c>
      <c r="O46" s="12" t="inlineStr">
        <is>
          <t>◎</t>
        </is>
      </c>
      <c r="P46" s="13" t="n"/>
      <c r="Q46" s="12" t="inlineStr">
        <is>
          <t>不明</t>
        </is>
      </c>
      <c r="R46" s="14" t="n"/>
      <c r="S46" s="10" t="n"/>
      <c r="T46" s="10" t="inlineStr">
        <is>
          <t>「AIエージェントを活用して、社内の業務効率を一気に高めたい」 「現場が自走できる、新しい自動化の仕組みを取り入れたい」 生成AIの進化により、Webブラウザ上の業務を自律的に行う「AIエージェント」の実用化に向けた検証が進んでいます。 本ウェビナーでは、最新の「ブラウザ操作特化型AIエージェント」の技術動向と、現場主導で業務変革を起こすための方法について解説します。 事例をもとに、技術的な専門知識がない現場部門でも、これからの「業務自</t>
        </is>
      </c>
      <c r="U46" s="15" t="inlineStr">
        <is>
          <t>https://www.sbbit.jp/eventinfo/89273</t>
        </is>
      </c>
      <c r="V46" s="10" t="n"/>
      <c r="W46" s="10" t="inlineStr">
        <is>
          <t>タイトル一致</t>
        </is>
      </c>
      <c r="X46" s="10" t="n"/>
    </row>
    <row r="47">
      <c r="A47" s="10" t="n">
        <v>46</v>
      </c>
      <c r="B47" s="24" t="n">
        <v>46211</v>
      </c>
      <c r="C47" s="24" t="n">
        <v>46211</v>
      </c>
      <c r="D47" s="10">
        <f>MONTH(B47)&amp;"月"</f>
        <v/>
      </c>
      <c r="E47" s="12" t="n">
        <v>1</v>
      </c>
      <c r="F47" s="10" t="n"/>
      <c r="G47" s="10" t="inlineStr">
        <is>
          <t>【エキスパート講座】AIエージェント構築｜コードゼロで業務を自動化するOpenClaw実践講座（2日間講座）</t>
        </is>
      </c>
      <c r="H47" s="10" t="inlineStr">
        <is>
          <t>一般社団法人ウェブ解析士協会 講座企画運営部（担当：沖本一生）</t>
        </is>
      </c>
      <c r="I47" s="10" t="n"/>
      <c r="J47" s="10" t="inlineStr">
        <is>
          <t>Doorkeeper</t>
        </is>
      </c>
      <c r="K47" s="10" t="inlineStr">
        <is>
          <t>不明</t>
        </is>
      </c>
      <c r="L47" s="10" t="n"/>
      <c r="M47" s="10" t="inlineStr">
        <is>
          <t>生産性向上・業務効率化</t>
        </is>
      </c>
      <c r="N47" s="10" t="inlineStr">
        <is>
          <t>AIエージェント</t>
        </is>
      </c>
      <c r="O47" s="12" t="inlineStr">
        <is>
          <t>◎</t>
        </is>
      </c>
      <c r="P47" s="13" t="n">
        <v>3</v>
      </c>
      <c r="Q47" s="12" t="inlineStr">
        <is>
          <t>参加者数</t>
        </is>
      </c>
      <c r="R47" s="14" t="n"/>
      <c r="S47" s="10" t="n"/>
      <c r="T47" s="10" t="inlineStr">
        <is>
          <t xml:space="preserve"> 講座概要 こちらの講座は、7/8（水）20:00～21:30、7/22（水）20:00～21:30 の２日間講座となります。 AIチャットは業務に活用している。でも「毎週の実績チェック」「GA4の数値確認」「クライアントへの定例レポート」等々、そういった繰り返しの作業は、まだ自分でやっていませんか？ この講座では、プログラミングなしでAIエージェントを構築できる「OpenClaw」の導入からあなたの実務に合わせた自動化ツールを完成させ</t>
        </is>
      </c>
      <c r="U47" s="15" t="inlineStr">
        <is>
          <t>https://web-mining.doorkeeper.jp/events/197628</t>
        </is>
      </c>
      <c r="V47" s="10" t="n"/>
      <c r="W47" s="10" t="inlineStr">
        <is>
          <t>タイトル一致</t>
        </is>
      </c>
      <c r="X47" s="10" t="n"/>
    </row>
    <row r="48">
      <c r="A48" s="10" t="n">
        <v>47</v>
      </c>
      <c r="B48" s="24" t="n">
        <v>46211</v>
      </c>
      <c r="C48" s="24" t="n">
        <v>46211</v>
      </c>
      <c r="D48" s="10">
        <f>MONTH(B48)&amp;"月"</f>
        <v/>
      </c>
      <c r="E48" s="12" t="n">
        <v>1</v>
      </c>
      <c r="F48" s="10" t="n"/>
      <c r="G48" s="10" t="inlineStr">
        <is>
          <t>【出版記念！ランチイベント】MastraによるAIエージェント開発運用実践入門</t>
        </is>
      </c>
      <c r="H48" s="10" t="inlineStr">
        <is>
          <t>KDDIアジャイル開発センター / KAG</t>
        </is>
      </c>
      <c r="I48" s="10" t="n"/>
      <c r="J48" s="10" t="inlineStr">
        <is>
          <t>connpass</t>
        </is>
      </c>
      <c r="K48" s="10" t="inlineStr">
        <is>
          <t>会場</t>
        </is>
      </c>
      <c r="L48" s="10" t="inlineStr">
        <is>
          <t>(場所未定)</t>
        </is>
      </c>
      <c r="M48" s="10" t="inlineStr">
        <is>
          <t>開発生産性</t>
        </is>
      </c>
      <c r="N48" s="10" t="inlineStr">
        <is>
          <t>AIエージェント</t>
        </is>
      </c>
      <c r="O48" s="12" t="inlineStr">
        <is>
          <t>○</t>
        </is>
      </c>
      <c r="P48" s="13" t="n">
        <v>57</v>
      </c>
      <c r="Q48" s="12" t="inlineStr">
        <is>
          <t>参加者数</t>
        </is>
      </c>
      <c r="R48" s="14" t="n"/>
      <c r="S48" s="10" t="n"/>
      <c r="T48" s="10" t="n"/>
      <c r="U48" s="15" t="inlineStr">
        <is>
          <t>https://kddi-agile.connpass.com/event/395678/</t>
        </is>
      </c>
      <c r="V48" s="10" t="n"/>
      <c r="W48" s="10" t="inlineStr">
        <is>
          <t>タイトル一致</t>
        </is>
      </c>
      <c r="X48" s="10" t="n"/>
    </row>
    <row r="49">
      <c r="A49" s="10" t="n">
        <v>48</v>
      </c>
      <c r="B49" s="24" t="n">
        <v>46211</v>
      </c>
      <c r="C49" s="24" t="n">
        <v>46211</v>
      </c>
      <c r="D49" s="10">
        <f>MONTH(B49)&amp;"月"</f>
        <v/>
      </c>
      <c r="E49" s="12" t="n">
        <v>1</v>
      </c>
      <c r="F49" s="10" t="n"/>
      <c r="G49" s="10" t="inlineStr">
        <is>
          <t>これからのサプライチェーンのあるべき姿を解説 キナクシス×JFEシステムズ ウェビナー</t>
        </is>
      </c>
      <c r="H49" s="10" t="inlineStr">
        <is>
          <t>キナクシス・ジャパン</t>
        </is>
      </c>
      <c r="I49" s="10" t="n"/>
      <c r="J49" s="10" t="inlineStr">
        <is>
          <t>個別調査（公式サイト・PR TIMES等）</t>
        </is>
      </c>
      <c r="K49" s="10" t="inlineStr">
        <is>
          <t>オンライン</t>
        </is>
      </c>
      <c r="L49" s="10" t="n"/>
      <c r="M49" s="10" t="inlineStr">
        <is>
          <t>生産管理・製造・SCM</t>
        </is>
      </c>
      <c r="N49" s="10" t="inlineStr">
        <is>
          <t>AIエージェント</t>
        </is>
      </c>
      <c r="O49" s="12" t="inlineStr">
        <is>
          <t>◎</t>
        </is>
      </c>
      <c r="P49" s="13" t="n"/>
      <c r="Q49" s="12" t="inlineStr">
        <is>
          <t>不明</t>
        </is>
      </c>
      <c r="R49" s="14" t="n"/>
      <c r="S49" s="10" t="n"/>
      <c r="T49" s="10" t="inlineStr">
        <is>
          <t>予測できない変化を前提に、AIエージェント技術で適応型サプライチェーンを実現する方法を、デモを交えて解説する。</t>
        </is>
      </c>
      <c r="U49" s="15" t="inlineStr">
        <is>
          <t>https://www.jfe-systems.com/press/2026/20260616_news.html</t>
        </is>
      </c>
      <c r="V49" s="10" t="n"/>
      <c r="W49" s="10" t="inlineStr">
        <is>
          <t>個別確認</t>
        </is>
      </c>
      <c r="X49" s="10" t="n"/>
    </row>
    <row r="50">
      <c r="A50" s="10" t="n">
        <v>49</v>
      </c>
      <c r="B50" s="24" t="n">
        <v>46211</v>
      </c>
      <c r="C50" s="24" t="n">
        <v>46211</v>
      </c>
      <c r="D50" s="10">
        <f>MONTH(B50)&amp;"月"</f>
        <v/>
      </c>
      <c r="E50" s="12" t="n">
        <v>1</v>
      </c>
      <c r="F50" s="10" t="n"/>
      <c r="G50" s="10" t="inlineStr">
        <is>
          <t>応募数・定着率を同時に伸ばす「攻めと守り」のDX×採用戦略【無料ウェビナー】</t>
        </is>
      </c>
      <c r="H50" s="10" t="inlineStr">
        <is>
          <t>応募数・定着率を同時に伸ばす「攻めと守り」のDX×採用戦略【無料ウェビナー】事務局</t>
        </is>
      </c>
      <c r="I50" s="10" t="n"/>
      <c r="J50" s="10" t="inlineStr">
        <is>
          <t>こくちーずプロ</t>
        </is>
      </c>
      <c r="K50" s="10" t="inlineStr">
        <is>
          <t>オンライン</t>
        </is>
      </c>
      <c r="L50" s="10" t="inlineStr">
        <is>
          <t>オンライン 日本</t>
        </is>
      </c>
      <c r="M50" s="10" t="inlineStr">
        <is>
          <t>生産性向上・業務効率化</t>
        </is>
      </c>
      <c r="N50" s="10" t="inlineStr">
        <is>
          <t>AIエージェント</t>
        </is>
      </c>
      <c r="O50" s="12" t="inlineStr">
        <is>
          <t>○</t>
        </is>
      </c>
      <c r="P50" s="13" t="n">
        <v>0</v>
      </c>
      <c r="Q50" s="12" t="inlineStr">
        <is>
          <t>参加者数</t>
        </is>
      </c>
      <c r="R50" s="14" t="n">
        <v>20</v>
      </c>
      <c r="S50" s="10" t="n"/>
      <c r="T50" s="10" t="inlineStr">
        <is>
          <t>「攻めと守り」のDX×採用戦略 〜内部効率化 × 採用ブランディングで応募数・定着率を同時に伸ばす攻守一体戦略〜 【このようなお悩みはありませんか？】 多くの企業が直面している「人手不足」という経営課題。 人材確保や業務効率化、組織の生産性向上は、いま多くの企業にとって重要なテーマとなっています。 その解決には、「DXによる業務の標準化・省力化」といった社内基盤の強化に加え、求職者の検索行動を踏まえた「風評被害対策・採用ブランディング」</t>
        </is>
      </c>
      <c r="U50" s="15" t="inlineStr">
        <is>
          <t>https://www.kokuchpro.com/event/cde4ce2c4b7294f0c83ee873f871ae9c/</t>
        </is>
      </c>
      <c r="V50" s="10" t="n"/>
      <c r="W50" s="10" t="inlineStr">
        <is>
          <t>本文一致</t>
        </is>
      </c>
      <c r="X50" s="10" t="n"/>
    </row>
    <row r="51">
      <c r="A51" s="10" t="n">
        <v>50</v>
      </c>
      <c r="B51" s="24" t="n">
        <v>46211</v>
      </c>
      <c r="C51" s="24" t="n">
        <v>46211</v>
      </c>
      <c r="D51" s="10">
        <f>MONTH(B51)&amp;"月"</f>
        <v/>
      </c>
      <c r="E51" s="12" t="n">
        <v>1</v>
      </c>
      <c r="F51" s="10" t="n"/>
      <c r="G51" s="10" t="inlineStr">
        <is>
          <t>金融機関における外部委託先管理・サードパーティリスク管理とITガバナンス・リスクの最前線</t>
        </is>
      </c>
      <c r="H51" s="10" t="inlineStr">
        <is>
          <t>株式会社セミナーインフォ（講師: DiGRIT Technologies株式会社 代表 鬼塚 智義 氏）</t>
        </is>
      </c>
      <c r="I51" s="10" t="n"/>
      <c r="J51" s="10" t="inlineStr">
        <is>
          <t>セミナー情報.com</t>
        </is>
      </c>
      <c r="K51" s="10" t="inlineStr">
        <is>
          <t>会場 / オンライン</t>
        </is>
      </c>
      <c r="L51" s="10" t="n"/>
      <c r="M51" s="10" t="inlineStr">
        <is>
          <t>生産性向上・業務効率化</t>
        </is>
      </c>
      <c r="N51" s="10" t="inlineStr">
        <is>
          <t>AIエージェント</t>
        </is>
      </c>
      <c r="O51" s="12" t="inlineStr">
        <is>
          <t>○</t>
        </is>
      </c>
      <c r="P51" s="13" t="n"/>
      <c r="Q51" s="12" t="inlineStr">
        <is>
          <t>不明</t>
        </is>
      </c>
      <c r="R51" s="14" t="n"/>
      <c r="S51" s="10" t="n"/>
      <c r="T51" s="10" t="inlineStr">
        <is>
          <t>(詳細ページは再配信ページへ転送: https://seminar-info.jp/entry/seminars/view/3/6886) ※本セミナーは2026/7/8に開催・収録したセミナーの リバイバル配信 です。 【本セミナーで得られること】 （例） ・金融機関に求められるITガバナンスの全体像と最新動向の体系的理解 ・サードパーティリスク管理（TPRM）の設計・運用ポイント ・AI・クラウド・PQCなど新興リスク領域への具体的</t>
        </is>
      </c>
      <c r="U51" s="15" t="inlineStr">
        <is>
          <t>https://www.seminar-info.jp/entry/seminars/view/3/6845</t>
        </is>
      </c>
      <c r="V51" s="10" t="n"/>
      <c r="W51" s="10" t="inlineStr">
        <is>
          <t>本文一致</t>
        </is>
      </c>
      <c r="X51" s="10" t="n"/>
    </row>
    <row r="52">
      <c r="A52" s="10" t="n">
        <v>51</v>
      </c>
      <c r="B52" s="24" t="n">
        <v>46212</v>
      </c>
      <c r="C52" s="24" t="n">
        <v>46212</v>
      </c>
      <c r="D52" s="10">
        <f>MONTH(B52)&amp;"月"</f>
        <v/>
      </c>
      <c r="E52" s="12" t="n">
        <v>1</v>
      </c>
      <c r="F52" s="10" t="n"/>
      <c r="G52" s="10" t="inlineStr">
        <is>
          <t>Instagram・Threads×Claude Codeセミナー</t>
        </is>
      </c>
      <c r="H52" s="10" t="inlineStr">
        <is>
          <t>AIの学校 AI Crew事務局</t>
        </is>
      </c>
      <c r="I52" s="10" t="n"/>
      <c r="J52" s="10" t="inlineStr">
        <is>
          <t>こくちーずプロ</t>
        </is>
      </c>
      <c r="K52" s="10" t="inlineStr">
        <is>
          <t>オンライン</t>
        </is>
      </c>
      <c r="L52" s="10" t="inlineStr">
        <is>
          <t>オンライン 日本</t>
        </is>
      </c>
      <c r="M52" s="10" t="inlineStr">
        <is>
          <t>開発生産性</t>
        </is>
      </c>
      <c r="N52" s="10" t="inlineStr">
        <is>
          <t>AIエージェント</t>
        </is>
      </c>
      <c r="O52" s="12" t="inlineStr">
        <is>
          <t>○</t>
        </is>
      </c>
      <c r="P52" s="13" t="n"/>
      <c r="Q52" s="12" t="inlineStr">
        <is>
          <t>不明</t>
        </is>
      </c>
      <c r="R52" s="14" t="n"/>
      <c r="S52" s="10" t="n"/>
      <c r="T52" s="10" t="inlineStr">
        <is>
          <t xml:space="preserve">Instagram・Threads×Claude Code 業界激震セミナー Welcome to 新時代。 Instagram・Threads発信者の皆さま、お待たせしました。 これまで一人で頑張ってきたSNS運用を、これからは「AIチーム」と一緒に進める時代です。 今回のセミナーでは、みやっち‍が実際にInstagram・Threads運用をどのようにClaude Codeで自動化・仕組み化しているのかを、初めて一気に公開します。 </t>
        </is>
      </c>
      <c r="U52" s="15" t="inlineStr">
        <is>
          <t>https://www.kokuchpro.com/event/260709_claudecode/</t>
        </is>
      </c>
      <c r="V52" s="10" t="n"/>
      <c r="W52" s="10" t="inlineStr">
        <is>
          <t>タイトル一致</t>
        </is>
      </c>
      <c r="X52" s="10" t="n"/>
    </row>
    <row r="53">
      <c r="A53" s="10" t="n">
        <v>52</v>
      </c>
      <c r="B53" s="24" t="n">
        <v>46212</v>
      </c>
      <c r="C53" s="24" t="n">
        <v>46212</v>
      </c>
      <c r="D53" s="10">
        <f>MONTH(B53)&amp;"月"</f>
        <v/>
      </c>
      <c r="E53" s="12" t="n">
        <v>1</v>
      </c>
      <c r="F53" s="10" t="n"/>
      <c r="G53" s="10" t="inlineStr">
        <is>
          <t>【7月9日(木)開催】AI時代の品質保証は、上流工程で決まる！ ～仕様書・設計書レビューに必要な品質基準とAI活用～</t>
        </is>
      </c>
      <c r="H53" s="10" t="inlineStr">
        <is>
          <t>バルテスグループ</t>
        </is>
      </c>
      <c r="I53" s="10" t="n"/>
      <c r="J53" s="10" t="inlineStr">
        <is>
          <t>TECH PLAY</t>
        </is>
      </c>
      <c r="K53" s="10" t="inlineStr">
        <is>
          <t>オンライン</t>
        </is>
      </c>
      <c r="L53" s="10" t="n"/>
      <c r="M53" s="10" t="inlineStr">
        <is>
          <t>営業・マーケ・CS</t>
        </is>
      </c>
      <c r="N53" s="10" t="inlineStr">
        <is>
          <t>AIエージェント</t>
        </is>
      </c>
      <c r="O53" s="12" t="inlineStr">
        <is>
          <t>○</t>
        </is>
      </c>
      <c r="P53" s="13" t="n"/>
      <c r="Q53" s="12" t="inlineStr">
        <is>
          <t>非公開</t>
        </is>
      </c>
      <c r="R53" s="14" t="n">
        <v>120</v>
      </c>
      <c r="S53" s="10" t="n"/>
      <c r="T53" s="10" t="inlineStr">
        <is>
          <t>開催概要 生成AIの活用は、ChatGPTやClaudeを個人が使用する段階から、AIエージェントを業務プロセスに組み込み、組織として活用する段階へ移行しつつあります。 開発プロジェクトにおいては、要件定義書・仕様書・設計書などの上流工程ドキュメントの品質が、後工程の不具合や手戻りに大きく影響します。一方で、これらのレビューは属人化しやすく、観点のばらつきや確認工数の不足が課題です。 本セミナーでは、AI時代に求められる品質保証の考え方</t>
        </is>
      </c>
      <c r="U53" s="15" t="inlineStr">
        <is>
          <t>https://techplay.jp/event/997208</t>
        </is>
      </c>
      <c r="V53" s="10" t="n"/>
      <c r="W53" s="10" t="inlineStr">
        <is>
          <t>本文一致</t>
        </is>
      </c>
      <c r="X53" s="10" t="n"/>
    </row>
    <row r="54">
      <c r="A54" s="10" t="n">
        <v>53</v>
      </c>
      <c r="B54" s="24" t="n">
        <v>46212</v>
      </c>
      <c r="C54" s="24" t="n">
        <v>46289</v>
      </c>
      <c r="D54" s="10">
        <f>MONTH(B54)&amp;"月"</f>
        <v/>
      </c>
      <c r="E54" s="12" t="n">
        <v>10</v>
      </c>
      <c r="F54" s="10" t="inlineStr">
        <is>
          <t>07/09、07/16、07/23、07/30、08/13、08/20、08/27、09/03、09/17、09/24</t>
        </is>
      </c>
      <c r="G54" s="10" t="inlineStr">
        <is>
          <t>なんもわからん人の論文読み会（AIエージェントの未来：Foundation Agents）#41</t>
        </is>
      </c>
      <c r="H54" s="10" t="inlineStr">
        <is>
          <t>なんもわからん人の論文、書籍読み会</t>
        </is>
      </c>
      <c r="I54" s="10" t="n"/>
      <c r="J54" s="10" t="inlineStr">
        <is>
          <t>connpass</t>
        </is>
      </c>
      <c r="K54" s="10" t="inlineStr">
        <is>
          <t>オンライン</t>
        </is>
      </c>
      <c r="L54" s="10" t="inlineStr">
        <is>
          <t>オンライン</t>
        </is>
      </c>
      <c r="M54" s="10" t="inlineStr">
        <is>
          <t>技術・AI全般</t>
        </is>
      </c>
      <c r="N54" s="10" t="inlineStr">
        <is>
          <t>AIエージェント</t>
        </is>
      </c>
      <c r="O54" s="12" t="inlineStr">
        <is>
          <t>○</t>
        </is>
      </c>
      <c r="P54" s="13" t="n">
        <v>68</v>
      </c>
      <c r="Q54" s="12" t="inlineStr">
        <is>
          <t>参加者数</t>
        </is>
      </c>
      <c r="R54" s="14" t="n"/>
      <c r="S54" s="10" t="inlineStr">
        <is>
          <t>全10回の合計</t>
        </is>
      </c>
      <c r="T54" s="10" t="n"/>
      <c r="U54" s="15" t="inlineStr">
        <is>
          <t>https://wakaran-reading.connpass.com/event/398586/</t>
        </is>
      </c>
      <c r="V54" s="10" t="n"/>
      <c r="W54" s="10" t="inlineStr">
        <is>
          <t>タイトル一致</t>
        </is>
      </c>
      <c r="X54" s="10" t="n"/>
    </row>
    <row r="55">
      <c r="A55" s="10" t="n">
        <v>54</v>
      </c>
      <c r="B55" s="24" t="n">
        <v>46212</v>
      </c>
      <c r="C55" s="24" t="n">
        <v>46212</v>
      </c>
      <c r="D55" s="10">
        <f>MONTH(B55)&amp;"月"</f>
        <v/>
      </c>
      <c r="E55" s="12" t="n">
        <v>1</v>
      </c>
      <c r="F55" s="10" t="n"/>
      <c r="G55" s="10" t="inlineStr">
        <is>
          <t>松尾研はこうAIを制御するのか AIエージェントの精度を担保・改善する仕組みエージェントハーネスとは</t>
        </is>
      </c>
      <c r="H55" s="10" t="inlineStr">
        <is>
          <t>#Offers_DeepDive / オファーズ</t>
        </is>
      </c>
      <c r="I55" s="10" t="n"/>
      <c r="J55" s="10" t="inlineStr">
        <is>
          <t>connpass</t>
        </is>
      </c>
      <c r="K55" s="10" t="inlineStr">
        <is>
          <t>オンライン</t>
        </is>
      </c>
      <c r="L55" s="10" t="inlineStr">
        <is>
          <t>オンライン</t>
        </is>
      </c>
      <c r="M55" s="10" t="inlineStr">
        <is>
          <t>技術・AI全般</t>
        </is>
      </c>
      <c r="N55" s="10" t="inlineStr">
        <is>
          <t>AIエージェント</t>
        </is>
      </c>
      <c r="O55" s="12" t="inlineStr">
        <is>
          <t>○</t>
        </is>
      </c>
      <c r="P55" s="13" t="n">
        <v>305</v>
      </c>
      <c r="Q55" s="12" t="inlineStr">
        <is>
          <t>参加者数</t>
        </is>
      </c>
      <c r="R55" s="14" t="n"/>
      <c r="S55" s="10" t="n"/>
      <c r="T55" s="10" t="n"/>
      <c r="U55" s="15" t="inlineStr">
        <is>
          <t>https://offers-jp.connpass.com/event/396197/</t>
        </is>
      </c>
      <c r="V55" s="10" t="n"/>
      <c r="W55" s="10" t="inlineStr">
        <is>
          <t>タイトル一致</t>
        </is>
      </c>
      <c r="X55" s="10" t="n"/>
    </row>
    <row r="56">
      <c r="A56" s="10" t="n">
        <v>55</v>
      </c>
      <c r="B56" s="24" t="n">
        <v>46212</v>
      </c>
      <c r="C56" s="24" t="n">
        <v>46213</v>
      </c>
      <c r="D56" s="10">
        <f>MONTH(B56)&amp;"月"</f>
        <v/>
      </c>
      <c r="E56" s="12" t="n">
        <v>1</v>
      </c>
      <c r="F56" s="10" t="n"/>
      <c r="G56" s="10" t="inlineStr">
        <is>
          <t>製造業DXサミット2026〜AIとデータの時代へ動き始めた製造業の未来像〜</t>
        </is>
      </c>
      <c r="H56" s="10" t="inlineStr">
        <is>
          <t>日経クロステック（日経BP）</t>
        </is>
      </c>
      <c r="I56" s="10" t="n"/>
      <c r="J56" s="10" t="inlineStr">
        <is>
          <t>個別調査（公式サイト・PR TIMES等）</t>
        </is>
      </c>
      <c r="K56" s="10" t="inlineStr">
        <is>
          <t>オンライン</t>
        </is>
      </c>
      <c r="L56" s="10" t="n"/>
      <c r="M56" s="10" t="inlineStr">
        <is>
          <t>生産管理・製造・SCM</t>
        </is>
      </c>
      <c r="N56" s="10" t="inlineStr">
        <is>
          <t>AIエージェント</t>
        </is>
      </c>
      <c r="O56" s="12" t="inlineStr">
        <is>
          <t>◎</t>
        </is>
      </c>
      <c r="P56" s="13" t="n"/>
      <c r="Q56" s="12" t="inlineStr">
        <is>
          <t>不明</t>
        </is>
      </c>
      <c r="R56" s="14" t="n"/>
      <c r="S56" s="10" t="n"/>
      <c r="T56" s="10" t="inlineStr">
        <is>
          <t>データとAIの活用による製造業DXがテーマ。システムをまたいで業務を支援するAIエージェントや、フィジカルAIのセッションがある。</t>
        </is>
      </c>
      <c r="U56" s="15" t="inlineStr">
        <is>
          <t>https://events.nikkeibp.co.jp/event/2026/nxt0709/</t>
        </is>
      </c>
      <c r="V56" s="10" t="n"/>
      <c r="W56" s="10" t="inlineStr">
        <is>
          <t>個別確認</t>
        </is>
      </c>
      <c r="X56" s="10" t="n"/>
    </row>
    <row r="57">
      <c r="A57" s="10" t="n">
        <v>56</v>
      </c>
      <c r="B57" s="24" t="n">
        <v>46213</v>
      </c>
      <c r="C57" s="24" t="n">
        <v>46213</v>
      </c>
      <c r="D57" s="10">
        <f>MONTH(B57)&amp;"月"</f>
        <v/>
      </c>
      <c r="E57" s="12" t="n">
        <v>1</v>
      </c>
      <c r="F57" s="10" t="n"/>
      <c r="G57" s="10" t="inlineStr">
        <is>
          <t>7/10(金)今からキャッチアップ「SalesforceインプリをAgentとやるってどんな感じ？」</t>
        </is>
      </c>
      <c r="H57" s="10" t="inlineStr">
        <is>
          <t>namespace</t>
        </is>
      </c>
      <c r="I57" s="10" t="n"/>
      <c r="J57" s="10" t="inlineStr">
        <is>
          <t>connpass</t>
        </is>
      </c>
      <c r="K57" s="10" t="inlineStr">
        <is>
          <t>会場</t>
        </is>
      </c>
      <c r="L57" s="10" t="inlineStr">
        <is>
          <t>東京都江東区常盤2-5-2 常盤マンション1階テナント</t>
        </is>
      </c>
      <c r="M57" s="10" t="inlineStr">
        <is>
          <t>営業・マーケ・CS</t>
        </is>
      </c>
      <c r="N57" s="10" t="inlineStr">
        <is>
          <t>AIエージェント</t>
        </is>
      </c>
      <c r="O57" s="12" t="inlineStr">
        <is>
          <t>◎</t>
        </is>
      </c>
      <c r="P57" s="13" t="n"/>
      <c r="Q57" s="12" t="inlineStr">
        <is>
          <t>不明</t>
        </is>
      </c>
      <c r="R57" s="14" t="n"/>
      <c r="S57" s="10" t="n"/>
      <c r="T57" s="10" t="n"/>
      <c r="U57" s="15" t="inlineStr">
        <is>
          <t>https://namespace.connpass.com/event/395095/</t>
        </is>
      </c>
      <c r="V57" s="10" t="n"/>
      <c r="W57" s="10" t="inlineStr">
        <is>
          <t>タイトル一致</t>
        </is>
      </c>
      <c r="X57" s="10" t="n"/>
    </row>
    <row r="58">
      <c r="A58" s="10" t="n">
        <v>57</v>
      </c>
      <c r="B58" s="24" t="n">
        <v>46213</v>
      </c>
      <c r="C58" s="24" t="n">
        <v>46213</v>
      </c>
      <c r="D58" s="10">
        <f>MONTH(B58)&amp;"月"</f>
        <v/>
      </c>
      <c r="E58" s="12" t="n">
        <v>1</v>
      </c>
      <c r="F58" s="10" t="n"/>
      <c r="G58" s="10" t="inlineStr">
        <is>
          <t>AIエージェントキャッチアップ #83 - AgentSpace</t>
        </is>
      </c>
      <c r="H58" s="10" t="inlineStr">
        <is>
          <t>ジェネラティブエージェンツ / Generative Agents</t>
        </is>
      </c>
      <c r="I58" s="10" t="n"/>
      <c r="J58" s="10" t="inlineStr">
        <is>
          <t>connpass</t>
        </is>
      </c>
      <c r="K58" s="10" t="inlineStr">
        <is>
          <t>オンライン</t>
        </is>
      </c>
      <c r="L58" s="10" t="inlineStr">
        <is>
          <t>オンライン</t>
        </is>
      </c>
      <c r="M58" s="10" t="inlineStr">
        <is>
          <t>技術・AI全般</t>
        </is>
      </c>
      <c r="N58" s="10" t="inlineStr">
        <is>
          <t>AIエージェント</t>
        </is>
      </c>
      <c r="O58" s="12" t="inlineStr">
        <is>
          <t>○</t>
        </is>
      </c>
      <c r="P58" s="13" t="n">
        <v>64</v>
      </c>
      <c r="Q58" s="12" t="inlineStr">
        <is>
          <t>参加者数</t>
        </is>
      </c>
      <c r="R58" s="14" t="n">
        <v>200</v>
      </c>
      <c r="S58" s="10" t="n"/>
      <c r="T58" s="10" t="n"/>
      <c r="U58" s="15" t="inlineStr">
        <is>
          <t>https://generative-agents.connpass.com/event/398435/</t>
        </is>
      </c>
      <c r="V58" s="10" t="n"/>
      <c r="W58" s="10" t="inlineStr">
        <is>
          <t>タイトル一致</t>
        </is>
      </c>
      <c r="X58" s="10" t="n"/>
    </row>
    <row r="59">
      <c r="A59" s="10" t="n">
        <v>58</v>
      </c>
      <c r="B59" s="24" t="n">
        <v>46213</v>
      </c>
      <c r="C59" s="24" t="n">
        <v>46213</v>
      </c>
      <c r="D59" s="10">
        <f>MONTH(B59)&amp;"月"</f>
        <v/>
      </c>
      <c r="E59" s="12" t="n">
        <v>1</v>
      </c>
      <c r="F59" s="10" t="n"/>
      <c r="G59" s="10" t="inlineStr">
        <is>
          <t>Claude Code開発ノウハウ大公開スペシャル by クラスメソッド</t>
        </is>
      </c>
      <c r="H59" s="10" t="inlineStr">
        <is>
          <t>クラスメソッド株式会社</t>
        </is>
      </c>
      <c r="I59" s="10" t="n"/>
      <c r="J59" s="10" t="inlineStr">
        <is>
          <t>connpass</t>
        </is>
      </c>
      <c r="K59" s="10" t="inlineStr">
        <is>
          <t>会場</t>
        </is>
      </c>
      <c r="L59" s="10" t="inlineStr">
        <is>
          <t>大阪府大阪市中央区伏見町3-6-3 三菱UFJ信託銀行大阪ビル8階</t>
        </is>
      </c>
      <c r="M59" s="10" t="inlineStr">
        <is>
          <t>開発生産性</t>
        </is>
      </c>
      <c r="N59" s="10" t="inlineStr">
        <is>
          <t>AIエージェント</t>
        </is>
      </c>
      <c r="O59" s="12" t="inlineStr">
        <is>
          <t>○</t>
        </is>
      </c>
      <c r="P59" s="13" t="n">
        <v>520</v>
      </c>
      <c r="Q59" s="12" t="inlineStr">
        <is>
          <t>参加者数</t>
        </is>
      </c>
      <c r="R59" s="14" t="n"/>
      <c r="S59" s="10" t="n"/>
      <c r="T59" s="10" t="n"/>
      <c r="U59" s="15" t="inlineStr">
        <is>
          <t>https://classmethod.connpass.com/event/395374/</t>
        </is>
      </c>
      <c r="V59" s="10" t="n"/>
      <c r="W59" s="10" t="inlineStr">
        <is>
          <t>タイトル一致</t>
        </is>
      </c>
      <c r="X59" s="10" t="n"/>
    </row>
    <row r="60">
      <c r="A60" s="10" t="n">
        <v>59</v>
      </c>
      <c r="B60" s="24" t="n">
        <v>46213</v>
      </c>
      <c r="C60" s="24" t="n">
        <v>46260</v>
      </c>
      <c r="D60" s="10">
        <f>MONTH(B60)&amp;"月"</f>
        <v/>
      </c>
      <c r="E60" s="12" t="n">
        <v>2</v>
      </c>
      <c r="F60" s="10" t="inlineStr">
        <is>
          <t>07/10、08/26</t>
        </is>
      </c>
      <c r="G60" s="10" t="inlineStr">
        <is>
          <t>ClaudeCodeMeetupOsaka vol.2</t>
        </is>
      </c>
      <c r="H60" s="10" t="inlineStr">
        <is>
          <t>AIエージェントユーザー会（AIAU）</t>
        </is>
      </c>
      <c r="I60" s="10" t="n"/>
      <c r="J60" s="10" t="inlineStr">
        <is>
          <t>connpass</t>
        </is>
      </c>
      <c r="K60" s="10" t="inlineStr">
        <is>
          <t>会場</t>
        </is>
      </c>
      <c r="L60" s="10" t="inlineStr">
        <is>
          <t>〒530-0001 大阪府大阪市北区梅田3丁目1番3号 ノースゲートビルディング</t>
        </is>
      </c>
      <c r="M60" s="10" t="inlineStr">
        <is>
          <t>営業・マーケ・CS</t>
        </is>
      </c>
      <c r="N60" s="10" t="inlineStr">
        <is>
          <t>AIエージェント</t>
        </is>
      </c>
      <c r="O60" s="12" t="inlineStr">
        <is>
          <t>◎</t>
        </is>
      </c>
      <c r="P60" s="13" t="n">
        <v>116</v>
      </c>
      <c r="Q60" s="12" t="inlineStr">
        <is>
          <t>参加者数</t>
        </is>
      </c>
      <c r="R60" s="14" t="n">
        <v>137</v>
      </c>
      <c r="S60" s="10" t="inlineStr">
        <is>
          <t>全2回の合計</t>
        </is>
      </c>
      <c r="T60" s="10" t="n"/>
      <c r="U60" s="15" t="inlineStr">
        <is>
          <t>https://aiau.connpass.com/event/394831/</t>
        </is>
      </c>
      <c r="V60" s="10" t="n"/>
      <c r="W60" s="10" t="inlineStr">
        <is>
          <t>タイトル一致</t>
        </is>
      </c>
      <c r="X60" s="10" t="n"/>
    </row>
    <row r="61">
      <c r="A61" s="10" t="n">
        <v>60</v>
      </c>
      <c r="B61" s="24" t="n">
        <v>46213</v>
      </c>
      <c r="C61" s="24" t="n">
        <v>46213</v>
      </c>
      <c r="D61" s="10">
        <f>MONTH(B61)&amp;"月"</f>
        <v/>
      </c>
      <c r="E61" s="12" t="n">
        <v>1</v>
      </c>
      <c r="F61" s="10" t="n"/>
      <c r="G61" s="10" t="inlineStr">
        <is>
          <t>RAGの限界を超える!MCPで実現する正確なAIデータ活用</t>
        </is>
      </c>
      <c r="H61" s="10" t="inlineStr">
        <is>
          <t>スノーリーズ株式会社 セミナー事務局</t>
        </is>
      </c>
      <c r="I61" s="10" t="n"/>
      <c r="J61" s="10" t="inlineStr">
        <is>
          <t>こくちーずプロ</t>
        </is>
      </c>
      <c r="K61" s="10" t="inlineStr">
        <is>
          <t>オンライン</t>
        </is>
      </c>
      <c r="L61" s="10" t="inlineStr">
        <is>
          <t>オンライン 日本</t>
        </is>
      </c>
      <c r="M61" s="10" t="inlineStr">
        <is>
          <t>生産管理・製造・SCM</t>
        </is>
      </c>
      <c r="N61" s="10" t="inlineStr">
        <is>
          <t>MCP</t>
        </is>
      </c>
      <c r="O61" s="12" t="inlineStr">
        <is>
          <t>◎</t>
        </is>
      </c>
      <c r="P61" s="13" t="n"/>
      <c r="Q61" s="12" t="inlineStr">
        <is>
          <t>不明</t>
        </is>
      </c>
      <c r="R61" s="14" t="n"/>
      <c r="S61" s="10" t="n"/>
      <c r="T61" s="10" t="inlineStr">
        <is>
          <t>AI活用は、いま大きな転換期を迎えています。 「AIを入れたのに、結局Excelで集計している」——そのままでいいですか？ 生成AIを試した多くの企業が、こんな現実に直面しています。 RAGを導入したが、数値の回答が信用できず人手でチェックが発生 レポート作成のためにシステムからデータを抽出する作業が毎月続く AIに社内データを連携させたいが、やり方がわからず止まっている その原因は、ツールの問題ではなくAIとデータの"つなぎ方"にあり</t>
        </is>
      </c>
      <c r="U61" s="15" t="inlineStr">
        <is>
          <t>https://www.kokuchpro.com/event/74c3aed9a16d9d1838ba976b1b7a5170/3830827/</t>
        </is>
      </c>
      <c r="V61" s="10" t="n"/>
      <c r="W61" s="10" t="inlineStr">
        <is>
          <t>タイトル一致</t>
        </is>
      </c>
      <c r="X61" s="10" t="n"/>
    </row>
    <row r="62">
      <c r="A62" s="10" t="n">
        <v>61</v>
      </c>
      <c r="B62" s="24" t="n">
        <v>46213</v>
      </c>
      <c r="C62" s="24" t="n">
        <v>46213</v>
      </c>
      <c r="D62" s="10">
        <f>MONTH(B62)&amp;"月"</f>
        <v/>
      </c>
      <c r="E62" s="12" t="n">
        <v>1</v>
      </c>
      <c r="F62" s="10" t="n"/>
      <c r="G62" s="10" t="inlineStr">
        <is>
          <t>【エキスパート講座】実務で差がつく！生成AIアウトプット実践・比較マスター講座（2日間講座）</t>
        </is>
      </c>
      <c r="H62" s="10" t="inlineStr">
        <is>
          <t>一般社団法人ウェブ解析士協会 講座企画運営部（担当：沖本一生）</t>
        </is>
      </c>
      <c r="I62" s="10" t="n"/>
      <c r="J62" s="10" t="inlineStr">
        <is>
          <t>Doorkeeper</t>
        </is>
      </c>
      <c r="K62" s="10" t="inlineStr">
        <is>
          <t>不明</t>
        </is>
      </c>
      <c r="L62" s="10" t="n"/>
      <c r="M62" s="10" t="inlineStr">
        <is>
          <t>営業・マーケ・CS</t>
        </is>
      </c>
      <c r="N62" s="10" t="inlineStr">
        <is>
          <t>AIエージェント</t>
        </is>
      </c>
      <c r="O62" s="12" t="inlineStr">
        <is>
          <t>○</t>
        </is>
      </c>
      <c r="P62" s="13" t="n">
        <v>0</v>
      </c>
      <c r="Q62" s="12" t="inlineStr">
        <is>
          <t>参加者数</t>
        </is>
      </c>
      <c r="R62" s="14" t="n"/>
      <c r="S62" s="10" t="n"/>
      <c r="T62" s="10" t="inlineStr">
        <is>
          <t xml:space="preserve"> 講座概要 こちらの講座は、7/10（金）13:00～14:30、7/17（金）13:00～14:30 の２日間講座となります。 本講座は、生成AIを単なる「検索ツール」や「要約ツール」としてではなく、Webマーケティング実務における「優秀なアシスタント」としてフル活用するための実践型ワークショップです。 世の中には多数の生成AI（ChatGPT、Claude、Geminiなど）が存在しますが、実はそれぞれ「得意なアウトプット」が異なり</t>
        </is>
      </c>
      <c r="U62" s="15" t="inlineStr">
        <is>
          <t>https://web-mining.doorkeeper.jp/events/197927</t>
        </is>
      </c>
      <c r="V62" s="10" t="n"/>
      <c r="W62" s="10" t="inlineStr">
        <is>
          <t>本文一致</t>
        </is>
      </c>
      <c r="X62" s="10" t="n"/>
    </row>
    <row r="63">
      <c r="A63" s="10" t="n">
        <v>62</v>
      </c>
      <c r="B63" s="24" t="n">
        <v>46213</v>
      </c>
      <c r="C63" s="24" t="n">
        <v>46213</v>
      </c>
      <c r="D63" s="10">
        <f>MONTH(B63)&amp;"月"</f>
        <v/>
      </c>
      <c r="E63" s="12" t="n">
        <v>1</v>
      </c>
      <c r="F63" s="10" t="n"/>
      <c r="G63" s="10" t="inlineStr">
        <is>
          <t>【大阪・北浜】SES×AI活用開発交流会|案件を探す会社・人材を探す会社・開発を依頼したい会社が集まる交流会</t>
        </is>
      </c>
      <c r="H63" s="10" t="inlineStr">
        <is>
          <t>株式会社ユニオン</t>
        </is>
      </c>
      <c r="I63" s="10" t="n"/>
      <c r="J63" s="10" t="inlineStr">
        <is>
          <t>こくちーずプロ</t>
        </is>
      </c>
      <c r="K63" s="10" t="inlineStr">
        <is>
          <t>オフライン（会場）</t>
        </is>
      </c>
      <c r="L63" s="10" t="inlineStr">
        <is>
          <t>北浜BASE 大阪府大阪市中央区伏見町2-2-10 谷ビル5F</t>
        </is>
      </c>
      <c r="M63" s="10" t="inlineStr">
        <is>
          <t>開発生産性</t>
        </is>
      </c>
      <c r="N63" s="10" t="inlineStr">
        <is>
          <t>AIエージェント</t>
        </is>
      </c>
      <c r="O63" s="12" t="inlineStr">
        <is>
          <t>△</t>
        </is>
      </c>
      <c r="P63" s="13" t="n"/>
      <c r="Q63" s="12" t="inlineStr">
        <is>
          <t>不明</t>
        </is>
      </c>
      <c r="R63" s="14" t="n"/>
      <c r="S63" s="10" t="n"/>
      <c r="T63" s="10" t="inlineStr">
        <is>
          <t xml:space="preserve">いま、AIの急速な進化により、システム開発業界は大きな転換期を迎えています。 そして、多くの企業も次のような課題を抱えています。 開発案件はあるが開発人材が足りない 優秀なエンジニア人材はいるが案件が不足している システムやAIを導入したいが、誰に相談すればよいかわからない 信頼できる開発会社や協業先を探している AIを活用した新しいビジネスを模索している そこで今回、 「案件を探す会社」 「人材を探す会社」 「開発を発注したい会社」 </t>
        </is>
      </c>
      <c r="U63" s="15" t="inlineStr">
        <is>
          <t>https://www.kokuchpro.com/event/union710/</t>
        </is>
      </c>
      <c r="V63" s="10" t="n"/>
      <c r="W63" s="10" t="inlineStr">
        <is>
          <t>本文一致</t>
        </is>
      </c>
      <c r="X63" s="10" t="n"/>
    </row>
    <row r="64">
      <c r="A64" s="10" t="n">
        <v>63</v>
      </c>
      <c r="B64" s="24" t="n">
        <v>46213</v>
      </c>
      <c r="C64" s="24" t="n">
        <v>46213</v>
      </c>
      <c r="D64" s="10">
        <f>MONTH(B64)&amp;"月"</f>
        <v/>
      </c>
      <c r="E64" s="12" t="n">
        <v>1</v>
      </c>
      <c r="F64" s="10" t="n"/>
      <c r="G64" s="10" t="inlineStr">
        <is>
          <t>インフラ作業を生成AI（ClaudeCode）にどこまで任せるか</t>
        </is>
      </c>
      <c r="H64" s="10" t="inlineStr">
        <is>
          <t>Scalar</t>
        </is>
      </c>
      <c r="I64" s="10" t="n"/>
      <c r="J64" s="10" t="inlineStr">
        <is>
          <t>connpass</t>
        </is>
      </c>
      <c r="K64" s="10" t="inlineStr">
        <is>
          <t>オンライン</t>
        </is>
      </c>
      <c r="L64" s="10" t="inlineStr">
        <is>
          <t>オンライン</t>
        </is>
      </c>
      <c r="M64" s="10" t="inlineStr">
        <is>
          <t>営業・マーケ・CS</t>
        </is>
      </c>
      <c r="N64" s="10" t="inlineStr">
        <is>
          <t>AIエージェント</t>
        </is>
      </c>
      <c r="O64" s="12" t="inlineStr">
        <is>
          <t>◎</t>
        </is>
      </c>
      <c r="P64" s="13" t="n">
        <v>28</v>
      </c>
      <c r="Q64" s="12" t="inlineStr">
        <is>
          <t>参加者数</t>
        </is>
      </c>
      <c r="R64" s="14" t="n">
        <v>100</v>
      </c>
      <c r="S64" s="10" t="n"/>
      <c r="T64" s="10" t="n"/>
      <c r="U64" s="15" t="inlineStr">
        <is>
          <t>https://scalar.connpass.com/event/399339/</t>
        </is>
      </c>
      <c r="V64" s="10" t="n"/>
      <c r="W64" s="10" t="inlineStr">
        <is>
          <t>タイトル一致</t>
        </is>
      </c>
      <c r="X64" s="10" t="n"/>
    </row>
    <row r="65">
      <c r="A65" s="10" t="n">
        <v>64</v>
      </c>
      <c r="B65" s="24" t="n">
        <v>46213</v>
      </c>
      <c r="C65" s="24" t="n">
        <v>46213</v>
      </c>
      <c r="D65" s="10">
        <f>MONTH(B65)&amp;"月"</f>
        <v/>
      </c>
      <c r="E65" s="12" t="n">
        <v>1</v>
      </c>
      <c r="F65" s="10" t="n"/>
      <c r="G65" s="10" t="inlineStr">
        <is>
          <t>ランサムに狙われるVPN、パッチ対応を少人数情シスで抱え続けるのはもう限界？ 〜VPNとZTNAの併存運用で、業務を止めずに段階的に手放す方法〜</t>
        </is>
      </c>
      <c r="H65" s="10" t="inlineStr">
        <is>
          <t>三信電気株式会社 シスコシステムズ合同会社</t>
        </is>
      </c>
      <c r="I65" s="10" t="inlineStr">
        <is>
          <t>三信電気株式会社 シスコシステムズ合同会社</t>
        </is>
      </c>
      <c r="J65" s="10" t="inlineStr">
        <is>
          <t>Doorkeeper</t>
        </is>
      </c>
      <c r="K65" s="10" t="inlineStr">
        <is>
          <t>不明</t>
        </is>
      </c>
      <c r="L65" s="10" t="n"/>
      <c r="M65" s="10" t="inlineStr">
        <is>
          <t>生産性向上・業務効率化</t>
        </is>
      </c>
      <c r="N65" s="10" t="inlineStr">
        <is>
          <t>AIエージェント</t>
        </is>
      </c>
      <c r="O65" s="12" t="inlineStr">
        <is>
          <t>○</t>
        </is>
      </c>
      <c r="P65" s="13" t="n">
        <v>0</v>
      </c>
      <c r="Q65" s="12" t="inlineStr">
        <is>
          <t>参加者数</t>
        </is>
      </c>
      <c r="R65" s="14" t="n"/>
      <c r="S65" s="10" t="n"/>
      <c r="T65"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ランサム攻撃で狙われるVPN機器 ランサムウェア被害が深刻化する今、多くの企業で最大の「侵入経路」となっているのがVPN機器です。クラウド活用が進む一方で、「社内システムへのアクセスのために、古いオンプ</t>
        </is>
      </c>
      <c r="U65" s="15" t="inlineStr">
        <is>
          <t>https://majisemi-security.doorkeeper.jp/events/197789</t>
        </is>
      </c>
      <c r="V65" s="10" t="n"/>
      <c r="W65" s="10" t="inlineStr">
        <is>
          <t>本文一致</t>
        </is>
      </c>
      <c r="X65" s="10" t="n"/>
    </row>
    <row r="66">
      <c r="A66" s="10" t="n">
        <v>65</v>
      </c>
      <c r="B66" s="24" t="n">
        <v>46213</v>
      </c>
      <c r="C66" s="24" t="n">
        <v>46213</v>
      </c>
      <c r="D66" s="10">
        <f>MONTH(B66)&amp;"月"</f>
        <v/>
      </c>
      <c r="E66" s="12" t="n">
        <v>1</v>
      </c>
      <c r="F66" s="10" t="n"/>
      <c r="G66" s="10" t="inlineStr">
        <is>
          <t>社内システム × AI連携「MCP」入門 今日から使える業務効率化の新常識</t>
        </is>
      </c>
      <c r="H66" s="10" t="inlineStr">
        <is>
          <t>スノーリーズ株式会社 セミナー事務局</t>
        </is>
      </c>
      <c r="I66" s="10" t="n"/>
      <c r="J66" s="10" t="inlineStr">
        <is>
          <t>こくちーずプロ</t>
        </is>
      </c>
      <c r="K66" s="10" t="inlineStr">
        <is>
          <t>オンライン</t>
        </is>
      </c>
      <c r="L66" s="10" t="inlineStr">
        <is>
          <t>オンライン 日本</t>
        </is>
      </c>
      <c r="M66" s="10" t="inlineStr">
        <is>
          <t>生産性向上・業務効率化</t>
        </is>
      </c>
      <c r="N66" s="10" t="inlineStr">
        <is>
          <t>両方</t>
        </is>
      </c>
      <c r="O66" s="12" t="inlineStr">
        <is>
          <t>◎</t>
        </is>
      </c>
      <c r="P66" s="13" t="n"/>
      <c r="Q66" s="12" t="inlineStr">
        <is>
          <t>不明</t>
        </is>
      </c>
      <c r="R66" s="14" t="n"/>
      <c r="S66" s="10" t="n"/>
      <c r="T66" s="10" t="inlineStr">
        <is>
          <t>「また同じ質問が来た」「どこに情報があるかわからない」 その日常、実は仕組みで解決できます。 人手不足の今、問合せ対応に課題を抱えている企業は多い！ 問い合わせ対応の現場では、膨大な履歴・散在する情報・担当者ごとの回答のバラつきが積み重なり、日々の業務を圧迫しています。 その根本原因は、社内の情報がAIとつながっていないことにあります。 本セミナーでは、「AIエージェント＋MCP連携」という最新アプローチにより、社内データと生成AIをつ</t>
        </is>
      </c>
      <c r="U66" s="15" t="inlineStr">
        <is>
          <t>https://www.kokuchpro.com/event/30e777371171a23e6946ba9b829e6469/3830837/</t>
        </is>
      </c>
      <c r="V66" s="10" t="n"/>
      <c r="W66" s="10" t="inlineStr">
        <is>
          <t>タイトル一致</t>
        </is>
      </c>
      <c r="X66" s="10" t="n"/>
    </row>
    <row r="67">
      <c r="A67" s="10" t="n">
        <v>66</v>
      </c>
      <c r="B67" s="24" t="n">
        <v>46213</v>
      </c>
      <c r="C67" s="24" t="n">
        <v>46241</v>
      </c>
      <c r="D67" s="10">
        <f>MONTH(B67)&amp;"月"</f>
        <v/>
      </c>
      <c r="E67" s="12" t="n">
        <v>2</v>
      </c>
      <c r="F67" s="10" t="inlineStr">
        <is>
          <t>07/10、08/07</t>
        </is>
      </c>
      <c r="G67" s="10" t="inlineStr">
        <is>
          <t>第2回 やさしいClaude Code LT大会</t>
        </is>
      </c>
      <c r="H67" s="10" t="inlineStr">
        <is>
          <t>やさしいAI駆動社会クリエイターズ</t>
        </is>
      </c>
      <c r="I67" s="10" t="n"/>
      <c r="J67" s="10" t="inlineStr">
        <is>
          <t>connpass</t>
        </is>
      </c>
      <c r="K67" s="10" t="inlineStr">
        <is>
          <t>オンライン</t>
        </is>
      </c>
      <c r="L67" s="10" t="inlineStr">
        <is>
          <t>オンライン</t>
        </is>
      </c>
      <c r="M67" s="10" t="inlineStr">
        <is>
          <t>開発生産性</t>
        </is>
      </c>
      <c r="N67" s="10" t="inlineStr">
        <is>
          <t>AIエージェント</t>
        </is>
      </c>
      <c r="O67" s="12" t="inlineStr">
        <is>
          <t>○</t>
        </is>
      </c>
      <c r="P67" s="13" t="n">
        <v>135</v>
      </c>
      <c r="Q67" s="12" t="inlineStr">
        <is>
          <t>参加者数</t>
        </is>
      </c>
      <c r="R67" s="14" t="n"/>
      <c r="S67" s="10" t="inlineStr">
        <is>
          <t>全2回の合計</t>
        </is>
      </c>
      <c r="T67" s="10" t="n"/>
      <c r="U67" s="15" t="inlineStr">
        <is>
          <t>https://biosbootcamp.connpass.com/event/396378/</t>
        </is>
      </c>
      <c r="V67" s="10" t="n"/>
      <c r="W67" s="10" t="inlineStr">
        <is>
          <t>タイトル一致</t>
        </is>
      </c>
      <c r="X67" s="10" t="n"/>
    </row>
    <row r="68">
      <c r="A68" s="10" t="n">
        <v>67</v>
      </c>
      <c r="B68" s="24" t="n">
        <v>46213</v>
      </c>
      <c r="C68" s="24" t="n">
        <v>46213</v>
      </c>
      <c r="D68" s="10">
        <f>MONTH(B68)&amp;"月"</f>
        <v/>
      </c>
      <c r="E68" s="12" t="n">
        <v>1</v>
      </c>
      <c r="F68" s="10" t="n"/>
      <c r="G68" s="10" t="inlineStr">
        <is>
          <t>＜金融AI2026＞自律型AI時代の金融実務再設計と組織の処方箋～失敗の本質とX世代再活性化によるAIベストプラクティス～</t>
        </is>
      </c>
      <c r="H68" s="10" t="inlineStr">
        <is>
          <t>（記載なし）</t>
        </is>
      </c>
      <c r="I68" s="10" t="n"/>
      <c r="J68" s="10" t="inlineStr">
        <is>
          <t>セミナー情報.com</t>
        </is>
      </c>
      <c r="K68" s="10" t="inlineStr">
        <is>
          <t>会場 / オンライン</t>
        </is>
      </c>
      <c r="L68" s="10" t="n"/>
      <c r="M68" s="10" t="inlineStr">
        <is>
          <t>技術・AI全般</t>
        </is>
      </c>
      <c r="N68" s="10" t="inlineStr">
        <is>
          <t>AIエージェント</t>
        </is>
      </c>
      <c r="O68" s="12" t="inlineStr">
        <is>
          <t>○</t>
        </is>
      </c>
      <c r="P68" s="13" t="n"/>
      <c r="Q68" s="12" t="inlineStr">
        <is>
          <t>不明</t>
        </is>
      </c>
      <c r="R68" s="14" t="n"/>
      <c r="S68" s="10" t="n"/>
      <c r="T68" s="10" t="n"/>
      <c r="U68" s="15" t="inlineStr">
        <is>
          <t>https://www.seminar-info.jp/entry/seminars/view/3/6868</t>
        </is>
      </c>
      <c r="V68" s="10" t="n"/>
      <c r="W68" s="10" t="inlineStr">
        <is>
          <t>タイトル一致</t>
        </is>
      </c>
      <c r="X68" s="10" t="n"/>
    </row>
    <row r="69">
      <c r="A69" s="10" t="n">
        <v>68</v>
      </c>
      <c r="B69" s="24" t="n">
        <v>46214</v>
      </c>
      <c r="C69" s="24" t="n">
        <v>46214</v>
      </c>
      <c r="D69" s="10">
        <f>MONTH(B69)&amp;"月"</f>
        <v/>
      </c>
      <c r="E69" s="12" t="n">
        <v>1</v>
      </c>
      <c r="F69" s="10" t="n"/>
      <c r="G69" s="10" t="inlineStr">
        <is>
          <t>AIの力で技術負債を解消しよう 〜仕様書ゼロのレガシーコードを、Claude＋Tsumikiでどう攻略する？〜</t>
        </is>
      </c>
      <c r="H69" s="10" t="inlineStr">
        <is>
          <t>株式会社くすりの窓口</t>
        </is>
      </c>
      <c r="I69" s="10" t="n"/>
      <c r="J69" s="10" t="inlineStr">
        <is>
          <t>TECH PLAY</t>
        </is>
      </c>
      <c r="K69" s="10" t="inlineStr">
        <is>
          <t>オンライン</t>
        </is>
      </c>
      <c r="L69" s="10" t="n"/>
      <c r="M69" s="10" t="inlineStr">
        <is>
          <t>開発生産性</t>
        </is>
      </c>
      <c r="N69" s="10" t="inlineStr">
        <is>
          <t>AIエージェント</t>
        </is>
      </c>
      <c r="O69" s="12" t="inlineStr">
        <is>
          <t>△</t>
        </is>
      </c>
      <c r="P69" s="13" t="n">
        <v>9</v>
      </c>
      <c r="Q69" s="12" t="inlineStr">
        <is>
          <t>申込者数</t>
        </is>
      </c>
      <c r="R69" s="14" t="n">
        <v>30</v>
      </c>
      <c r="S69" s="10" t="n"/>
      <c r="T69" s="10" t="inlineStr">
        <is>
          <t>こんなコード、開くのが怖くなっていませんか？ ・触ると壊れそうで、誰も手をつけられない「秘伝のタレ」化したコード ・書いた本人はもういない。仕様書は、ない。 ・「たぶんこう動いてるはず…」で運用され続けているシステム 技術負債の中でも一番やっかいなのが、仕様書が存在しないコードです。直したいけど、何が正解かわからない。だから触れない。そして負債は静かに膨らみ続けます。 【この勉強会でやること】 そんな「仕様書なき技術負債」に、Claud</t>
        </is>
      </c>
      <c r="U69" s="15" t="inlineStr">
        <is>
          <t>https://techplay.jp/event/997810</t>
        </is>
      </c>
      <c r="V69" s="10" t="n"/>
      <c r="W69" s="10" t="inlineStr">
        <is>
          <t>本文一致</t>
        </is>
      </c>
      <c r="X69" s="10" t="n"/>
    </row>
    <row r="70">
      <c r="A70" s="10" t="n">
        <v>69</v>
      </c>
      <c r="B70" s="24" t="n">
        <v>46214</v>
      </c>
      <c r="C70" s="24" t="n">
        <v>46214</v>
      </c>
      <c r="D70" s="10">
        <f>MONTH(B70)&amp;"月"</f>
        <v/>
      </c>
      <c r="E70" s="12" t="n">
        <v>1</v>
      </c>
      <c r="F70" s="10" t="n"/>
      <c r="G70" s="10" t="inlineStr">
        <is>
          <t>Claude Coworkで作る"自由に編集できる"スライド作成</t>
        </is>
      </c>
      <c r="H70" s="10" t="inlineStr">
        <is>
          <t>デジタルレイバーズ</t>
        </is>
      </c>
      <c r="I70" s="10" t="n"/>
      <c r="J70" s="10" t="inlineStr">
        <is>
          <t>connpass</t>
        </is>
      </c>
      <c r="K70" s="10" t="inlineStr">
        <is>
          <t>オンライン</t>
        </is>
      </c>
      <c r="L70" s="10" t="inlineStr">
        <is>
          <t>オンライン</t>
        </is>
      </c>
      <c r="M70" s="10" t="inlineStr">
        <is>
          <t>技術・AI全般</t>
        </is>
      </c>
      <c r="N70" s="10" t="inlineStr">
        <is>
          <t>AIエージェント</t>
        </is>
      </c>
      <c r="O70" s="12" t="inlineStr">
        <is>
          <t>○</t>
        </is>
      </c>
      <c r="P70" s="13" t="n">
        <v>26</v>
      </c>
      <c r="Q70" s="12" t="inlineStr">
        <is>
          <t>参加者数</t>
        </is>
      </c>
      <c r="R70" s="14" t="n">
        <v>30</v>
      </c>
      <c r="S70" s="10" t="n"/>
      <c r="T70" s="10" t="n"/>
      <c r="U70" s="15" t="inlineStr">
        <is>
          <t>https://digital-labors.connpass.com/event/398250/</t>
        </is>
      </c>
      <c r="V70" s="10" t="n"/>
      <c r="W70" s="10" t="inlineStr">
        <is>
          <t>タイトル一致</t>
        </is>
      </c>
      <c r="X70" s="10" t="n"/>
    </row>
    <row r="71">
      <c r="A71" s="10" t="n">
        <v>70</v>
      </c>
      <c r="B71" s="24" t="n">
        <v>46214</v>
      </c>
      <c r="C71" s="24" t="n">
        <v>46214</v>
      </c>
      <c r="D71" s="10">
        <f>MONTH(B71)&amp;"月"</f>
        <v/>
      </c>
      <c r="E71" s="12" t="n">
        <v>1</v>
      </c>
      <c r="F71" s="10" t="n"/>
      <c r="G71" s="10" t="inlineStr">
        <is>
          <t>ゼロから学べる!AI活用術(実践編)</t>
        </is>
      </c>
      <c r="H71" s="10" t="inlineStr">
        <is>
          <t>株式会社タスクールPlus</t>
        </is>
      </c>
      <c r="I71" s="10" t="n"/>
      <c r="J71" s="10" t="inlineStr">
        <is>
          <t>こくちーずプロ</t>
        </is>
      </c>
      <c r="K71" s="10" t="inlineStr">
        <is>
          <t>オフライン（会場）</t>
        </is>
      </c>
      <c r="L71" s="10" t="inlineStr">
        <is>
          <t>タスクール 愛知県名古屋市千種区千種通7-25-1 サンライズ千種502</t>
        </is>
      </c>
      <c r="M71" s="10" t="inlineStr">
        <is>
          <t>生産性向上・業務効率化</t>
        </is>
      </c>
      <c r="N71" s="10" t="inlineStr">
        <is>
          <t>AIエージェント</t>
        </is>
      </c>
      <c r="O71" s="12" t="inlineStr">
        <is>
          <t>○</t>
        </is>
      </c>
      <c r="P71" s="13" t="n">
        <v>0</v>
      </c>
      <c r="Q71" s="12" t="inlineStr">
        <is>
          <t>参加者数</t>
        </is>
      </c>
      <c r="R71" s="14" t="n">
        <v>10</v>
      </c>
      <c r="S71" s="10" t="n"/>
      <c r="T71" s="10" t="inlineStr">
        <is>
          <t>【7/11（土）開催｜ゼロから学べる！AI活用術 実践編】 「ChatGPTは少し使えるようになった」 「でも、仕事にどう活かせばいいのか分からない」 「毎回プロンプトを書くのが面倒で、結局続かない」 「AIを使っているつもりだけど、成果につながっている実感がない」 そんな方に向けて、AI活用講座の実践編を開催します。 今回のテーマは、AIを“思考の伴走者”から“業務の共同作業者”へ育てること。 入門編では、ChatGPTを中心に、AI</t>
        </is>
      </c>
      <c r="U71" s="15" t="inlineStr">
        <is>
          <t>https://www.kokuchpro.com/event/7fa5a272404e3a707e160fa8264c6f28/</t>
        </is>
      </c>
      <c r="V71" s="10" t="n"/>
      <c r="W71" s="10" t="inlineStr">
        <is>
          <t>本文一致</t>
        </is>
      </c>
      <c r="X71" s="10" t="n"/>
    </row>
    <row r="72">
      <c r="A72" s="10" t="n">
        <v>71</v>
      </c>
      <c r="B72" s="24" t="n">
        <v>46215</v>
      </c>
      <c r="C72" s="24" t="n">
        <v>46215</v>
      </c>
      <c r="D72" s="10">
        <f>MONTH(B72)&amp;"月"</f>
        <v/>
      </c>
      <c r="E72" s="12" t="n">
        <v>1</v>
      </c>
      <c r="F72" s="10" t="n"/>
      <c r="G72" s="10" t="inlineStr">
        <is>
          <t>Claude Codeで考える AI駆動開発のしくみづくりワークショップ</t>
        </is>
      </c>
      <c r="H72" s="10" t="inlineStr">
        <is>
          <t>AI駆動開発(AI-Driven Development)</t>
        </is>
      </c>
      <c r="I72" s="10" t="n"/>
      <c r="J72" s="10" t="inlineStr">
        <is>
          <t>connpass</t>
        </is>
      </c>
      <c r="K72" s="10" t="inlineStr">
        <is>
          <t>会場</t>
        </is>
      </c>
      <c r="L72" s="10" t="inlineStr">
        <is>
          <t>〒160-0023 東京都新宿区西新宿7-20-1住友不動産西新宿ビル 32F</t>
        </is>
      </c>
      <c r="M72" s="10" t="inlineStr">
        <is>
          <t>開発生産性</t>
        </is>
      </c>
      <c r="N72" s="10" t="inlineStr">
        <is>
          <t>AIエージェント</t>
        </is>
      </c>
      <c r="O72" s="12" t="inlineStr">
        <is>
          <t>○</t>
        </is>
      </c>
      <c r="P72" s="13" t="n"/>
      <c r="Q72" s="12" t="inlineStr">
        <is>
          <t>不明</t>
        </is>
      </c>
      <c r="R72" s="14" t="n"/>
      <c r="S72" s="10" t="n"/>
      <c r="T72" s="10" t="n"/>
      <c r="U72" s="15" t="inlineStr">
        <is>
          <t>https://aid.connpass.com/event/397707/</t>
        </is>
      </c>
      <c r="V72" s="10" t="n"/>
      <c r="W72" s="10" t="inlineStr">
        <is>
          <t>タイトル一致</t>
        </is>
      </c>
      <c r="X72" s="10" t="n"/>
    </row>
    <row r="73">
      <c r="A73" s="10" t="n">
        <v>72</v>
      </c>
      <c r="B73" s="24" t="n">
        <v>46215</v>
      </c>
      <c r="C73" s="24" t="n">
        <v>46215</v>
      </c>
      <c r="D73" s="10">
        <f>MONTH(B73)&amp;"月"</f>
        <v/>
      </c>
      <c r="E73" s="12" t="n">
        <v>1</v>
      </c>
      <c r="F73" s="10" t="n"/>
      <c r="G73" s="10" t="inlineStr">
        <is>
          <t>Claude Code勉強会 @STATION Ai 名古屋</t>
        </is>
      </c>
      <c r="H73" s="10" t="inlineStr">
        <is>
          <t>anzi_kosaka</t>
        </is>
      </c>
      <c r="I73" s="10" t="n"/>
      <c r="J73" s="10" t="inlineStr">
        <is>
          <t>connpass</t>
        </is>
      </c>
      <c r="K73" s="10" t="inlineStr">
        <is>
          <t>会場</t>
        </is>
      </c>
      <c r="L73" s="10" t="inlineStr">
        <is>
          <t>(場所未定)</t>
        </is>
      </c>
      <c r="M73" s="10" t="inlineStr">
        <is>
          <t>開発生産性</t>
        </is>
      </c>
      <c r="N73" s="10" t="inlineStr">
        <is>
          <t>AIエージェント</t>
        </is>
      </c>
      <c r="O73" s="12" t="inlineStr">
        <is>
          <t>○</t>
        </is>
      </c>
      <c r="P73" s="13" t="n">
        <v>5</v>
      </c>
      <c r="Q73" s="12" t="inlineStr">
        <is>
          <t>参加者数</t>
        </is>
      </c>
      <c r="R73" s="14" t="n"/>
      <c r="S73" s="10" t="n"/>
      <c r="T73" s="10" t="n"/>
      <c r="U73" s="15" t="inlineStr">
        <is>
          <t>https://connpass.com/event/399282/</t>
        </is>
      </c>
      <c r="V73" s="10" t="n"/>
      <c r="W73" s="10" t="inlineStr">
        <is>
          <t>タイトル一致</t>
        </is>
      </c>
      <c r="X73" s="10" t="n"/>
    </row>
    <row r="74">
      <c r="A74" s="10" t="n">
        <v>73</v>
      </c>
      <c r="B74" s="24" t="n">
        <v>46215</v>
      </c>
      <c r="C74" s="24" t="n">
        <v>46232</v>
      </c>
      <c r="D74" s="10">
        <f>MONTH(B74)&amp;"月"</f>
        <v/>
      </c>
      <c r="E74" s="12" t="n">
        <v>2</v>
      </c>
      <c r="F74" s="10" t="inlineStr">
        <is>
          <t>07/12、07/29</t>
        </is>
      </c>
      <c r="G74" s="10" t="inlineStr">
        <is>
          <t>【参加無料】非エンジニアのためのClaude Code活用超入門</t>
        </is>
      </c>
      <c r="H74" s="10" t="inlineStr">
        <is>
          <t>和から株式会社</t>
        </is>
      </c>
      <c r="I74" s="10" t="n"/>
      <c r="J74" s="10" t="inlineStr">
        <is>
          <t>TECH PLAY</t>
        </is>
      </c>
      <c r="K74" s="10" t="inlineStr">
        <is>
          <t>オンライン</t>
        </is>
      </c>
      <c r="L74" s="10" t="n"/>
      <c r="M74" s="10" t="inlineStr">
        <is>
          <t>生産性向上・業務効率化</t>
        </is>
      </c>
      <c r="N74" s="10" t="inlineStr">
        <is>
          <t>AIエージェント</t>
        </is>
      </c>
      <c r="O74" s="12" t="inlineStr">
        <is>
          <t>◎</t>
        </is>
      </c>
      <c r="P74" s="13" t="n">
        <v>11</v>
      </c>
      <c r="Q74" s="12" t="inlineStr">
        <is>
          <t>申込者数</t>
        </is>
      </c>
      <c r="R74" s="14" t="n">
        <v>25</v>
      </c>
      <c r="S74" s="10" t="inlineStr">
        <is>
          <t>全2回の合計</t>
        </is>
      </c>
      <c r="T74" s="10" t="inlineStr">
        <is>
          <t>Claude Codeはあなたの業務でも使えます 「Claude Codeが話題らしい」「なんか便利そう」——そう聞いて気になってはいるものの、**「どうせエンジニア向けのツールでしょ」「プログラミングができない自分には関係ない」と一歩引いていませんか。Claude Codeとは、ファイルの作成・整理・編集といった作業を自動でこなしてくれるAIツールです。ふだん使っているChatGPTやGeminiが「質問に答えてくれるAI」だとすれば</t>
        </is>
      </c>
      <c r="U74" s="15" t="inlineStr">
        <is>
          <t>https://techplay.jp/event/997912</t>
        </is>
      </c>
      <c r="V74" s="10" t="n"/>
      <c r="W74" s="10" t="inlineStr">
        <is>
          <t>タイトル一致</t>
        </is>
      </c>
      <c r="X74" s="10" t="n"/>
    </row>
    <row r="75">
      <c r="A75" s="10" t="n">
        <v>74</v>
      </c>
      <c r="B75" s="24" t="n">
        <v>46216</v>
      </c>
      <c r="C75" s="24" t="n">
        <v>46216</v>
      </c>
      <c r="D75" s="10">
        <f>MONTH(B75)&amp;"月"</f>
        <v/>
      </c>
      <c r="E75" s="12" t="n">
        <v>1</v>
      </c>
      <c r="F75" s="10" t="n"/>
      <c r="G75" s="10" t="inlineStr">
        <is>
          <t>Claude Codeで「AI社員」を採用・配置する方法|経営者向け無料セミナー</t>
        </is>
      </c>
      <c r="H75" s="10" t="inlineStr">
        <is>
          <t>Claude Codeで「AI社員」を採用・配置する方法|経営者向け無料セミナー事務局</t>
        </is>
      </c>
      <c r="I75" s="10" t="n"/>
      <c r="J75" s="10" t="inlineStr">
        <is>
          <t>こくちーずプロ</t>
        </is>
      </c>
      <c r="K75" s="10" t="inlineStr">
        <is>
          <t>オンライン</t>
        </is>
      </c>
      <c r="L75" s="10" t="inlineStr">
        <is>
          <t>オンライン 日本</t>
        </is>
      </c>
      <c r="M75" s="10" t="inlineStr">
        <is>
          <t>生産性向上・業務効率化</t>
        </is>
      </c>
      <c r="N75" s="10" t="inlineStr">
        <is>
          <t>AIエージェント</t>
        </is>
      </c>
      <c r="O75" s="12" t="inlineStr">
        <is>
          <t>◎</t>
        </is>
      </c>
      <c r="P75" s="13" t="n">
        <v>4</v>
      </c>
      <c r="Q75" s="12" t="inlineStr">
        <is>
          <t>参加者数</t>
        </is>
      </c>
      <c r="R75" s="14" t="n">
        <v>30</v>
      </c>
      <c r="S75" s="10" t="n"/>
      <c r="T75" s="10" t="inlineStr">
        <is>
          <t>「あと1人いれば回るのに」——そう思ったこと、ありませんか？ 採用すれば年間300〜500万円。派遣を頼んでも月20〜30万円。でも、そこまでの余裕はない。 Claude Codeなら、月3000円からで「AI社員」を配置できます。営業・マーケ・経理——それぞれの業務に特化したAIを、自分で作って、自分で育てる。今回は、そのAI社員を実際にゼロから作る過程をライブでお見せします。 ■こんなこと、ありませんか？ ・「AI社員」「AIエージ</t>
        </is>
      </c>
      <c r="U75" s="15" t="inlineStr">
        <is>
          <t>https://www.kokuchpro.com/event/53069532975ddcdbf3d1a3e8d44d7350/</t>
        </is>
      </c>
      <c r="V75" s="10" t="n"/>
      <c r="W75" s="10" t="inlineStr">
        <is>
          <t>タイトル一致</t>
        </is>
      </c>
      <c r="X75" s="10" t="n"/>
    </row>
    <row r="76">
      <c r="A76" s="10" t="n">
        <v>75</v>
      </c>
      <c r="B76" s="24" t="n">
        <v>46216</v>
      </c>
      <c r="C76" s="24" t="n">
        <v>46216</v>
      </c>
      <c r="D76" s="10">
        <f>MONTH(B76)&amp;"月"</f>
        <v/>
      </c>
      <c r="E76" s="12" t="n">
        <v>1</v>
      </c>
      <c r="F76" s="10" t="n"/>
      <c r="G76" s="10" t="inlineStr">
        <is>
          <t>【Flashセミナー Vol.154】｢人だけ｣の参加お断り 『Claude Code』がEC施策を学ぶ60分</t>
        </is>
      </c>
      <c r="H76" s="10" t="inlineStr">
        <is>
          <t>web-mining</t>
        </is>
      </c>
      <c r="I76" s="10" t="n"/>
      <c r="J76" s="10" t="inlineStr">
        <is>
          <t>Doorkeeper</t>
        </is>
      </c>
      <c r="K76" s="10" t="inlineStr">
        <is>
          <t>不明</t>
        </is>
      </c>
      <c r="L76" s="10" t="n"/>
      <c r="M76" s="10" t="inlineStr">
        <is>
          <t>営業・マーケ・CS</t>
        </is>
      </c>
      <c r="N76" s="10" t="inlineStr">
        <is>
          <t>AIエージェント</t>
        </is>
      </c>
      <c r="O76" s="12" t="inlineStr">
        <is>
          <t>◎</t>
        </is>
      </c>
      <c r="P76" s="13" t="n">
        <v>116</v>
      </c>
      <c r="Q76" s="12" t="inlineStr">
        <is>
          <t>参加者数</t>
        </is>
      </c>
      <c r="R76" s="14" t="n">
        <v>250</v>
      </c>
      <c r="S76" s="10" t="n"/>
      <c r="T76" s="10" t="inlineStr">
        <is>
          <t xml:space="preserve"> こちらのセミナーは「参加要件」がございます。 必ずお読みください。 セミナー内容 ECの改善、計測も、商品ページも、SEOも、ぜんぶ自分。気づけば施策はやりっ放し——多くのEC担当者がこんな状況に陥っているのではないでしょうか。 なぜなら、施策を進めるのも自分、学ぶのも自分。なんなら発送だって自分が担当。 もう“自分自分”なEC運営、やめませんか？ このセミナーでご紹介するのは、食品・お酒・製造業など、業種の異なる複数のECサイトで、</t>
        </is>
      </c>
      <c r="U76" s="15" t="inlineStr">
        <is>
          <t>https://web-mining.doorkeeper.jp/events/198040</t>
        </is>
      </c>
      <c r="V76" s="10" t="n"/>
      <c r="W76" s="10" t="inlineStr">
        <is>
          <t>タイトル一致</t>
        </is>
      </c>
      <c r="X76" s="10" t="n"/>
    </row>
    <row r="77">
      <c r="A77" s="10" t="n">
        <v>76</v>
      </c>
      <c r="B77" s="24" t="n">
        <v>46216</v>
      </c>
      <c r="C77" s="24" t="n">
        <v>46216</v>
      </c>
      <c r="D77" s="10">
        <f>MONTH(B77)&amp;"月"</f>
        <v/>
      </c>
      <c r="E77" s="12" t="n">
        <v>1</v>
      </c>
      <c r="F77" s="10" t="n"/>
      <c r="G77" s="10" t="inlineStr">
        <is>
          <t>【与信DX】公開情報が少ない企業も、AIエージェントが見抜く時代へ</t>
        </is>
      </c>
      <c r="H77" s="10" t="inlineStr">
        <is>
          <t>Baseconnect株式会社（協力：マジセミ株式会社）</t>
        </is>
      </c>
      <c r="I77" s="10" t="n"/>
      <c r="J77" s="10" t="inlineStr">
        <is>
          <t>マジセミ</t>
        </is>
      </c>
      <c r="K77" s="10" t="inlineStr">
        <is>
          <t>online</t>
        </is>
      </c>
      <c r="L77" s="10" t="inlineStr">
        <is>
          <t>オンライン</t>
        </is>
      </c>
      <c r="M77" s="10" t="inlineStr">
        <is>
          <t>生産性向上・業務効率化</t>
        </is>
      </c>
      <c r="N77" s="10" t="inlineStr">
        <is>
          <t>AIエージェント</t>
        </is>
      </c>
      <c r="O77" s="12" t="inlineStr">
        <is>
          <t>◎</t>
        </is>
      </c>
      <c r="P77" s="13" t="n"/>
      <c r="Q77" s="12" t="inlineStr">
        <is>
          <t>不明</t>
        </is>
      </c>
      <c r="R77" s="14" t="n"/>
      <c r="S77" s="10" t="n"/>
      <c r="T77" s="10" t="inlineStr">
        <is>
          <t>■中小・零細企業の与信判断が難しくなる 企業間取引では、新規取引先の信用力や反社・コンプライアンス上の懸念を確認したうえで、取引可否を判断することが求められます。ところが、中小・零細企業は公開されている財務情報やニュース、信用情報が限られることも多く、判断材料が十分に揃わないケースがあります。取引先の裾野が広がるほど確認対象も増えるため、限られた情報の中でいかに公平で再現性のある与信判断を行うかが、企業にとって大きな課題になっています。</t>
        </is>
      </c>
      <c r="U77" s="15" t="inlineStr">
        <is>
          <t>https://prtimes.jp/main/html/rd/p/000005369.000054842.html</t>
        </is>
      </c>
      <c r="V77" s="10" t="n"/>
      <c r="W77" s="10" t="inlineStr">
        <is>
          <t>タイトル一致</t>
        </is>
      </c>
      <c r="X77" s="10" t="n"/>
    </row>
    <row r="78">
      <c r="A78" s="10" t="n">
        <v>77</v>
      </c>
      <c r="B78" s="24" t="n">
        <v>46217</v>
      </c>
      <c r="C78" s="24" t="n">
        <v>46217</v>
      </c>
      <c r="D78" s="10">
        <f>MONTH(B78)&amp;"月"</f>
        <v/>
      </c>
      <c r="E78" s="12" t="n">
        <v>1</v>
      </c>
      <c r="F78" s="10" t="n"/>
      <c r="G78" s="10" t="inlineStr">
        <is>
          <t>Alteryx on Tour : Tokyo</t>
        </is>
      </c>
      <c r="H78" s="10" t="inlineStr">
        <is>
          <t>アルテリックス・ジャパン合同会社</t>
        </is>
      </c>
      <c r="I78" s="10" t="n"/>
      <c r="J78" s="10" t="inlineStr">
        <is>
          <t>ビジネス+IT</t>
        </is>
      </c>
      <c r="K78" s="10" t="inlineStr">
        <is>
          <t>offline</t>
        </is>
      </c>
      <c r="L78" s="10" t="inlineStr">
        <is>
          <t>東京都</t>
        </is>
      </c>
      <c r="M78" s="10" t="inlineStr">
        <is>
          <t>生産性向上・業務効率化</t>
        </is>
      </c>
      <c r="N78" s="10" t="inlineStr">
        <is>
          <t>AIエージェント</t>
        </is>
      </c>
      <c r="O78" s="12" t="inlineStr">
        <is>
          <t>○</t>
        </is>
      </c>
      <c r="P78" s="13" t="n"/>
      <c r="Q78" s="12" t="inlineStr">
        <is>
          <t>不明</t>
        </is>
      </c>
      <c r="R78" s="14" t="n"/>
      <c r="S78" s="10" t="n"/>
      <c r="T78" s="10" t="inlineStr">
        <is>
          <t>AI活用が活発になる中、その成果を左右するのはAIそのものではなく、信頼できるデータです。Alteryx on Tour : Tokyo では、 "Agentic Analytics Starts Here ~エージェンティック・アナリティクスが導くAI時代のデータ活用~" をテーマに、データの質を確保しながら、どのようにガバナンスを確立すべきか。そして、ビジネス部門が主体的に「データ活用」「自動化」「AI実装」にチャレンジするための環</t>
        </is>
      </c>
      <c r="U78" s="15" t="inlineStr">
        <is>
          <t>https://www.sbbit.jp/eventinfo/88821</t>
        </is>
      </c>
      <c r="V78" s="10" t="n"/>
      <c r="W78" s="10" t="inlineStr">
        <is>
          <t>本文一致</t>
        </is>
      </c>
      <c r="X78" s="10" t="n"/>
    </row>
    <row r="79">
      <c r="A79" s="10" t="n">
        <v>78</v>
      </c>
      <c r="B79" s="24" t="n">
        <v>46217</v>
      </c>
      <c r="C79" s="24" t="n">
        <v>46217</v>
      </c>
      <c r="D79" s="10">
        <f>MONTH(B79)&amp;"月"</f>
        <v/>
      </c>
      <c r="E79" s="12" t="n">
        <v>1</v>
      </c>
      <c r="F79" s="10" t="n"/>
      <c r="G79" s="10" t="inlineStr">
        <is>
          <t>SoftBank World 2026「AX for Japan」</t>
        </is>
      </c>
      <c r="H79" s="10" t="inlineStr">
        <is>
          <t>ソフトバンク</t>
        </is>
      </c>
      <c r="I79" s="10" t="n"/>
      <c r="J79" s="10" t="inlineStr">
        <is>
          <t>個別調査（公式サイト・PR TIMES等）</t>
        </is>
      </c>
      <c r="K79" s="10" t="inlineStr">
        <is>
          <t>ハイブリッド</t>
        </is>
      </c>
      <c r="L79" s="10" t="inlineStr">
        <is>
          <t>ライブ配信・会場展示（オンデマンド配信は7/21〜8/31）</t>
        </is>
      </c>
      <c r="M79" s="10" t="inlineStr">
        <is>
          <t>大型カンファレンス・展示会</t>
        </is>
      </c>
      <c r="N79" s="10" t="inlineStr">
        <is>
          <t>AIエージェント</t>
        </is>
      </c>
      <c r="O79" s="12" t="inlineStr">
        <is>
          <t>◎</t>
        </is>
      </c>
      <c r="P79" s="13" t="n"/>
      <c r="Q79" s="12" t="inlineStr">
        <is>
          <t>不明</t>
        </is>
      </c>
      <c r="R79" s="14" t="n"/>
      <c r="S79" s="10" t="n"/>
      <c r="T79" s="10" t="inlineStr">
        <is>
          <t>孫正義氏が「2040年に100兆個のAIエージェント」と講演した。自律型AIやフィジカルAIを紹介し、安川電機のロボットを展示した。</t>
        </is>
      </c>
      <c r="U79" s="15" t="inlineStr">
        <is>
          <t>https://www.softbank.jp/corp/news/press/sbkk/2026/20260518_01/</t>
        </is>
      </c>
      <c r="V79" s="15" t="inlineStr">
        <is>
          <t>https://k-tai.watch.impress.co.jp/docs/news/2109522.html</t>
        </is>
      </c>
      <c r="W79" s="10" t="inlineStr">
        <is>
          <t>個別確認</t>
        </is>
      </c>
      <c r="X79" s="10" t="n"/>
    </row>
    <row r="80">
      <c r="A80" s="10" t="n">
        <v>79</v>
      </c>
      <c r="B80" s="24" t="n">
        <v>46217</v>
      </c>
      <c r="C80" s="24" t="n">
        <v>46217</v>
      </c>
      <c r="D80" s="10">
        <f>MONTH(B80)&amp;"月"</f>
        <v/>
      </c>
      <c r="E80" s="12" t="n">
        <v>1</v>
      </c>
      <c r="F80" s="10" t="n"/>
      <c r="G80" s="10" t="inlineStr">
        <is>
          <t>TypeScriptで開発するAIエージェントの裏側 〜KAG社の実践知から学ぶMastra〜</t>
        </is>
      </c>
      <c r="H80" s="10" t="inlineStr">
        <is>
          <t>ファインディ／Findy</t>
        </is>
      </c>
      <c r="I80" s="10" t="n"/>
      <c r="J80" s="10" t="inlineStr">
        <is>
          <t>connpass</t>
        </is>
      </c>
      <c r="K80" s="10" t="inlineStr">
        <is>
          <t>オンライン</t>
        </is>
      </c>
      <c r="L80" s="10" t="inlineStr">
        <is>
          <t>オンライン</t>
        </is>
      </c>
      <c r="M80" s="10" t="inlineStr">
        <is>
          <t>開発生産性</t>
        </is>
      </c>
      <c r="N80" s="10" t="inlineStr">
        <is>
          <t>AIエージェント</t>
        </is>
      </c>
      <c r="O80" s="12" t="inlineStr">
        <is>
          <t>○</t>
        </is>
      </c>
      <c r="P80" s="13" t="n">
        <v>273</v>
      </c>
      <c r="Q80" s="12" t="inlineStr">
        <is>
          <t>参加者数</t>
        </is>
      </c>
      <c r="R80" s="14" t="n"/>
      <c r="S80" s="10" t="n"/>
      <c r="T80" s="10" t="n"/>
      <c r="U80" s="15" t="inlineStr">
        <is>
          <t>https://findy.connpass.com/event/396881/</t>
        </is>
      </c>
      <c r="V80" s="10" t="n"/>
      <c r="W80" s="10" t="inlineStr">
        <is>
          <t>タイトル一致</t>
        </is>
      </c>
      <c r="X80" s="10" t="n"/>
    </row>
    <row r="81">
      <c r="A81" s="10" t="n">
        <v>80</v>
      </c>
      <c r="B81" s="24" t="n">
        <v>46217</v>
      </c>
      <c r="C81" s="24" t="n">
        <v>46217</v>
      </c>
      <c r="D81" s="10">
        <f>MONTH(B81)&amp;"月"</f>
        <v/>
      </c>
      <c r="E81" s="12" t="n">
        <v>1</v>
      </c>
      <c r="F81" s="10" t="n"/>
      <c r="G81" s="10" t="inlineStr">
        <is>
          <t>※NTTDATA、三菱UFJ銀行登壇!【データ活用に関する大規模カンファレンスを赤坂で開催します!】Alteryx on tour2025</t>
        </is>
      </c>
      <c r="H81" s="10" t="inlineStr">
        <is>
          <t>アルテリックスジャパン</t>
        </is>
      </c>
      <c r="I81" s="10" t="n"/>
      <c r="J81" s="10" t="inlineStr">
        <is>
          <t>こくちーずプロ</t>
        </is>
      </c>
      <c r="K81" s="10" t="inlineStr">
        <is>
          <t>オフライン（会場）</t>
        </is>
      </c>
      <c r="L81" s="10" t="inlineStr">
        <is>
          <t>赤坂インターシティコンファレンス 東京都東京都港区赤坂1-8-1 赤坂インターシティAIR 3F・4F</t>
        </is>
      </c>
      <c r="M81" s="10" t="inlineStr">
        <is>
          <t>技術・AI全般</t>
        </is>
      </c>
      <c r="N81" s="10" t="inlineStr">
        <is>
          <t>AIエージェント</t>
        </is>
      </c>
      <c r="O81" s="12" t="inlineStr">
        <is>
          <t>△</t>
        </is>
      </c>
      <c r="P81" s="13" t="n">
        <v>0</v>
      </c>
      <c r="Q81" s="12" t="inlineStr">
        <is>
          <t>参加者数</t>
        </is>
      </c>
      <c r="R81" s="14" t="n">
        <v>800</v>
      </c>
      <c r="S81" s="10" t="n"/>
      <c r="T81" s="10" t="inlineStr">
        <is>
          <t>Alteryx on Tour Tokyo 7/14（火）10:00より、赤坂インターシティコンファレンスにて開催いたします。 今回は "Agentic Analytics Starts Here" をテーマに、 AGC、出光興産、大日本印刷、日揮グローバル、日本触媒、三井住友銀行、三菱UFJ銀行等、各社の事例登壇や野口竜司氏による特別講演がございます。 全セッション終了後にネットワーキングタイムがございますので登壇者の方や参加者の皆様</t>
        </is>
      </c>
      <c r="U81" s="15" t="inlineStr">
        <is>
          <t>https://www.kokuchpro.com/event/1699adb0baf47e1ec210c620530b609e/3820023/</t>
        </is>
      </c>
      <c r="V81" s="10" t="n"/>
      <c r="W81" s="10" t="inlineStr">
        <is>
          <t>本文一致</t>
        </is>
      </c>
      <c r="X81" s="10" t="n"/>
    </row>
    <row r="82">
      <c r="A82" s="10" t="n">
        <v>81</v>
      </c>
      <c r="B82" s="24" t="n">
        <v>46217</v>
      </c>
      <c r="C82" s="24" t="n">
        <v>46217</v>
      </c>
      <c r="D82" s="10">
        <f>MONTH(B82)&amp;"月"</f>
        <v/>
      </c>
      <c r="E82" s="12" t="n">
        <v>1</v>
      </c>
      <c r="F82" s="10" t="n"/>
      <c r="G82" s="10" t="inlineStr">
        <is>
          <t>【2026年版】人事DXの壁を突破!「AIエージェント、何に使うべき?」を解決 人事業務を変える鍵は「ワークフロー×AI」</t>
        </is>
      </c>
      <c r="H82" s="10" t="inlineStr">
        <is>
          <t>ヒューマンリソシア株式会社 DXセミナー事務局</t>
        </is>
      </c>
      <c r="I82" s="10" t="n"/>
      <c r="J82" s="10" t="inlineStr">
        <is>
          <t>こくちーずプロ</t>
        </is>
      </c>
      <c r="K82" s="10" t="inlineStr">
        <is>
          <t>オンライン</t>
        </is>
      </c>
      <c r="L82" s="10" t="inlineStr">
        <is>
          <t>オンライン 日本</t>
        </is>
      </c>
      <c r="M82" s="10" t="inlineStr">
        <is>
          <t>生産性向上・業務効率化</t>
        </is>
      </c>
      <c r="N82" s="10" t="inlineStr">
        <is>
          <t>AIエージェント</t>
        </is>
      </c>
      <c r="O82" s="12" t="inlineStr">
        <is>
          <t>◎</t>
        </is>
      </c>
      <c r="P82" s="13" t="n"/>
      <c r="Q82" s="12" t="inlineStr">
        <is>
          <t>不明</t>
        </is>
      </c>
      <c r="R82" s="14" t="n"/>
      <c r="S82" s="10" t="n"/>
      <c r="T82" s="10" t="inlineStr">
        <is>
          <t>「生成AIを導入したのに、思ったほど業務が減らない」 「RPAは入れたが、結局“人がつなぐ作業”が残っている」 多くの企業では、ChatGPTなどの生成AI活用が “メール作成”や“文章要約”など個人作業の効率化に留まり、 採用・労務・社内問い合わせ対応といった人事全体の業務改革にはつながっていません。 特に、人事各種システム、媒体、チャット、カレンダーなど 複数ツールをまたぐ作業や関係者との調整などは、 依然として人手に依存し、人事部</t>
        </is>
      </c>
      <c r="U82" s="15" t="inlineStr">
        <is>
          <t>https://www.kokuchpro.com/event/tunagiai_260714/</t>
        </is>
      </c>
      <c r="V82" s="10" t="n"/>
      <c r="W82" s="10" t="inlineStr">
        <is>
          <t>タイトル一致</t>
        </is>
      </c>
      <c r="X82" s="10" t="n"/>
    </row>
    <row r="83">
      <c r="A83" s="10" t="n">
        <v>82</v>
      </c>
      <c r="B83" s="24" t="n">
        <v>46217</v>
      </c>
      <c r="C83" s="24" t="n">
        <v>46217</v>
      </c>
      <c r="D83" s="10">
        <f>MONTH(B83)&amp;"月"</f>
        <v/>
      </c>
      <c r="E83" s="12" t="n">
        <v>1</v>
      </c>
      <c r="F83" s="10" t="n"/>
      <c r="G83" s="10" t="inlineStr">
        <is>
          <t>【エキスパート講座】非エンジニアのためのCodex業務自動化・実践講座（2日間講座）</t>
        </is>
      </c>
      <c r="H83" s="10" t="inlineStr">
        <is>
          <t>一般社団法人ウェブ解析士協会 講座企画運営部（担当：沖本一生）</t>
        </is>
      </c>
      <c r="I83" s="10" t="n"/>
      <c r="J83" s="10" t="inlineStr">
        <is>
          <t>Doorkeeper</t>
        </is>
      </c>
      <c r="K83" s="10" t="inlineStr">
        <is>
          <t>不明</t>
        </is>
      </c>
      <c r="L83" s="10" t="n"/>
      <c r="M83" s="10" t="inlineStr">
        <is>
          <t>生産性向上・業務効率化</t>
        </is>
      </c>
      <c r="N83" s="10" t="inlineStr">
        <is>
          <t>AIエージェント</t>
        </is>
      </c>
      <c r="O83" s="12" t="inlineStr">
        <is>
          <t>◎</t>
        </is>
      </c>
      <c r="P83" s="13" t="n">
        <v>7</v>
      </c>
      <c r="Q83" s="12" t="inlineStr">
        <is>
          <t>参加者数</t>
        </is>
      </c>
      <c r="R83" s="14" t="n"/>
      <c r="S83" s="10" t="n"/>
      <c r="T83" s="10" t="inlineStr">
        <is>
          <t xml:space="preserve"> 講座概要 こちらの講座は、7/14（火）14:00～15:30、7/21（火）14:00～15:30 の２日間講座となります。 本講座は、AIを「チャット（対話）」として使う段階から卒業し、自律的に動く「エージェント（実行）」として使いこなすための実践型プログラムです。 最新のCodexを優秀なデジタルアシスタントとして迎え入れ、スライド作成、データ分析、コンテンツの量産、さらにはWebサイトの構築までを「自然言語の指示（プロンプト）</t>
        </is>
      </c>
      <c r="U83" s="15" t="inlineStr">
        <is>
          <t>https://web-mining.doorkeeper.jp/events/197998</t>
        </is>
      </c>
      <c r="V83" s="10" t="n"/>
      <c r="W83" s="10" t="inlineStr">
        <is>
          <t>タイトル一致</t>
        </is>
      </c>
      <c r="X83" s="10" t="n"/>
    </row>
    <row r="84">
      <c r="A84" s="10" t="n">
        <v>83</v>
      </c>
      <c r="B84" s="24" t="n">
        <v>46217</v>
      </c>
      <c r="C84" s="24" t="n">
        <v>46217</v>
      </c>
      <c r="D84" s="10">
        <f>MONTH(B84)&amp;"月"</f>
        <v/>
      </c>
      <c r="E84" s="12" t="n">
        <v>1</v>
      </c>
      <c r="F84" s="10" t="n"/>
      <c r="G84" s="10" t="inlineStr">
        <is>
          <t>改めて理解する「CrowdStrike」とは？ ～1つのプラットフォームで実現する最高峰のセキュリティ～</t>
        </is>
      </c>
      <c r="H84" s="10" t="inlineStr">
        <is>
          <t>株式会社マクニカ</t>
        </is>
      </c>
      <c r="I84" s="10" t="n"/>
      <c r="J84" s="10" t="inlineStr">
        <is>
          <t>ZDNET Japan イベント</t>
        </is>
      </c>
      <c r="K84" s="10" t="inlineStr">
        <is>
          <t>オンライン</t>
        </is>
      </c>
      <c r="L84" s="10" t="inlineStr">
        <is>
          <t>WEB</t>
        </is>
      </c>
      <c r="M84" s="10" t="inlineStr">
        <is>
          <t>技術・AI全般</t>
        </is>
      </c>
      <c r="N84" s="10" t="inlineStr">
        <is>
          <t>AIエージェント</t>
        </is>
      </c>
      <c r="O84" s="12" t="inlineStr">
        <is>
          <t>△</t>
        </is>
      </c>
      <c r="P84" s="13" t="n"/>
      <c r="Q84" s="12" t="inlineStr">
        <is>
          <t>不明</t>
        </is>
      </c>
      <c r="R84" s="14" t="n"/>
      <c r="S84" s="10" t="n"/>
      <c r="T84" s="10" t="inlineStr">
        <is>
          <t>開催場所： WEB 開催日： 2026-07-14 「ランサムウェアや未知の攻撃に、今の対策で本当に大丈夫か不安」 「セキュリティ製品が増えすぎて、管理が追いつかない」 これらの課題を解決するのが、1エージェント・1コンソールで業界最高峰のセキュリティを実現する次世代EDR「CrowdStrike」です。 本セミナーでは、2013年より10年以上、CrowdStrike社の国内No.1*代理店として活動しているマクニカが、製品の全体像か</t>
        </is>
      </c>
      <c r="U84" s="15" t="inlineStr">
        <is>
          <t>https://japan.zdnet.com/event_info/30014951/</t>
        </is>
      </c>
      <c r="V84" s="10" t="n"/>
      <c r="W84" s="10" t="inlineStr">
        <is>
          <t>本文一致</t>
        </is>
      </c>
      <c r="X84" s="10" t="n"/>
    </row>
    <row r="85">
      <c r="A85" s="10" t="n">
        <v>84</v>
      </c>
      <c r="B85" s="24" t="n">
        <v>46218</v>
      </c>
      <c r="C85" s="24" t="n">
        <v>46218</v>
      </c>
      <c r="D85" s="10">
        <f>MONTH(B85)&amp;"月"</f>
        <v/>
      </c>
      <c r="E85" s="12" t="n">
        <v>1</v>
      </c>
      <c r="F85" s="10" t="n"/>
      <c r="G85" s="10" t="inlineStr">
        <is>
          <t>7/15(水) 16:00-【大好評セミナーを再配信！】 Copilot Studio活用の壁は「役割分担」で越える。 現場任せにせず、PoCを実務レベルへ引き上げる成功法則ポイント</t>
        </is>
      </c>
      <c r="H85" s="10" t="inlineStr">
        <is>
          <t>skillupai</t>
        </is>
      </c>
      <c r="I85" s="10" t="n"/>
      <c r="J85" s="10" t="inlineStr">
        <is>
          <t>Doorkeeper</t>
        </is>
      </c>
      <c r="K85" s="10" t="inlineStr">
        <is>
          <t>オンライン</t>
        </is>
      </c>
      <c r="L85" s="10" t="n"/>
      <c r="M85" s="10" t="inlineStr">
        <is>
          <t>生産性向上・業務効率化</t>
        </is>
      </c>
      <c r="N85" s="10" t="inlineStr">
        <is>
          <t>AIエージェント</t>
        </is>
      </c>
      <c r="O85" s="12" t="inlineStr">
        <is>
          <t>◎</t>
        </is>
      </c>
      <c r="P85" s="13" t="n">
        <v>0</v>
      </c>
      <c r="Q85" s="12" t="inlineStr">
        <is>
          <t>参加者数</t>
        </is>
      </c>
      <c r="R85" s="14" t="n">
        <v>30</v>
      </c>
      <c r="S85" s="10" t="n"/>
      <c r="T85" s="10" t="inlineStr">
        <is>
          <t xml:space="preserve"> ■ プログラム概要 多くの企業がMicrosoft 365 Copilotを導入し、Copilot StudioによるPoCに取り組み始めています。しかし、いざ実務に投入しようとすると「期待した回答が返ってこない」「社内システムとの連携がうまくいかない」といった壁に直面し、プロジェクトが停滞してしまうケースが少なくありません。 本セミナーでは、AIエージェントを「PoC」で終わらせず、「実務の即戦力」へと引き上げるためのポイントを解説</t>
        </is>
      </c>
      <c r="U85" s="15" t="inlineStr">
        <is>
          <t>https://skillupai.doorkeeper.jp/events/197871</t>
        </is>
      </c>
      <c r="V85" s="10" t="n"/>
      <c r="W85" s="10" t="inlineStr">
        <is>
          <t>タイトル一致</t>
        </is>
      </c>
      <c r="X85" s="10" t="n"/>
    </row>
    <row r="86">
      <c r="A86" s="10" t="n">
        <v>85</v>
      </c>
      <c r="B86" s="24" t="n">
        <v>46218</v>
      </c>
      <c r="C86" s="24" t="n">
        <v>46218</v>
      </c>
      <c r="D86" s="10">
        <f>MONTH(B86)&amp;"月"</f>
        <v/>
      </c>
      <c r="E86" s="12" t="n">
        <v>1</v>
      </c>
      <c r="F86" s="10" t="n"/>
      <c r="G86" s="10" t="inlineStr">
        <is>
          <t>AI Ready組織を見据えた データ基盤戦略とは～～IVRy＆アイスタイルが語る リアーキテクチャのリアル～～</t>
        </is>
      </c>
      <c r="H86" s="10" t="inlineStr">
        <is>
          <t>Findy/ファインディ</t>
        </is>
      </c>
      <c r="I86" s="10" t="n"/>
      <c r="J86" s="10" t="inlineStr">
        <is>
          <t>TECH PLAY</t>
        </is>
      </c>
      <c r="K86" s="10" t="inlineStr">
        <is>
          <t>オンライン</t>
        </is>
      </c>
      <c r="L86" s="10" t="n"/>
      <c r="M86" s="10" t="inlineStr">
        <is>
          <t>生産性向上・業務効率化</t>
        </is>
      </c>
      <c r="N86" s="10" t="inlineStr">
        <is>
          <t>AIエージェント</t>
        </is>
      </c>
      <c r="O86" s="12" t="inlineStr">
        <is>
          <t>○</t>
        </is>
      </c>
      <c r="P86" s="13" t="n">
        <v>31</v>
      </c>
      <c r="Q86" s="12" t="inlineStr">
        <is>
          <t>申込者数</t>
        </is>
      </c>
      <c r="R86" s="14" t="n">
        <v>200</v>
      </c>
      <c r="S86" s="10" t="n"/>
      <c r="T86" s="10" t="inlineStr">
        <is>
          <t>📹アーカイブ動画 アーカイブ動画はこちらから &lt;過去開催回&gt; 過去開催 Data Career Talk (DCT)シリーズイベント 🚪 ※アーカイブ動画の閲覧にはFindyへの会員登録が必要です。ご了承ください。 第1回 「事業成長を牽引する全社横断データ組織とは？～Sansan&amp;イオンスマートテクノロジーに聞くデータエンジニアの働き方～」 第2回 「AIエージェントを支えるデータエンジニアの仕事〜メルカリ＆ZOZOの実践〜」 第3回</t>
        </is>
      </c>
      <c r="U86" s="15" t="inlineStr">
        <is>
          <t>https://techplay.jp/event/997557</t>
        </is>
      </c>
      <c r="V86" s="10" t="n"/>
      <c r="W86" s="10" t="inlineStr">
        <is>
          <t>本文一致</t>
        </is>
      </c>
      <c r="X86" s="10" t="n"/>
    </row>
    <row r="87">
      <c r="A87" s="10" t="n">
        <v>86</v>
      </c>
      <c r="B87" s="24" t="n">
        <v>46218</v>
      </c>
      <c r="C87" s="24" t="n">
        <v>46218</v>
      </c>
      <c r="D87" s="10">
        <f>MONTH(B87)&amp;"月"</f>
        <v/>
      </c>
      <c r="E87" s="12" t="n">
        <v>1</v>
      </c>
      <c r="F87" s="10" t="n"/>
      <c r="G87" s="10" t="inlineStr">
        <is>
          <t>AIが脆弱性を見つける時代、何を優先的に守るべきか？ ～攻撃者視点でリスクを見て、防御対象を見極める～</t>
        </is>
      </c>
      <c r="H87" s="10" t="inlineStr">
        <is>
          <t>KELA株式会社</t>
        </is>
      </c>
      <c r="I87" s="10" t="inlineStr">
        <is>
          <t>マジセミ株式会社</t>
        </is>
      </c>
      <c r="J87" s="10" t="inlineStr">
        <is>
          <t>Doorkeeper</t>
        </is>
      </c>
      <c r="K87" s="10" t="inlineStr">
        <is>
          <t>不明</t>
        </is>
      </c>
      <c r="L87" s="10" t="n"/>
      <c r="M87" s="10" t="inlineStr">
        <is>
          <t>営業・マーケ・CS</t>
        </is>
      </c>
      <c r="N87" s="10" t="inlineStr">
        <is>
          <t>AIエージェント</t>
        </is>
      </c>
      <c r="O87" s="12" t="inlineStr">
        <is>
          <t>○</t>
        </is>
      </c>
      <c r="P87" s="13" t="n">
        <v>0</v>
      </c>
      <c r="Q87" s="12" t="inlineStr">
        <is>
          <t>参加者数</t>
        </is>
      </c>
      <c r="R87" s="14" t="n"/>
      <c r="S87" s="10" t="n"/>
      <c r="T87"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AIによって脆弱性発見が加速し、攻撃対象の発見も加速している現実 近年、生成AIやAIエージェントの進化により、脆弱性の発見や調査はかつてないスピードで行われるようになりました。 しかし、本当に警戒すべ</t>
        </is>
      </c>
      <c r="U87" s="15" t="inlineStr">
        <is>
          <t>https://majisemi-security.doorkeeper.jp/events/197893</t>
        </is>
      </c>
      <c r="V87" s="10" t="n"/>
      <c r="W87" s="10" t="inlineStr">
        <is>
          <t>本文一致</t>
        </is>
      </c>
      <c r="X87" s="10" t="n"/>
    </row>
    <row r="88">
      <c r="A88" s="10" t="n">
        <v>87</v>
      </c>
      <c r="B88" s="24" t="n">
        <v>46218</v>
      </c>
      <c r="C88" s="24" t="n">
        <v>46218</v>
      </c>
      <c r="D88" s="10">
        <f>MONTH(B88)&amp;"月"</f>
        <v/>
      </c>
      <c r="E88" s="12" t="n">
        <v>1</v>
      </c>
      <c r="F88" s="10" t="n"/>
      <c r="G88" s="10" t="inlineStr">
        <is>
          <t>AIエージェント × 感情AI SaaSの利活用とは～会議録・報告書をAIで活用し、プロジェクト課題を見つける方法～</t>
        </is>
      </c>
      <c r="H88" s="10" t="inlineStr">
        <is>
          <t>株式会社ジール　イベント・セミナー事務局</t>
        </is>
      </c>
      <c r="I88" s="10" t="n"/>
      <c r="J88" s="10" t="inlineStr">
        <is>
          <t>TECH PLAY</t>
        </is>
      </c>
      <c r="K88" s="10" t="inlineStr">
        <is>
          <t>オンライン</t>
        </is>
      </c>
      <c r="L88" s="10" t="n"/>
      <c r="M88" s="10" t="inlineStr">
        <is>
          <t>生産性向上・業務効率化</t>
        </is>
      </c>
      <c r="N88" s="10" t="inlineStr">
        <is>
          <t>AIエージェント</t>
        </is>
      </c>
      <c r="O88" s="12" t="inlineStr">
        <is>
          <t>◎</t>
        </is>
      </c>
      <c r="P88" s="13" t="n">
        <v>4</v>
      </c>
      <c r="Q88" s="12" t="inlineStr">
        <is>
          <t>申込者数</t>
        </is>
      </c>
      <c r="R88" s="14" t="n">
        <v>20</v>
      </c>
      <c r="S88" s="10" t="n"/>
      <c r="T88" s="10" t="inlineStr">
        <is>
          <t>AIエージェント × 感情AI SaaSの利活用とは～会議録・報告書をAIで活用し、プロジェクト課題を見つける方法～ 概要 生成AIを活用したデータ分析や業務効率化の重要性が急速に高まる中、 「自社に合った活用方法がわからない」 「生成AIを活用した業務アプリケーション導入にハードルを感じる」 「AIをどの業務に適用すべきか、具体的なイメージが持てない」 「会議録や報告書、プロジェクト情報が蓄積されているものの、改善活動に活かしきれてい</t>
        </is>
      </c>
      <c r="U88" s="15" t="inlineStr">
        <is>
          <t>https://techplay.jp/event/997092</t>
        </is>
      </c>
      <c r="V88" s="10" t="n"/>
      <c r="W88" s="10" t="inlineStr">
        <is>
          <t>タイトル一致</t>
        </is>
      </c>
      <c r="X88" s="10" t="n"/>
    </row>
    <row r="89">
      <c r="A89" s="10" t="n">
        <v>88</v>
      </c>
      <c r="B89" s="24" t="n">
        <v>46218</v>
      </c>
      <c r="C89" s="24" t="n">
        <v>46218</v>
      </c>
      <c r="D89" s="10">
        <f>MONTH(B89)&amp;"月"</f>
        <v/>
      </c>
      <c r="E89" s="12" t="n">
        <v>1</v>
      </c>
      <c r="F89" s="10" t="n"/>
      <c r="G89" s="10" t="inlineStr">
        <is>
          <t>AI活用の成果は“導入前の設計”でほぼ決まる</t>
        </is>
      </c>
      <c r="H89" s="10" t="inlineStr">
        <is>
          <t>株式会社マイクロメイツ</t>
        </is>
      </c>
      <c r="I89" s="10" t="n"/>
      <c r="J89" s="10" t="inlineStr">
        <is>
          <t>TECH PLAY</t>
        </is>
      </c>
      <c r="K89" s="10" t="inlineStr">
        <is>
          <t>オンライン</t>
        </is>
      </c>
      <c r="L89" s="10" t="n"/>
      <c r="M89" s="10" t="inlineStr">
        <is>
          <t>生産性向上・業務効率化</t>
        </is>
      </c>
      <c r="N89" s="10" t="inlineStr">
        <is>
          <t>AIエージェント</t>
        </is>
      </c>
      <c r="O89" s="12" t="inlineStr">
        <is>
          <t>○</t>
        </is>
      </c>
      <c r="P89" s="13" t="n">
        <v>10</v>
      </c>
      <c r="Q89" s="12" t="inlineStr">
        <is>
          <t>申込者数</t>
        </is>
      </c>
      <c r="R89" s="14" t="n">
        <v>50</v>
      </c>
      <c r="S89" s="10" t="n"/>
      <c r="T89" s="10" t="inlineStr">
        <is>
          <t>AI活用の成果は“導入前の設計”でほぼ決まる ～迷わず成果につなげるための「業務棚卸し・可視化」最短ルート～ 開催日 2026年7月15日（水）12：10〜12：40 12：00から入室可能 概要 AIエージェントの導入や活用を検討するなかで、 **「思ったほど効果が出ない」「どの業務に適用すべきか判断が難しい」**──そのようなお悩みはありませんか。 本セミナーでは、RPA導入事例をもとに、業務の一部を自動化しても全体の改善につながら</t>
        </is>
      </c>
      <c r="U89" s="15" t="inlineStr">
        <is>
          <t>https://techplay.jp/event/997980</t>
        </is>
      </c>
      <c r="V89" s="10" t="n"/>
      <c r="W89" s="10" t="inlineStr">
        <is>
          <t>本文一致</t>
        </is>
      </c>
      <c r="X89" s="10" t="n"/>
    </row>
    <row r="90">
      <c r="A90" s="10" t="n">
        <v>89</v>
      </c>
      <c r="B90" s="24" t="n">
        <v>46218</v>
      </c>
      <c r="C90" s="24" t="n">
        <v>46219</v>
      </c>
      <c r="D90" s="10">
        <f>MONTH(B90)&amp;"月"</f>
        <v/>
      </c>
      <c r="E90" s="12" t="n">
        <v>1</v>
      </c>
      <c r="F90" s="10" t="n"/>
      <c r="G90" s="10" t="inlineStr">
        <is>
          <t>CC AI BENCHMARK 2026（2Daysオンラインカンファレンス）</t>
        </is>
      </c>
      <c r="H90" s="10" t="inlineStr">
        <is>
          <t>株式会社Edge Works</t>
        </is>
      </c>
      <c r="I90" s="10" t="inlineStr">
        <is>
          <t>コンタクトセンター向けAI企業20社</t>
        </is>
      </c>
      <c r="J90" s="10" t="inlineStr">
        <is>
          <t>個別調査（公式サイト・PR TIMES等）</t>
        </is>
      </c>
      <c r="K90" s="10" t="inlineStr">
        <is>
          <t>オンライン</t>
        </is>
      </c>
      <c r="L90" s="10" t="inlineStr">
        <is>
          <t>Zoom Webinar</t>
        </is>
      </c>
      <c r="M90" s="10" t="inlineStr">
        <is>
          <t>営業・マーケ・CS</t>
        </is>
      </c>
      <c r="N90" s="10" t="inlineStr">
        <is>
          <t>AIエージェント</t>
        </is>
      </c>
      <c r="O90" s="12" t="inlineStr">
        <is>
          <t>◎</t>
        </is>
      </c>
      <c r="P90" s="13" t="n">
        <v>500</v>
      </c>
      <c r="Q90" s="12" t="inlineStr">
        <is>
          <t>申込数</t>
        </is>
      </c>
      <c r="R90" s="14" t="n"/>
      <c r="S90" s="10" t="inlineStr">
        <is>
          <t>告知時点で「申込500名突破」（各日の定員は1,000名）</t>
        </is>
      </c>
      <c r="T90" s="10" t="inlineStr">
        <is>
          <t>コンタクトセンター向けAIサービス20社を2日間で比較する無料カンファレンス。ベンチマークレポートの配布もある。</t>
        </is>
      </c>
      <c r="U90" s="15" t="inlineStr">
        <is>
          <t>https://prtimes.jp/main/html/rd/p/000000006.000163625.html</t>
        </is>
      </c>
      <c r="V90" s="10" t="n"/>
      <c r="W90" s="10" t="inlineStr">
        <is>
          <t>個別確認</t>
        </is>
      </c>
      <c r="X90" s="10" t="inlineStr">
        <is>
          <t>CS・コンタクトセンター領域</t>
        </is>
      </c>
    </row>
    <row r="91">
      <c r="A91" s="10" t="n">
        <v>90</v>
      </c>
      <c r="B91" s="24" t="n">
        <v>46218</v>
      </c>
      <c r="C91" s="24" t="n">
        <v>46219</v>
      </c>
      <c r="D91" s="10">
        <f>MONTH(B91)&amp;"月"</f>
        <v/>
      </c>
      <c r="E91" s="12" t="n">
        <v>1</v>
      </c>
      <c r="F91" s="10" t="n"/>
      <c r="G91" s="10" t="inlineStr">
        <is>
          <t>Fujitsu Experience Day 2026</t>
        </is>
      </c>
      <c r="H91" s="10" t="inlineStr">
        <is>
          <t>富士通</t>
        </is>
      </c>
      <c r="I91" s="10" t="n"/>
      <c r="J91" s="10" t="inlineStr">
        <is>
          <t>個別調査（公式サイト・PR TIMES等）</t>
        </is>
      </c>
      <c r="K91" s="10" t="inlineStr">
        <is>
          <t>会場</t>
        </is>
      </c>
      <c r="L91" s="10" t="inlineStr">
        <is>
          <t>TAKANAWA GATEWAY Convention Center</t>
        </is>
      </c>
      <c r="M91" s="10" t="inlineStr">
        <is>
          <t>大型カンファレンス・展示会</t>
        </is>
      </c>
      <c r="N91" s="10" t="inlineStr">
        <is>
          <t>AIエージェント</t>
        </is>
      </c>
      <c r="O91" s="12" t="inlineStr">
        <is>
          <t>◎</t>
        </is>
      </c>
      <c r="P91" s="13" t="n"/>
      <c r="Q91" s="12" t="inlineStr">
        <is>
          <t>不明</t>
        </is>
      </c>
      <c r="R91" s="14" t="n"/>
      <c r="S91" s="10" t="n"/>
      <c r="T91" s="10" t="inlineStr">
        <is>
          <t>自己進化型マルチAIエージェントや、店舗・在庫向けのAIエージェントなど、44の技術・ソリューションを展示した。</t>
        </is>
      </c>
      <c r="U91" s="15" t="inlineStr">
        <is>
          <t>https://cloud.watch.impress.co.jp/docs/event/2125529.html</t>
        </is>
      </c>
      <c r="V91" s="10" t="n"/>
      <c r="W91" s="10" t="inlineStr">
        <is>
          <t>個別確認</t>
        </is>
      </c>
      <c r="X91" s="10" t="n"/>
    </row>
    <row r="92">
      <c r="A92" s="10" t="n">
        <v>91</v>
      </c>
      <c r="B92" s="24" t="n">
        <v>46218</v>
      </c>
      <c r="C92" s="24" t="n">
        <v>46220</v>
      </c>
      <c r="D92" s="10">
        <f>MONTH(B92)&amp;"月"</f>
        <v/>
      </c>
      <c r="E92" s="12" t="n">
        <v>1</v>
      </c>
      <c r="F92" s="10" t="n"/>
      <c r="G92" s="10" t="inlineStr">
        <is>
          <t>TECHNO-FRONTIER 2026（製造業向け生成AI展を新設）</t>
        </is>
      </c>
      <c r="H92" s="10" t="inlineStr">
        <is>
          <t>日本能率協会</t>
        </is>
      </c>
      <c r="I92" s="10" t="n"/>
      <c r="J92" s="10" t="inlineStr">
        <is>
          <t>個別調査（公式サイト・PR TIMES等）</t>
        </is>
      </c>
      <c r="K92" s="10" t="inlineStr">
        <is>
          <t>会場</t>
        </is>
      </c>
      <c r="L92" s="10" t="inlineStr">
        <is>
          <t>東京ビッグサイト西展示棟</t>
        </is>
      </c>
      <c r="M92" s="10" t="inlineStr">
        <is>
          <t>生産管理・製造・SCM</t>
        </is>
      </c>
      <c r="N92" s="10" t="inlineStr">
        <is>
          <t>AIエージェント（生成AI中心）</t>
        </is>
      </c>
      <c r="O92" s="12" t="inlineStr">
        <is>
          <t>◎</t>
        </is>
      </c>
      <c r="P92" s="13" t="n">
        <v>33637</v>
      </c>
      <c r="Q92" s="12" t="inlineStr">
        <is>
          <t>来場者数</t>
        </is>
      </c>
      <c r="R92" s="14" t="n"/>
      <c r="S92" s="10" t="n"/>
      <c r="T92" s="10" t="inlineStr">
        <is>
          <t>生成AI、スマートファクトリーDX、FA・ロボット、OTセキュリティなどを展示した。出展は440社・842小間。</t>
        </is>
      </c>
      <c r="U92" s="15" t="inlineStr">
        <is>
          <t>https://jma-news.com/archives/7037</t>
        </is>
      </c>
      <c r="V92" s="10" t="n"/>
      <c r="W92" s="10" t="inlineStr">
        <is>
          <t>個別確認</t>
        </is>
      </c>
      <c r="X92" s="10" t="inlineStr">
        <is>
          <t>AIエージェントとしての打ち出しは弱い</t>
        </is>
      </c>
    </row>
    <row r="93">
      <c r="A93" s="10" t="n">
        <v>92</v>
      </c>
      <c r="B93" s="24" t="n">
        <v>46218</v>
      </c>
      <c r="C93" s="24" t="n">
        <v>46218</v>
      </c>
      <c r="D93" s="10">
        <f>MONTH(B93)&amp;"月"</f>
        <v/>
      </c>
      <c r="E93" s="12" t="n">
        <v>1</v>
      </c>
      <c r="F93" s="10" t="n"/>
      <c r="G93" s="10" t="inlineStr">
        <is>
          <t>【30分・航空DX/AX】航空業界の属人化・引き継ぎ・例外対応を30分でAX化する 現場に定着するAIエージェント「OpenClaw AX」実践ウェビナー</t>
        </is>
      </c>
      <c r="H93" s="10" t="inlineStr">
        <is>
          <t>Ragate株式会社</t>
        </is>
      </c>
      <c r="I93" s="10" t="n"/>
      <c r="J93" s="10" t="inlineStr">
        <is>
          <t>TECH PLAY</t>
        </is>
      </c>
      <c r="K93" s="10" t="inlineStr">
        <is>
          <t>オンライン</t>
        </is>
      </c>
      <c r="L93" s="10" t="n"/>
      <c r="M93" s="10" t="inlineStr">
        <is>
          <t>生産性向上・業務効率化</t>
        </is>
      </c>
      <c r="N93" s="10" t="inlineStr">
        <is>
          <t>AIエージェント</t>
        </is>
      </c>
      <c r="O93" s="12" t="inlineStr">
        <is>
          <t>◎</t>
        </is>
      </c>
      <c r="P93" s="13" t="n"/>
      <c r="Q93" s="12" t="inlineStr">
        <is>
          <t>非公開</t>
        </is>
      </c>
      <c r="R93" s="14" t="n">
        <v>50</v>
      </c>
      <c r="S93" s="10" t="n"/>
      <c r="T93" s="10" t="inlineStr">
        <is>
          <t>イベント概要 航空需要の回復、人手不足、運航・整備・地上支援業務の複雑化が進むなか、航空業界では「安全性」「定時性」「顧客体験」を維持しながら、現場と本部の業務負荷をどう下げるかが重要なテーマになっています。 一方で、日々の現場には、運航・整備・地上支援に関する過去事例の検索、手順書・マニュアル確認、申し送り、問い合わせ対応、報告書作成、Excel・管理台帳への転記といったデスクワークが多く残っています。業務システムやナレッジは存在して</t>
        </is>
      </c>
      <c r="U93" s="15" t="inlineStr">
        <is>
          <t>https://techplay.jp/event/997013</t>
        </is>
      </c>
      <c r="V93" s="10" t="n"/>
      <c r="W93" s="10" t="inlineStr">
        <is>
          <t>タイトル一致</t>
        </is>
      </c>
      <c r="X93" s="10" t="n"/>
    </row>
    <row r="94">
      <c r="A94" s="10" t="n">
        <v>93</v>
      </c>
      <c r="B94" s="24" t="n">
        <v>46218</v>
      </c>
      <c r="C94" s="24" t="n">
        <v>46218</v>
      </c>
      <c r="D94" s="10">
        <f>MONTH(B94)&amp;"月"</f>
        <v/>
      </c>
      <c r="E94" s="12" t="n">
        <v>1</v>
      </c>
      <c r="F94" s="10" t="n"/>
      <c r="G94" s="10" t="inlineStr">
        <is>
          <t>【7/15開催】仕事を減らして成果を増やす「AI社員」の作り方 入門|つながる交流勉強会</t>
        </is>
      </c>
      <c r="H94" s="10" t="inlineStr">
        <is>
          <t>クロストーク</t>
        </is>
      </c>
      <c r="I94" s="10" t="n"/>
      <c r="J94" s="10" t="inlineStr">
        <is>
          <t>こくちーずプロ</t>
        </is>
      </c>
      <c r="K94" s="10" t="inlineStr">
        <is>
          <t>オフライン（会場）</t>
        </is>
      </c>
      <c r="L94" s="10" t="inlineStr">
        <is>
          <t>Moccoハナレ2階セミナールーム 兵庫県姫路市南町33 2F</t>
        </is>
      </c>
      <c r="M94" s="10" t="inlineStr">
        <is>
          <t>生産性向上・業務効率化</t>
        </is>
      </c>
      <c r="N94" s="10" t="inlineStr">
        <is>
          <t>AIエージェント</t>
        </is>
      </c>
      <c r="O94" s="12" t="inlineStr">
        <is>
          <t>○</t>
        </is>
      </c>
      <c r="P94" s="13" t="n">
        <v>18</v>
      </c>
      <c r="Q94" s="12" t="inlineStr">
        <is>
          <t>参加者数</t>
        </is>
      </c>
      <c r="R94" s="14" t="n">
        <v>20</v>
      </c>
      <c r="S94" s="10" t="n"/>
      <c r="T94" s="10" t="inlineStr">
        <is>
          <t>ChatGPTなどのチャットAIを使ってみたものの、 「結局、質問するだけで終わっている」 「業務効率化にどうつなげればいいかわからない」 「AIエージェントって最近よく聞くけど、何が違うの？」 そんな方に向けた、初心者にもわかりやすいAI活用入門セミナーです。 今回のテーマは、 “相談相手としてのAI”から、“業務を任せるAI社員”へ。 ChatGPTなどのチャットAIと、Claude Code / CodexなどのAIエージェントの</t>
        </is>
      </c>
      <c r="U94" s="15" t="inlineStr">
        <is>
          <t>https://www.kokuchpro.com/event/ffd85486629ca5f8cedca3e74e382492/</t>
        </is>
      </c>
      <c r="V94" s="10" t="n"/>
      <c r="W94" s="10" t="inlineStr">
        <is>
          <t>本文一致</t>
        </is>
      </c>
      <c r="X94" s="10" t="n"/>
    </row>
    <row r="95">
      <c r="A95" s="10" t="n">
        <v>94</v>
      </c>
      <c r="B95" s="24" t="n">
        <v>46218</v>
      </c>
      <c r="C95" s="24" t="n">
        <v>46218</v>
      </c>
      <c r="D95" s="10">
        <f>MONTH(B95)&amp;"月"</f>
        <v/>
      </c>
      <c r="E95" s="12" t="n">
        <v>1</v>
      </c>
      <c r="F95" s="10" t="n"/>
      <c r="G95" s="10" t="inlineStr">
        <is>
          <t>【7月15日（水）無料オンラインセミナー】「バズ狙い」はもう終わり？ マーケティング担当者のためのAIエージェント活用</t>
        </is>
      </c>
      <c r="H95" s="10" t="inlineStr">
        <is>
          <t>ソニーネットワークコミュニケーションズ株式会社、ＡＲアドバンストテクノロジ株式会社</t>
        </is>
      </c>
      <c r="I95" s="10" t="n"/>
      <c r="J95" s="10" t="inlineStr">
        <is>
          <t>PR TIMES</t>
        </is>
      </c>
      <c r="K95" s="10" t="inlineStr">
        <is>
          <t>online</t>
        </is>
      </c>
      <c r="L95" s="10" t="inlineStr">
        <is>
          <t>オンライン（Zoom）</t>
        </is>
      </c>
      <c r="M95" s="10" t="inlineStr">
        <is>
          <t>営業・マーケ・CS</t>
        </is>
      </c>
      <c r="N95" s="10" t="inlineStr">
        <is>
          <t>AIエージェント</t>
        </is>
      </c>
      <c r="O95" s="12" t="inlineStr">
        <is>
          <t>◎</t>
        </is>
      </c>
      <c r="P95" s="13" t="n"/>
      <c r="Q95" s="12" t="inlineStr">
        <is>
          <t>不明</t>
        </is>
      </c>
      <c r="R95" s="14" t="n"/>
      <c r="S95" s="10" t="n"/>
      <c r="T95" s="10" t="inlineStr">
        <is>
          <t>ＡＲアドバンストテクノロジ株式会社（本社：東京都渋谷区、代表取締役社長：武内 寿憲、以下ARI）とソニーネットワークコミュニケーションズ株式会社（本社：東京都品川区）は、2026年7月15日（水）、無料Webセミナー「「バズ狙い」はもう終わり？マーケティング担当者のためのAIエージェント活用〜ファンの熱量を資産に変える仕組みとは？〜」を共催いたします。 新規顧客獲得コストが高騰し、広告やバズ頼みの施策だけでは持続的な成長が難しくなってい</t>
        </is>
      </c>
      <c r="U95" s="15" t="inlineStr">
        <is>
          <t>https://prtimes.jp/main/html/rd/p/000000124.000066765.html</t>
        </is>
      </c>
      <c r="V95" s="10" t="n"/>
      <c r="W95" s="10" t="inlineStr">
        <is>
          <t>タイトル一致</t>
        </is>
      </c>
      <c r="X95" s="10" t="n"/>
    </row>
    <row r="96">
      <c r="A96" s="10" t="n">
        <v>95</v>
      </c>
      <c r="B96" s="24" t="n">
        <v>46218</v>
      </c>
      <c r="C96" s="24" t="n">
        <v>46218</v>
      </c>
      <c r="D96" s="10">
        <f>MONTH(B96)&amp;"月"</f>
        <v/>
      </c>
      <c r="E96" s="12" t="n">
        <v>1</v>
      </c>
      <c r="F96" s="10" t="n"/>
      <c r="G96" s="10" t="inlineStr">
        <is>
          <t>【Claude Code】並行開発、どう回してる？ 鹿野さんに聞く 私の推しの並行開発環境 大公開</t>
        </is>
      </c>
      <c r="H96" s="10" t="inlineStr">
        <is>
          <t>#Offers_DeepDive / オファーズ</t>
        </is>
      </c>
      <c r="I96" s="10" t="n"/>
      <c r="J96" s="10" t="inlineStr">
        <is>
          <t>connpass</t>
        </is>
      </c>
      <c r="K96" s="10" t="inlineStr">
        <is>
          <t>オンライン</t>
        </is>
      </c>
      <c r="L96" s="10" t="inlineStr">
        <is>
          <t>オンライン</t>
        </is>
      </c>
      <c r="M96" s="10" t="inlineStr">
        <is>
          <t>開発生産性</t>
        </is>
      </c>
      <c r="N96" s="10" t="inlineStr">
        <is>
          <t>AIエージェント</t>
        </is>
      </c>
      <c r="O96" s="12" t="inlineStr">
        <is>
          <t>○</t>
        </is>
      </c>
      <c r="P96" s="13" t="n">
        <v>488</v>
      </c>
      <c r="Q96" s="12" t="inlineStr">
        <is>
          <t>参加者数</t>
        </is>
      </c>
      <c r="R96" s="14" t="n"/>
      <c r="S96" s="10" t="n"/>
      <c r="T96" s="10" t="n"/>
      <c r="U96" s="15" t="inlineStr">
        <is>
          <t>https://offers-jp.connpass.com/event/395255/</t>
        </is>
      </c>
      <c r="V96" s="10" t="n"/>
      <c r="W96" s="10" t="inlineStr">
        <is>
          <t>タイトル一致</t>
        </is>
      </c>
      <c r="X96" s="10" t="n"/>
    </row>
    <row r="97">
      <c r="A97" s="10" t="n">
        <v>96</v>
      </c>
      <c r="B97" s="24" t="n">
        <v>46218</v>
      </c>
      <c r="C97" s="24" t="n">
        <v>46218</v>
      </c>
      <c r="D97" s="10">
        <f>MONTH(B97)&amp;"月"</f>
        <v/>
      </c>
      <c r="E97" s="12" t="n">
        <v>1</v>
      </c>
      <c r="F97" s="10" t="n"/>
      <c r="G97" s="10" t="inlineStr">
        <is>
          <t>【Flashセミナー Vol.156】AIは「道具」から「チームメイト」へ ひとりユニコーン経営</t>
        </is>
      </c>
      <c r="H97" s="10" t="inlineStr">
        <is>
          <t>web-mining</t>
        </is>
      </c>
      <c r="I97" s="10" t="n"/>
      <c r="J97" s="10" t="inlineStr">
        <is>
          <t>Doorkeeper</t>
        </is>
      </c>
      <c r="K97" s="10" t="inlineStr">
        <is>
          <t>不明</t>
        </is>
      </c>
      <c r="L97" s="10" t="n"/>
      <c r="M97" s="10" t="inlineStr">
        <is>
          <t>生産性向上・業務効率化</t>
        </is>
      </c>
      <c r="N97" s="10" t="inlineStr">
        <is>
          <t>MCP</t>
        </is>
      </c>
      <c r="O97" s="12" t="inlineStr">
        <is>
          <t>○</t>
        </is>
      </c>
      <c r="P97" s="13" t="n">
        <v>96</v>
      </c>
      <c r="Q97" s="12" t="inlineStr">
        <is>
          <t>参加者数</t>
        </is>
      </c>
      <c r="R97" s="14" t="n">
        <v>250</v>
      </c>
      <c r="S97" s="10" t="n"/>
      <c r="T97" s="10" t="inlineStr">
        <is>
          <t xml:space="preserve"> こちらのセミナーは「参加要件」がございます。 必ずお読みください。 セミナー内容 2026年、生成AIは便利な道具から「自ら考え、計画し、実行する同僚」へと進化しました。Claude Cowork、ChatGPT Codex、Google Antigravityの3大プラットフォームが整い、AIに業務をまるごと任せる経営が現実になりつつあります。 一方で多くの経営者は、どのプラットフォームを、何から使うかの入り口で足を止めています。 </t>
        </is>
      </c>
      <c r="U97" s="15" t="inlineStr">
        <is>
          <t>https://web-mining.doorkeeper.jp/events/197930</t>
        </is>
      </c>
      <c r="V97" s="10" t="n"/>
      <c r="W97" s="10" t="inlineStr">
        <is>
          <t>本文一致</t>
        </is>
      </c>
      <c r="X97" s="10" t="n"/>
    </row>
    <row r="98">
      <c r="A98" s="10" t="n">
        <v>97</v>
      </c>
      <c r="B98" s="24" t="n">
        <v>46218</v>
      </c>
      <c r="C98" s="24" t="n">
        <v>46218</v>
      </c>
      <c r="D98" s="10">
        <f>MONTH(B98)&amp;"月"</f>
        <v/>
      </c>
      <c r="E98" s="12" t="n">
        <v>1</v>
      </c>
      <c r="F98" s="10" t="n"/>
      <c r="G98" s="10" t="inlineStr">
        <is>
          <t>【再放送】今起きているサービス遅延の原因箇所まで、そのままドリルダウンできますか？ ～全トランザクションを常時自動記録し、AI分析で実行中のボトルネックを可視化～</t>
        </is>
      </c>
      <c r="H98" s="10" t="inlineStr">
        <is>
          <t>ワタップ・ジャパン株式会社</t>
        </is>
      </c>
      <c r="I98" s="10" t="inlineStr">
        <is>
          <t>マジセミ株式会社</t>
        </is>
      </c>
      <c r="J98" s="10" t="inlineStr">
        <is>
          <t>Doorkeeper</t>
        </is>
      </c>
      <c r="K98" s="10" t="inlineStr">
        <is>
          <t>不明</t>
        </is>
      </c>
      <c r="L98" s="10" t="n"/>
      <c r="M98" s="10" t="inlineStr">
        <is>
          <t>開発生産性</t>
        </is>
      </c>
      <c r="N98" s="10" t="inlineStr">
        <is>
          <t>AIエージェント</t>
        </is>
      </c>
      <c r="O98" s="12" t="inlineStr">
        <is>
          <t>△</t>
        </is>
      </c>
      <c r="P98" s="13" t="n">
        <v>0</v>
      </c>
      <c r="Q98" s="12" t="inlineStr">
        <is>
          <t>参加者数</t>
        </is>
      </c>
      <c r="R98" s="14" t="n"/>
      <c r="S98" s="10" t="n"/>
      <c r="T98" s="10" t="inlineStr">
        <is>
          <t xml:space="preserve"> 本セミナーはWebセミナーです ツールはSPEAKERSを使います。URLは直前にメールにてご連絡いたします。 なお、「osslabo.com」「majisemi.com」からのメールが迷惑メールとならないよう、メールの設定をご確認ください。 本セミナーは2026年5月20日に開催されたセミナーの再放送です。 多くのご要望をいただきましたので、再放送の開催が決まりました。 サービス遅延の原因把握が難しくなる背景 クラウド活用やマイクロ</t>
        </is>
      </c>
      <c r="U98" s="15" t="inlineStr">
        <is>
          <t>https://majisemi-operation.doorkeeper.jp/events/197891</t>
        </is>
      </c>
      <c r="V98" s="10" t="n"/>
      <c r="W98" s="10" t="inlineStr">
        <is>
          <t>本文一致</t>
        </is>
      </c>
      <c r="X98" s="10" t="n"/>
    </row>
    <row r="99">
      <c r="A99" s="10" t="n">
        <v>98</v>
      </c>
      <c r="B99" s="24" t="n">
        <v>46218</v>
      </c>
      <c r="C99" s="24" t="n">
        <v>46218</v>
      </c>
      <c r="D99" s="10">
        <f>MONTH(B99)&amp;"月"</f>
        <v/>
      </c>
      <c r="E99" s="12" t="n">
        <v>1</v>
      </c>
      <c r="F99" s="10" t="n"/>
      <c r="G99" s="10" t="inlineStr">
        <is>
          <t>【水曜のDX道場】AIが資料を見落とすのはなぜ？ DifyとGeminiで体験する</t>
        </is>
      </c>
      <c r="H99" s="10" t="inlineStr">
        <is>
          <t>水曜のDX道場</t>
        </is>
      </c>
      <c r="I99" s="10" t="n"/>
      <c r="J99" s="10" t="inlineStr">
        <is>
          <t>connpass</t>
        </is>
      </c>
      <c r="K99" s="10" t="inlineStr">
        <is>
          <t>会場</t>
        </is>
      </c>
      <c r="L99" s="10" t="inlineStr">
        <is>
          <t>大阪市北区本庄東１−１８−８</t>
        </is>
      </c>
      <c r="M99" s="10" t="inlineStr">
        <is>
          <t>生産性向上・業務効率化</t>
        </is>
      </c>
      <c r="N99" s="10" t="inlineStr">
        <is>
          <t>AIエージェント</t>
        </is>
      </c>
      <c r="O99" s="12" t="inlineStr">
        <is>
          <t>◎</t>
        </is>
      </c>
      <c r="P99" s="13" t="n">
        <v>5</v>
      </c>
      <c r="Q99" s="12" t="inlineStr">
        <is>
          <t>参加者数</t>
        </is>
      </c>
      <c r="R99" s="14" t="n">
        <v>12</v>
      </c>
      <c r="S99" s="10" t="n"/>
      <c r="T99" s="10" t="n"/>
      <c r="U99" s="15" t="inlineStr">
        <is>
          <t>https://dxdojo.connpass.com/event/400043/</t>
        </is>
      </c>
      <c r="V99" s="10" t="n"/>
      <c r="W99" s="10" t="inlineStr">
        <is>
          <t>タイトル一致</t>
        </is>
      </c>
      <c r="X99" s="10" t="n"/>
    </row>
    <row r="100">
      <c r="A100" s="10" t="n">
        <v>99</v>
      </c>
      <c r="B100" s="24" t="n">
        <v>46218</v>
      </c>
      <c r="C100" s="24" t="n">
        <v>46218</v>
      </c>
      <c r="D100" s="10">
        <f>MONTH(B100)&amp;"月"</f>
        <v/>
      </c>
      <c r="E100" s="12" t="n">
        <v>1</v>
      </c>
      <c r="F100" s="10" t="n"/>
      <c r="G100" s="10" t="inlineStr">
        <is>
          <t>【社長限定】いまさら聞けない!ClaudeCode活用術社長がまず使う8つの場面を徹底解説!</t>
        </is>
      </c>
      <c r="H100" s="10" t="inlineStr">
        <is>
          <t>給与アップ研究所セミナー事務局</t>
        </is>
      </c>
      <c r="I100" s="10" t="n"/>
      <c r="J100" s="10" t="inlineStr">
        <is>
          <t>こくちーずプロ</t>
        </is>
      </c>
      <c r="K100" s="10" t="inlineStr">
        <is>
          <t>オンライン</t>
        </is>
      </c>
      <c r="L100" s="10" t="inlineStr">
        <is>
          <t>オンライン 日本</t>
        </is>
      </c>
      <c r="M100" s="10" t="inlineStr">
        <is>
          <t>営業・マーケ・CS</t>
        </is>
      </c>
      <c r="N100" s="10" t="inlineStr">
        <is>
          <t>AIエージェント</t>
        </is>
      </c>
      <c r="O100" s="12" t="inlineStr">
        <is>
          <t>◎</t>
        </is>
      </c>
      <c r="P100" s="13" t="n">
        <v>1</v>
      </c>
      <c r="Q100" s="12" t="inlineStr">
        <is>
          <t>参加者数</t>
        </is>
      </c>
      <c r="R100" s="14" t="n">
        <v>100</v>
      </c>
      <c r="S100" s="10" t="n"/>
      <c r="T100" s="10" t="inlineStr">
        <is>
          <t>【社長限定】いまさら聞けない！Claude Code活用術 ～社長がまず使う8つの場面を徹底解説～ ━━━━━━━━━━━━━━━━━━ ■開催概要 ━━━━━━━━━━━━━━━━━━ 日時 2026年7月15日（水）12:00～13:00 形式 オンライン（Zoom） 参加費 無料 ━━━━━━━━━━━━━━━━━━ ■こんなお悩みはありませんか？ ━━━━━━━━━━━━━━━━━━ ChatGPTは触ったことがあるけど、その先</t>
        </is>
      </c>
      <c r="U100" s="15" t="inlineStr">
        <is>
          <t>https://www.kokuchpro.com/event/5a90e9ce3378e22b2b7efdec4b2b699d/</t>
        </is>
      </c>
      <c r="V100" s="10" t="n"/>
      <c r="W100" s="10" t="inlineStr">
        <is>
          <t>タイトル一致</t>
        </is>
      </c>
      <c r="X100" s="10" t="n"/>
    </row>
    <row r="101">
      <c r="A101" s="10" t="n">
        <v>100</v>
      </c>
      <c r="B101" s="24" t="n">
        <v>46218</v>
      </c>
      <c r="C101" s="24" t="n">
        <v>46218</v>
      </c>
      <c r="D101" s="10">
        <f>MONTH(B101)&amp;"月"</f>
        <v/>
      </c>
      <c r="E101" s="12" t="n">
        <v>1</v>
      </c>
      <c r="F101" s="10" t="n"/>
      <c r="G101" s="10" t="inlineStr">
        <is>
          <t>クラウド食堂 #9 ~AIエージェント活用 LT会~</t>
        </is>
      </c>
      <c r="H101" s="10" t="inlineStr">
        <is>
          <t>クラウド食堂</t>
        </is>
      </c>
      <c r="I101" s="10" t="n"/>
      <c r="J101" s="10" t="inlineStr">
        <is>
          <t>connpass</t>
        </is>
      </c>
      <c r="K101" s="10" t="inlineStr">
        <is>
          <t>会場</t>
        </is>
      </c>
      <c r="L101" s="10" t="inlineStr">
        <is>
          <t>東京都港区虎ノ門1-17-1（虎ノ門ヒルズ ビジネスタワー 29F）</t>
        </is>
      </c>
      <c r="M101" s="10" t="inlineStr">
        <is>
          <t>技術・AI全般</t>
        </is>
      </c>
      <c r="N101" s="10" t="inlineStr">
        <is>
          <t>AIエージェント</t>
        </is>
      </c>
      <c r="O101" s="12" t="inlineStr">
        <is>
          <t>○</t>
        </is>
      </c>
      <c r="P101" s="13" t="n">
        <v>50</v>
      </c>
      <c r="Q101" s="12" t="inlineStr">
        <is>
          <t>参加者数</t>
        </is>
      </c>
      <c r="R101" s="14" t="n">
        <v>67</v>
      </c>
      <c r="S101" s="10" t="n"/>
      <c r="T101" s="10" t="n"/>
      <c r="U101" s="15" t="inlineStr">
        <is>
          <t>https://cloud-shokudo.connpass.com/event/394462/</t>
        </is>
      </c>
      <c r="V101" s="10" t="n"/>
      <c r="W101" s="10" t="inlineStr">
        <is>
          <t>タイトル一致</t>
        </is>
      </c>
      <c r="X101" s="10" t="n"/>
    </row>
    <row r="102">
      <c r="A102" s="10" t="n">
        <v>101</v>
      </c>
      <c r="B102" s="24" t="n">
        <v>46218</v>
      </c>
      <c r="C102" s="24" t="n">
        <v>46218</v>
      </c>
      <c r="D102" s="10">
        <f>MONTH(B102)&amp;"月"</f>
        <v/>
      </c>
      <c r="E102" s="12" t="n">
        <v>1</v>
      </c>
      <c r="F102" s="10" t="n"/>
      <c r="G102" s="10" t="inlineStr">
        <is>
          <t>株式会社homulaと共催WEBセミナー「AIエージェント時代の意思決定変革 — 人的資本をデータ駆動で動かす『意思決定OS』と『MCPソリューション』の最前線」 （録画配信）</t>
        </is>
      </c>
      <c r="H102" s="10" t="inlineStr">
        <is>
          <t>株式会社デリバリーコンサルティング、株式会社homula</t>
        </is>
      </c>
      <c r="I102" s="10" t="n"/>
      <c r="J102" s="10" t="inlineStr">
        <is>
          <t>PR TIMES</t>
        </is>
      </c>
      <c r="K102" s="10" t="inlineStr">
        <is>
          <t>online</t>
        </is>
      </c>
      <c r="L102" s="10" t="inlineStr">
        <is>
          <t>オンライン（ZOOM）</t>
        </is>
      </c>
      <c r="M102" s="10" t="inlineStr">
        <is>
          <t>生産性向上・業務効率化</t>
        </is>
      </c>
      <c r="N102" s="10" t="inlineStr">
        <is>
          <t>両方</t>
        </is>
      </c>
      <c r="O102" s="12" t="inlineStr">
        <is>
          <t>◎</t>
        </is>
      </c>
      <c r="P102" s="13" t="n"/>
      <c r="Q102" s="12" t="inlineStr">
        <is>
          <t>定員</t>
        </is>
      </c>
      <c r="R102" s="14" t="n">
        <v>100</v>
      </c>
      <c r="S102" s="10" t="n"/>
      <c r="T102" s="10" t="inlineStr">
        <is>
          <t>データリテラシーの向上を通じてデータドリブンカンパニーへの変革を支援する株式会社デリバリーコンサルティング（本社：東京都港区、取締役CEO：内藤 秀治郎）は、エンタープライズ向けAIエージェント導入支援を手がける株式会社homula（本社：東京都港区、代表取締役：福地峻）と共催でWEBセミナーを開催いたします。 ■テーマ AIエージェント時代の意思決定変革 — 人的資本をデータ駆動で動かす『意思決定OS』と『MCPソリューション』の最前</t>
        </is>
      </c>
      <c r="U102" s="15" t="inlineStr">
        <is>
          <t>https://prtimes.jp/main/html/rd/p/000000108.000108457.html</t>
        </is>
      </c>
      <c r="V102" s="10" t="n"/>
      <c r="W102" s="10" t="inlineStr">
        <is>
          <t>タイトル一致</t>
        </is>
      </c>
      <c r="X102" s="10" t="n"/>
    </row>
    <row r="103">
      <c r="A103" s="10" t="n">
        <v>102</v>
      </c>
      <c r="B103" s="24" t="n">
        <v>46218</v>
      </c>
      <c r="C103" s="24" t="n">
        <v>46218</v>
      </c>
      <c r="D103" s="10">
        <f>MONTH(B103)&amp;"月"</f>
        <v/>
      </c>
      <c r="E103" s="12" t="n">
        <v>1</v>
      </c>
      <c r="F103" s="10" t="n"/>
      <c r="G103" s="10" t="inlineStr">
        <is>
          <t>連続セミナー2026第3回、第4回：AIエージェントの現在地と展望～技術発展、産業創出、そして信頼される社会実装へ～(7月15日)</t>
        </is>
      </c>
      <c r="H103" s="10" t="inlineStr">
        <is>
          <t>情報処理学会</t>
        </is>
      </c>
      <c r="I103" s="10" t="n"/>
      <c r="J103" s="10" t="inlineStr">
        <is>
          <t>Peatix</t>
        </is>
      </c>
      <c r="K103" s="10" t="inlineStr">
        <is>
          <t>会場+オンライン</t>
        </is>
      </c>
      <c r="L103" s="10" t="n"/>
      <c r="M103" s="10" t="inlineStr">
        <is>
          <t>開発生産性</t>
        </is>
      </c>
      <c r="N103" s="10" t="inlineStr">
        <is>
          <t>AIエージェント</t>
        </is>
      </c>
      <c r="O103" s="12" t="inlineStr">
        <is>
          <t>○</t>
        </is>
      </c>
      <c r="P103" s="13" t="n"/>
      <c r="Q103" s="12" t="inlineStr">
        <is>
          <t>不明</t>
        </is>
      </c>
      <c r="R103" s="14" t="n"/>
      <c r="S103" s="10" t="n"/>
      <c r="T103" s="10" t="inlineStr">
        <is>
          <t>2026年7月15日10:00-16:00</t>
        </is>
      </c>
      <c r="U103" s="15" t="inlineStr">
        <is>
          <t>https://peatix.com/event/5007284</t>
        </is>
      </c>
      <c r="V103" s="10" t="n"/>
      <c r="W103" s="10" t="inlineStr">
        <is>
          <t>タイトル一致</t>
        </is>
      </c>
      <c r="X103" s="10" t="n"/>
    </row>
    <row r="104">
      <c r="A104" s="10" t="n">
        <v>103</v>
      </c>
      <c r="B104" s="24" t="n">
        <v>46219</v>
      </c>
      <c r="C104" s="24" t="n">
        <v>46219</v>
      </c>
      <c r="D104" s="10">
        <f>MONTH(B104)&amp;"月"</f>
        <v/>
      </c>
      <c r="E104" s="12" t="n">
        <v>1</v>
      </c>
      <c r="F104" s="10" t="n"/>
      <c r="G104" s="10" t="inlineStr">
        <is>
          <t>AIコーティングエージェントを安全に利用する、Dockerの新アプローチ</t>
        </is>
      </c>
      <c r="H104" s="10" t="inlineStr">
        <is>
          <t>Docker オフィシャル</t>
        </is>
      </c>
      <c r="I104" s="10" t="n"/>
      <c r="J104" s="10" t="inlineStr">
        <is>
          <t>connpass</t>
        </is>
      </c>
      <c r="K104" s="10" t="inlineStr">
        <is>
          <t>オンライン</t>
        </is>
      </c>
      <c r="L104" s="10" t="inlineStr">
        <is>
          <t>オンライン</t>
        </is>
      </c>
      <c r="M104" s="10" t="inlineStr">
        <is>
          <t>技術・AI全般</t>
        </is>
      </c>
      <c r="N104" s="10" t="inlineStr">
        <is>
          <t>AIエージェント</t>
        </is>
      </c>
      <c r="O104" s="12" t="inlineStr">
        <is>
          <t>○</t>
        </is>
      </c>
      <c r="P104" s="13" t="n">
        <v>205</v>
      </c>
      <c r="Q104" s="12" t="inlineStr">
        <is>
          <t>参加者数</t>
        </is>
      </c>
      <c r="R104" s="14" t="n"/>
      <c r="S104" s="10" t="n"/>
      <c r="T104" s="10" t="n"/>
      <c r="U104" s="15" t="inlineStr">
        <is>
          <t>https://dockerjapan.connpass.com/event/399476/</t>
        </is>
      </c>
      <c r="V104" s="10" t="n"/>
      <c r="W104" s="10" t="inlineStr">
        <is>
          <t>タイトル一致</t>
        </is>
      </c>
      <c r="X104" s="10" t="n"/>
    </row>
    <row r="105">
      <c r="A105" s="10" t="n">
        <v>104</v>
      </c>
      <c r="B105" s="24" t="n">
        <v>46219</v>
      </c>
      <c r="C105" s="24" t="n">
        <v>46219</v>
      </c>
      <c r="D105" s="10">
        <f>MONTH(B105)&amp;"月"</f>
        <v/>
      </c>
      <c r="E105" s="12" t="n">
        <v>1</v>
      </c>
      <c r="F105" s="10" t="n"/>
      <c r="G105" s="10" t="inlineStr">
        <is>
          <t>AWS Summit 2026で見えた、AIエージェント活用の壁 ～PoC止まり企業に不足する“データ利活用基盤”とは～</t>
        </is>
      </c>
      <c r="H105" s="10" t="inlineStr">
        <is>
          <t>株式会社シーイーシー</t>
        </is>
      </c>
      <c r="I105" s="10" t="inlineStr">
        <is>
          <t>アマゾン ウェブ サービス ジャパン合同会社 マジセミ株式会社</t>
        </is>
      </c>
      <c r="J105" s="10" t="inlineStr">
        <is>
          <t>Doorkeeper</t>
        </is>
      </c>
      <c r="K105" s="10" t="inlineStr">
        <is>
          <t>不明</t>
        </is>
      </c>
      <c r="L105" s="10" t="n"/>
      <c r="M105" s="10" t="inlineStr">
        <is>
          <t>生産性向上・業務効率化</t>
        </is>
      </c>
      <c r="N105" s="10" t="inlineStr">
        <is>
          <t>AIエージェント</t>
        </is>
      </c>
      <c r="O105" s="12" t="inlineStr">
        <is>
          <t>◎</t>
        </is>
      </c>
      <c r="P105" s="13" t="n">
        <v>7</v>
      </c>
      <c r="Q105" s="12" t="inlineStr">
        <is>
          <t>参加者数</t>
        </is>
      </c>
      <c r="R105" s="14" t="n">
        <v>7</v>
      </c>
      <c r="S105" s="10" t="n"/>
      <c r="T105"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AWS Summit 2026で加速するAIエージェント活用と、広がる本番適用検討 AWS Summit 2026では、AIエージェントや生成AIを活用した業務変革の事例が数多く紹介されました。 単なる</t>
        </is>
      </c>
      <c r="U105" s="15" t="inlineStr">
        <is>
          <t>https://majisemi-business.doorkeeper.jp/events/197619</t>
        </is>
      </c>
      <c r="V105" s="10" t="n"/>
      <c r="W105" s="10" t="inlineStr">
        <is>
          <t>タイトル一致</t>
        </is>
      </c>
      <c r="X105" s="10" t="n"/>
    </row>
    <row r="106">
      <c r="A106" s="10" t="n">
        <v>105</v>
      </c>
      <c r="B106" s="24" t="n">
        <v>46219</v>
      </c>
      <c r="C106" s="24" t="n">
        <v>46219</v>
      </c>
      <c r="D106" s="10">
        <f>MONTH(B106)&amp;"月"</f>
        <v/>
      </c>
      <c r="E106" s="12" t="n">
        <v>1</v>
      </c>
      <c r="F106" s="10" t="n"/>
      <c r="G106" s="10" t="inlineStr">
        <is>
          <t>Kaggleのチュートリアル第7版 実践編 〜寄稿者LTとコーディングエージェント時代〜</t>
        </is>
      </c>
      <c r="H106" s="10" t="inlineStr">
        <is>
          <t>カレーちゃんのAI道場</t>
        </is>
      </c>
      <c r="I106" s="10" t="n"/>
      <c r="J106" s="10" t="inlineStr">
        <is>
          <t>connpass</t>
        </is>
      </c>
      <c r="K106" s="10" t="inlineStr">
        <is>
          <t>オンライン</t>
        </is>
      </c>
      <c r="L106" s="10" t="inlineStr">
        <is>
          <t>YouTube</t>
        </is>
      </c>
      <c r="M106" s="10" t="inlineStr">
        <is>
          <t>開発生産性</t>
        </is>
      </c>
      <c r="N106" s="10" t="inlineStr">
        <is>
          <t>AIエージェント</t>
        </is>
      </c>
      <c r="O106" s="12" t="inlineStr">
        <is>
          <t>○</t>
        </is>
      </c>
      <c r="P106" s="13" t="n">
        <v>155</v>
      </c>
      <c r="Q106" s="12" t="inlineStr">
        <is>
          <t>参加者数</t>
        </is>
      </c>
      <c r="R106" s="14" t="n">
        <v>200</v>
      </c>
      <c r="S106" s="10" t="n"/>
      <c r="T106" s="10" t="n"/>
      <c r="U106" s="15" t="inlineStr">
        <is>
          <t>https://currypurin-dojo.connpass.com/event/399708/</t>
        </is>
      </c>
      <c r="V106" s="10" t="n"/>
      <c r="W106" s="10" t="inlineStr">
        <is>
          <t>タイトル一致</t>
        </is>
      </c>
      <c r="X106" s="10" t="n"/>
    </row>
    <row r="107">
      <c r="A107" s="10" t="n">
        <v>106</v>
      </c>
      <c r="B107" s="24" t="n">
        <v>46219</v>
      </c>
      <c r="C107" s="24" t="n">
        <v>46219</v>
      </c>
      <c r="D107" s="10">
        <f>MONTH(B107)&amp;"月"</f>
        <v/>
      </c>
      <c r="E107" s="12" t="n">
        <v>1</v>
      </c>
      <c r="F107" s="10" t="n"/>
      <c r="G107" s="10" t="inlineStr">
        <is>
          <t>Slack連携 × Salesforce AI で実現する「経費精算・OCR」完全自動化セミナー</t>
        </is>
      </c>
      <c r="H107" s="10" t="inlineStr">
        <is>
          <t>フロッグウェル株式会社</t>
        </is>
      </c>
      <c r="I107" s="10" t="n"/>
      <c r="J107" s="10" t="inlineStr">
        <is>
          <t>TECH PLAY</t>
        </is>
      </c>
      <c r="K107" s="10" t="inlineStr">
        <is>
          <t>オンライン</t>
        </is>
      </c>
      <c r="L107" s="10" t="n"/>
      <c r="M107" s="10" t="inlineStr">
        <is>
          <t>営業・マーケ・CS</t>
        </is>
      </c>
      <c r="N107" s="10" t="inlineStr">
        <is>
          <t>AIエージェント</t>
        </is>
      </c>
      <c r="O107" s="12" t="inlineStr">
        <is>
          <t>○</t>
        </is>
      </c>
      <c r="P107" s="13" t="n"/>
      <c r="Q107" s="12" t="inlineStr">
        <is>
          <t>非公開</t>
        </is>
      </c>
      <c r="R107" s="14" t="n">
        <v>10</v>
      </c>
      <c r="S107" s="10" t="n"/>
      <c r="T107" s="10" t="inlineStr">
        <is>
          <t>経費精算業務の効率化を検討されている企業の担当者の方々を対象に、「Slack連携 × Salesforce AI で実現する『経費精算・OCR』完全自動化セミナー」を開催いたします。 経費精算は、「領収書が溜まって処理が面倒」 「入力ミスで差し戻しが多発する」 「いつも勘定科目が間違っている」 など、現場の申請者と経理担当者の双方にとって大きな苦悩の種となっています。 特に、移動中や隙間時間の入力が困難で月末に残業が発生してしまう「入力</t>
        </is>
      </c>
      <c r="U107" s="15" t="inlineStr">
        <is>
          <t>https://techplay.jp/event/995363</t>
        </is>
      </c>
      <c r="V107" s="10" t="n"/>
      <c r="W107" s="10" t="inlineStr">
        <is>
          <t>本文一致</t>
        </is>
      </c>
      <c r="X107" s="10" t="n"/>
    </row>
    <row r="108">
      <c r="A108" s="10" t="n">
        <v>107</v>
      </c>
      <c r="B108" s="24" t="n">
        <v>46219</v>
      </c>
      <c r="C108" s="24" t="n">
        <v>46219</v>
      </c>
      <c r="D108" s="10">
        <f>MONTH(B108)&amp;"月"</f>
        <v/>
      </c>
      <c r="E108" s="12" t="n">
        <v>1</v>
      </c>
      <c r="F108" s="10" t="n"/>
      <c r="G108" s="10" t="inlineStr">
        <is>
          <t>「ブラウザ操作AIエージェント」 で実現する、現場主導の業務効率化～RPAに代わる新たな自動化手法～</t>
        </is>
      </c>
      <c r="H108" s="10" t="inlineStr">
        <is>
          <t>株式会社リンクレア</t>
        </is>
      </c>
      <c r="I108" s="10" t="n"/>
      <c r="J108" s="10" t="inlineStr">
        <is>
          <t>TECH PLAY</t>
        </is>
      </c>
      <c r="K108" s="10" t="inlineStr">
        <is>
          <t>オンライン</t>
        </is>
      </c>
      <c r="L108" s="10" t="n"/>
      <c r="M108" s="10" t="inlineStr">
        <is>
          <t>生産性向上・業務効率化</t>
        </is>
      </c>
      <c r="N108" s="10" t="inlineStr">
        <is>
          <t>AIエージェント</t>
        </is>
      </c>
      <c r="O108" s="12" t="inlineStr">
        <is>
          <t>◎</t>
        </is>
      </c>
      <c r="P108" s="13" t="n"/>
      <c r="Q108" s="12" t="inlineStr">
        <is>
          <t>非公開</t>
        </is>
      </c>
      <c r="R108" s="14" t="n">
        <v>50</v>
      </c>
      <c r="S108" s="10" t="n"/>
      <c r="T108" s="10" t="inlineStr">
        <is>
          <t>概要 「AIエージェントを活用して、社内の業務効率を一気に高めたい」 「現場が自走できる、新しい自動化の仕組みを取り入れたい」 生成AIの進化により、Webブラウザ上の業務を自律的に行う「AIエージェント」の実用化に向けた検証が進んでいます。 本ウェビナーでは、最新の「ブラウザ操作特化型AIエージェント」の技術動向と、現場主導で業務変革を起こすための方法について解説します。 事例をもとに、技術的な専門知識がない現場部門でも、これからの「</t>
        </is>
      </c>
      <c r="U108" s="15" t="inlineStr">
        <is>
          <t>https://techplay.jp/event/997556</t>
        </is>
      </c>
      <c r="V108" s="10" t="n"/>
      <c r="W108" s="10" t="inlineStr">
        <is>
          <t>タイトル一致</t>
        </is>
      </c>
      <c r="X108" s="10" t="n"/>
    </row>
    <row r="109">
      <c r="A109" s="10" t="n">
        <v>108</v>
      </c>
      <c r="B109" s="24" t="n">
        <v>46219</v>
      </c>
      <c r="C109" s="24" t="n">
        <v>46219</v>
      </c>
      <c r="D109" s="10">
        <f>MONTH(B109)&amp;"月"</f>
        <v/>
      </c>
      <c r="E109" s="12" t="n">
        <v>1</v>
      </c>
      <c r="F109" s="10" t="n"/>
      <c r="G109" s="10" t="inlineStr">
        <is>
          <t>【TECH BATON in 東京】 リファクタリングのためのトークン節約術  Night</t>
        </is>
      </c>
      <c r="H109" s="10" t="inlineStr">
        <is>
          <t>Findy/ファインディ</t>
        </is>
      </c>
      <c r="I109" s="10" t="n"/>
      <c r="J109" s="10" t="inlineStr">
        <is>
          <t>TECH PLAY</t>
        </is>
      </c>
      <c r="K109" s="10" t="inlineStr">
        <is>
          <t>会場</t>
        </is>
      </c>
      <c r="L109" s="10" t="inlineStr">
        <is>
          <t>ファインディ株式会社 〒141-0032 東京都品川区大崎１丁目２−２ アートヴィレッジ大崎セントラルタワー 5 階</t>
        </is>
      </c>
      <c r="M109" s="10" t="inlineStr">
        <is>
          <t>営業・マーケ・CS</t>
        </is>
      </c>
      <c r="N109" s="10" t="inlineStr">
        <is>
          <t>両方</t>
        </is>
      </c>
      <c r="O109" s="12" t="inlineStr">
        <is>
          <t>○</t>
        </is>
      </c>
      <c r="P109" s="13" t="n">
        <v>3</v>
      </c>
      <c r="Q109" s="12" t="inlineStr">
        <is>
          <t>申込者数</t>
        </is>
      </c>
      <c r="R109" s="14" t="n">
        <v>50</v>
      </c>
      <c r="S109" s="10" t="n"/>
      <c r="T109" s="10" t="inlineStr">
        <is>
          <t>オフラインイベントとなります。イベント当日の配信及び録画データの共有はありません。 参加をご希望の方はお手数ですがConnpassよりお申込ください。 📍開催概要 開催日時：2026年7月16日（木）18:45-21:00（18:30~開場） 開催場所：ファインディ株式会社（大崎駅） ※20時にオフィスビルの扉が閉まります。20時までのご来場をお願いいたします。 ▼テーマ例 登壇いただける方も公募してます！ 今回「リファクタリング」と「</t>
        </is>
      </c>
      <c r="U109" s="15" t="inlineStr">
        <is>
          <t>https://techplay.jp/event/997790</t>
        </is>
      </c>
      <c r="V109" s="10" t="n"/>
      <c r="W109" s="10" t="inlineStr">
        <is>
          <t>本文一致</t>
        </is>
      </c>
      <c r="X109" s="10" t="n"/>
    </row>
    <row r="110">
      <c r="A110" s="10" t="n">
        <v>109</v>
      </c>
      <c r="B110" s="24" t="n">
        <v>46219</v>
      </c>
      <c r="C110" s="24" t="n">
        <v>46219</v>
      </c>
      <c r="D110" s="10">
        <f>MONTH(B110)&amp;"月"</f>
        <v/>
      </c>
      <c r="E110" s="12" t="n">
        <v>1</v>
      </c>
      <c r="F110" s="10" t="n"/>
      <c r="G110" s="10" t="inlineStr">
        <is>
          <t>【好評につき再放送決定！】「ベテランの計画」を全社標準に。AIエージェントによる需給・在庫の計画最適化と実装手順</t>
        </is>
      </c>
      <c r="H110" s="10" t="inlineStr">
        <is>
          <t>株式会社QuackShift</t>
        </is>
      </c>
      <c r="I110" s="10" t="n"/>
      <c r="J110" s="10" t="inlineStr">
        <is>
          <t>TECH PLAY</t>
        </is>
      </c>
      <c r="K110" s="10" t="inlineStr">
        <is>
          <t>オンライン</t>
        </is>
      </c>
      <c r="L110" s="10" t="n"/>
      <c r="M110" s="10" t="inlineStr">
        <is>
          <t>生産管理・製造・SCM</t>
        </is>
      </c>
      <c r="N110" s="10" t="inlineStr">
        <is>
          <t>AIエージェント</t>
        </is>
      </c>
      <c r="O110" s="12" t="inlineStr">
        <is>
          <t>◎</t>
        </is>
      </c>
      <c r="P110" s="13" t="n">
        <v>6</v>
      </c>
      <c r="Q110" s="12" t="inlineStr">
        <is>
          <t>申込者数</t>
        </is>
      </c>
      <c r="R110" s="14" t="n">
        <v>100</v>
      </c>
      <c r="S110" s="10" t="n"/>
      <c r="T110" s="10" t="inlineStr">
        <is>
          <t>【好評につき再放送決定！】「ベテランの計画」を全社標準に。AIエージェントによる需給・在庫の計画最適化と実装手順 2026年7月16日（木）12:00-13:00 「AIエージェントによる需給・在庫・計画の最適化、実装」をテーマに無料のオンラインセミナーを開催します！ 【イベント内容】 多くの製造・小売・物流企業の現場では、 「需給予測や在庫計画が、特定のベテラン担当者の『経験と勘』に依存している」 「熟練者の計画は精度が高いが、その思</t>
        </is>
      </c>
      <c r="U110" s="15" t="inlineStr">
        <is>
          <t>https://techplay.jp/event/997967</t>
        </is>
      </c>
      <c r="V110" s="10" t="n"/>
      <c r="W110" s="10" t="inlineStr">
        <is>
          <t>タイトル一致</t>
        </is>
      </c>
      <c r="X110" s="10" t="n"/>
    </row>
    <row r="111">
      <c r="A111" s="10" t="n">
        <v>110</v>
      </c>
      <c r="B111" s="24" t="n">
        <v>46219</v>
      </c>
      <c r="C111" s="24" t="n">
        <v>46219</v>
      </c>
      <c r="D111" s="10">
        <f>MONTH(B111)&amp;"月"</f>
        <v/>
      </c>
      <c r="E111" s="12" t="n">
        <v>1</v>
      </c>
      <c r="F111" s="10" t="n"/>
      <c r="G111" s="10" t="inlineStr">
        <is>
          <t>ハーネスエンジニアリングを進化させ続ける！#4  マルチエージェントをどう設計・制御・改善する？</t>
        </is>
      </c>
      <c r="H111" s="10" t="inlineStr">
        <is>
          <t>Findy AI+</t>
        </is>
      </c>
      <c r="I111" s="10" t="n"/>
      <c r="J111" s="10" t="inlineStr">
        <is>
          <t>connpass</t>
        </is>
      </c>
      <c r="K111" s="10" t="inlineStr">
        <is>
          <t>会場</t>
        </is>
      </c>
      <c r="L111" s="10" t="inlineStr">
        <is>
          <t>〒141-0021 東京都品川区上大崎３丁目１−１ 目黒セントラルスクエア13F</t>
        </is>
      </c>
      <c r="M111" s="10" t="inlineStr">
        <is>
          <t>開発生産性</t>
        </is>
      </c>
      <c r="N111" s="10" t="inlineStr">
        <is>
          <t>AIエージェント</t>
        </is>
      </c>
      <c r="O111" s="12" t="inlineStr">
        <is>
          <t>○</t>
        </is>
      </c>
      <c r="P111" s="13" t="n">
        <v>155</v>
      </c>
      <c r="Q111" s="12" t="inlineStr">
        <is>
          <t>参加者数</t>
        </is>
      </c>
      <c r="R111" s="14" t="n">
        <v>472</v>
      </c>
      <c r="S111" s="10" t="n"/>
      <c r="T111" s="10" t="n"/>
      <c r="U111" s="15" t="inlineStr">
        <is>
          <t>https://findy-aiplus.connpass.com/event/399504/</t>
        </is>
      </c>
      <c r="V111" s="10" t="n"/>
      <c r="W111" s="10" t="inlineStr">
        <is>
          <t>タイトル一致</t>
        </is>
      </c>
      <c r="X111" s="10" t="n"/>
    </row>
    <row r="112">
      <c r="A112" s="10" t="n">
        <v>111</v>
      </c>
      <c r="B112" s="24" t="n">
        <v>46219</v>
      </c>
      <c r="C112" s="24" t="n">
        <v>46275</v>
      </c>
      <c r="D112" s="10">
        <f>MONTH(B112)&amp;"月"</f>
        <v/>
      </c>
      <c r="E112" s="12" t="n">
        <v>2</v>
      </c>
      <c r="F112" s="10" t="inlineStr">
        <is>
          <t>07/16、09/10</t>
        </is>
      </c>
      <c r="G112" s="10" t="inlineStr">
        <is>
          <t>企業内検索×生成AIで業務改革【企業内検索エージェント ～情報検索の最前線～】</t>
        </is>
      </c>
      <c r="H112" s="10" t="inlineStr">
        <is>
          <t>「QuickSolution」紹介ウェビナー担当</t>
        </is>
      </c>
      <c r="I112" s="10" t="n"/>
      <c r="J112" s="10" t="inlineStr">
        <is>
          <t>こくちーずプロ</t>
        </is>
      </c>
      <c r="K112" s="10" t="inlineStr">
        <is>
          <t>オンライン</t>
        </is>
      </c>
      <c r="L112" s="10" t="inlineStr">
        <is>
          <t>オンライン 日本</t>
        </is>
      </c>
      <c r="M112" s="10" t="inlineStr">
        <is>
          <t>生産性向上・業務効率化</t>
        </is>
      </c>
      <c r="N112" s="10" t="inlineStr">
        <is>
          <t>AIエージェント</t>
        </is>
      </c>
      <c r="O112" s="12" t="inlineStr">
        <is>
          <t>◎</t>
        </is>
      </c>
      <c r="P112" s="13" t="n"/>
      <c r="Q112" s="12" t="inlineStr">
        <is>
          <t>不明</t>
        </is>
      </c>
      <c r="R112" s="14" t="n"/>
      <c r="S112" s="10" t="inlineStr">
        <is>
          <t>全2回の合計</t>
        </is>
      </c>
      <c r="T112" s="10" t="inlineStr">
        <is>
          <t>企業内検索×生成AIで業務改革 ～オンプレ・クラウドの横断検索、RAG・検索エージェントで業務効率化やナレッジ活用～ 普段の業務の中で「あの資料、どこにあるかな…」と長い時間をかけて探したことはありませんか？頑張って探したのに、結局見つからなかった経験があるのではないでしょうか。 エンタープライズサーチ QuickSolution(クイックソリューション)を使えば、社内ファイルサーバやクラウドサービスを横断的に文書の中身まで検索して、欲</t>
        </is>
      </c>
      <c r="U112" s="15" t="inlineStr">
        <is>
          <t>https://www.kokuchpro.com/event/bc0c1e38fe7bab499f3f6a2cb7fa845f/</t>
        </is>
      </c>
      <c r="V112" s="10" t="n"/>
      <c r="W112" s="10" t="inlineStr">
        <is>
          <t>タイトル一致</t>
        </is>
      </c>
      <c r="X112" s="10" t="n"/>
    </row>
    <row r="113">
      <c r="A113" s="10" t="n">
        <v>112</v>
      </c>
      <c r="B113" s="24" t="n">
        <v>46219</v>
      </c>
      <c r="C113" s="24" t="n">
        <v>46219</v>
      </c>
      <c r="D113" s="10">
        <f>MONTH(B113)&amp;"月"</f>
        <v/>
      </c>
      <c r="E113" s="12" t="n">
        <v>1</v>
      </c>
      <c r="F113" s="10" t="n"/>
      <c r="G113" s="10" t="inlineStr">
        <is>
          <t>初めてのAIエージェントセミナー</t>
        </is>
      </c>
      <c r="H113" s="10" t="inlineStr">
        <is>
          <t>初めてのAIエージェントセミナー事務局</t>
        </is>
      </c>
      <c r="I113" s="10" t="n"/>
      <c r="J113" s="10" t="inlineStr">
        <is>
          <t>こくちーずプロ</t>
        </is>
      </c>
      <c r="K113" s="10" t="inlineStr">
        <is>
          <t>オフライン（会場）</t>
        </is>
      </c>
      <c r="L113" s="10" t="inlineStr">
        <is>
          <t>大阪会議室 梅田北新地店 大阪府大阪市北区曾根崎2-1-12 国道ビル3階</t>
        </is>
      </c>
      <c r="M113" s="10" t="inlineStr">
        <is>
          <t>技術・AI全般</t>
        </is>
      </c>
      <c r="N113" s="10" t="inlineStr">
        <is>
          <t>AIエージェント</t>
        </is>
      </c>
      <c r="O113" s="12" t="inlineStr">
        <is>
          <t>○</t>
        </is>
      </c>
      <c r="P113" s="13" t="n">
        <v>0</v>
      </c>
      <c r="Q113" s="12" t="inlineStr">
        <is>
          <t>参加者数</t>
        </is>
      </c>
      <c r="R113" s="14" t="n">
        <v>10</v>
      </c>
      <c r="S113" s="10" t="n"/>
      <c r="T113" s="10" t="inlineStr">
        <is>
          <t>「AIには興味があるけど、何から触ればいいかわからない」 「ChatGPTは使ったことがあるけど、AIエージェントはまだよく分からない」 「仕事や事業にAIを活用していきたい」 そんな方向けに、AIエージェントを実際に触りながら学べるワークショップを開催します。 今回のテーマは、通常のAIチャットではなく “AIエージェント” です。 講師が画面を共有しながら、参加者の皆さんも自分のPCで一緒に操作していくため、 初心者の方でも安心して</t>
        </is>
      </c>
      <c r="U113" s="15" t="inlineStr">
        <is>
          <t>https://www.kokuchpro.com/event/c3e79baaa5fdcd0435ea2fc7bf6862db/</t>
        </is>
      </c>
      <c r="V113" s="10" t="n"/>
      <c r="W113" s="10" t="inlineStr">
        <is>
          <t>タイトル一致</t>
        </is>
      </c>
      <c r="X113" s="10" t="n"/>
    </row>
    <row r="114">
      <c r="A114" s="10" t="n">
        <v>113</v>
      </c>
      <c r="B114" s="24" t="n">
        <v>46219</v>
      </c>
      <c r="C114" s="24" t="n">
        <v>46275</v>
      </c>
      <c r="D114" s="10">
        <f>MONTH(B114)&amp;"月"</f>
        <v/>
      </c>
      <c r="E114" s="12" t="n">
        <v>3</v>
      </c>
      <c r="F114" s="10" t="inlineStr">
        <is>
          <t>07/16、08/06、09/10</t>
        </is>
      </c>
      <c r="G114" s="10" t="inlineStr">
        <is>
          <t>初心者でも1時間で理解！ビジネスマンのためのClaude Code活用セミナー【初級編】</t>
        </is>
      </c>
      <c r="H114" s="10" t="inlineStr">
        <is>
          <t>Polyscape</t>
        </is>
      </c>
      <c r="I114" s="10" t="n"/>
      <c r="J114" s="10" t="inlineStr">
        <is>
          <t>connpass</t>
        </is>
      </c>
      <c r="K114" s="10" t="inlineStr">
        <is>
          <t>オンライン</t>
        </is>
      </c>
      <c r="L114" s="10" t="inlineStr">
        <is>
          <t>オンライン</t>
        </is>
      </c>
      <c r="M114" s="10" t="inlineStr">
        <is>
          <t>生産性向上・業務効率化</t>
        </is>
      </c>
      <c r="N114" s="10" t="inlineStr">
        <is>
          <t>AIエージェント</t>
        </is>
      </c>
      <c r="O114" s="12" t="inlineStr">
        <is>
          <t>◎</t>
        </is>
      </c>
      <c r="P114" s="13" t="n">
        <v>76</v>
      </c>
      <c r="Q114" s="12" t="inlineStr">
        <is>
          <t>参加者数</t>
        </is>
      </c>
      <c r="R114" s="14" t="n"/>
      <c r="S114" s="10" t="inlineStr">
        <is>
          <t>全3回の合計</t>
        </is>
      </c>
      <c r="T114" s="10" t="n"/>
      <c r="U114" s="15" t="inlineStr">
        <is>
          <t>https://polyscape.connpass.com/event/397802/</t>
        </is>
      </c>
      <c r="V114" s="10" t="n"/>
      <c r="W114" s="10" t="inlineStr">
        <is>
          <t>タイトル一致</t>
        </is>
      </c>
      <c r="X114" s="10" t="n"/>
    </row>
    <row r="115">
      <c r="A115" s="10" t="n">
        <v>114</v>
      </c>
      <c r="B115" s="24" t="n">
        <v>46220</v>
      </c>
      <c r="C115" s="24" t="n">
        <v>46220</v>
      </c>
      <c r="D115" s="10">
        <f>MONTH(B115)&amp;"月"</f>
        <v/>
      </c>
      <c r="E115" s="12" t="n">
        <v>1</v>
      </c>
      <c r="F115" s="10" t="n"/>
      <c r="G115" s="10" t="inlineStr">
        <is>
          <t>AIエージェントが変える次世代ものづくり～いま知るべきフィジカルAI・AIエージェントのリアル～【参加無料:2026年7月17日(金)14:30オンライン開催】</t>
        </is>
      </c>
      <c r="H115" s="10" t="inlineStr">
        <is>
          <t>一般財団法人機械システム振興協会</t>
        </is>
      </c>
      <c r="I115" s="10" t="n"/>
      <c r="J115" s="10" t="inlineStr">
        <is>
          <t>こくちーずプロ</t>
        </is>
      </c>
      <c r="K115" s="10" t="inlineStr">
        <is>
          <t>オンライン</t>
        </is>
      </c>
      <c r="L115" s="10" t="inlineStr">
        <is>
          <t>オンライン 日本</t>
        </is>
      </c>
      <c r="M115" s="10" t="inlineStr">
        <is>
          <t>生産管理・製造・SCM</t>
        </is>
      </c>
      <c r="N115" s="10" t="inlineStr">
        <is>
          <t>AIエージェント</t>
        </is>
      </c>
      <c r="O115" s="12" t="inlineStr">
        <is>
          <t>◎</t>
        </is>
      </c>
      <c r="P115" s="13" t="n"/>
      <c r="Q115" s="12" t="inlineStr">
        <is>
          <t>不明</t>
        </is>
      </c>
      <c r="R115" s="14" t="n"/>
      <c r="S115" s="10" t="n"/>
      <c r="T115" s="10" t="inlineStr">
        <is>
          <t>生成AIの次の潮流として注目を集める「製造業のAIエージェント」は、限定的な人の介入のもとで自律的にタスクを実行し、製造業の開発・生産現場を大きく変える可能性を持つ技術です。本発表会では、AIエージェントの活用によって期待される効果、物理系に接続される「フィジカルAI」の具体事例、海外における活用の最前線、日本の課題、さらに第三者の権利侵害のおそれや法的責任に関する論点まで、一般の方にもわかりやすく解説します。 食品工場向け協働ロボット</t>
        </is>
      </c>
      <c r="U115" s="15" t="inlineStr">
        <is>
          <t>https://www.kokuchpro.com/event/b8b6f08ec012022d14eb3956002a4c38/</t>
        </is>
      </c>
      <c r="V115" s="10" t="n"/>
      <c r="W115" s="10" t="inlineStr">
        <is>
          <t>タイトル一致</t>
        </is>
      </c>
      <c r="X115" s="10" t="n"/>
    </row>
    <row r="116">
      <c r="A116" s="10" t="n">
        <v>115</v>
      </c>
      <c r="B116" s="24" t="n">
        <v>46220</v>
      </c>
      <c r="C116" s="24" t="n">
        <v>46220</v>
      </c>
      <c r="D116" s="10">
        <f>MONTH(B116)&amp;"月"</f>
        <v/>
      </c>
      <c r="E116" s="12" t="n">
        <v>1</v>
      </c>
      <c r="F116" s="10" t="n"/>
      <c r="G116" s="10" t="inlineStr">
        <is>
          <t>AIエージェントキャッチアップ #84 - OpenWiki</t>
        </is>
      </c>
      <c r="H116" s="10" t="inlineStr">
        <is>
          <t>ジェネラティブエージェンツ / Generative Agents</t>
        </is>
      </c>
      <c r="I116" s="10" t="n"/>
      <c r="J116" s="10" t="inlineStr">
        <is>
          <t>connpass</t>
        </is>
      </c>
      <c r="K116" s="10" t="inlineStr">
        <is>
          <t>オンライン</t>
        </is>
      </c>
      <c r="L116" s="10" t="inlineStr">
        <is>
          <t>オンライン</t>
        </is>
      </c>
      <c r="M116" s="10" t="inlineStr">
        <is>
          <t>技術・AI全般</t>
        </is>
      </c>
      <c r="N116" s="10" t="inlineStr">
        <is>
          <t>AIエージェント</t>
        </is>
      </c>
      <c r="O116" s="12" t="inlineStr">
        <is>
          <t>○</t>
        </is>
      </c>
      <c r="P116" s="13" t="n">
        <v>54</v>
      </c>
      <c r="Q116" s="12" t="inlineStr">
        <is>
          <t>参加者数</t>
        </is>
      </c>
      <c r="R116" s="14" t="n">
        <v>200</v>
      </c>
      <c r="S116" s="10" t="n"/>
      <c r="T116" s="10" t="n"/>
      <c r="U116" s="15" t="inlineStr">
        <is>
          <t>https://generative-agents.connpass.com/event/400162/</t>
        </is>
      </c>
      <c r="V116" s="10" t="n"/>
      <c r="W116" s="10" t="inlineStr">
        <is>
          <t>タイトル一致</t>
        </is>
      </c>
      <c r="X116" s="10" t="n"/>
    </row>
    <row r="117">
      <c r="A117" s="10" t="n">
        <v>116</v>
      </c>
      <c r="B117" s="24" t="n">
        <v>46220</v>
      </c>
      <c r="C117" s="24" t="n">
        <v>46220</v>
      </c>
      <c r="D117" s="10">
        <f>MONTH(B117)&amp;"月"</f>
        <v/>
      </c>
      <c r="E117" s="12" t="n">
        <v>1</v>
      </c>
      <c r="F117" s="10" t="n"/>
      <c r="G117" s="10" t="inlineStr">
        <is>
          <t>AIエージェント実践活用セミナー（岡山大学・OI-Start主催／TIMEWELL登壇）</t>
        </is>
      </c>
      <c r="H117" s="10" t="inlineStr">
        <is>
          <t>おかやまデジタルイノベーション創出プラットフォーム（OI-Start）</t>
        </is>
      </c>
      <c r="I117" s="10" t="n"/>
      <c r="J117" s="10" t="inlineStr">
        <is>
          <t>PR TIMES</t>
        </is>
      </c>
      <c r="K117" s="10" t="inlineStr">
        <is>
          <t>offline</t>
        </is>
      </c>
      <c r="L117" s="10" t="inlineStr">
        <is>
          <t>岡山大学創立五十周年記念館（岡山大学津島キャンパス／岡山県岡山市北区津島中1丁目1-1）</t>
        </is>
      </c>
      <c r="M117" s="10" t="inlineStr">
        <is>
          <t>生産性向上・業務効率化</t>
        </is>
      </c>
      <c r="N117" s="10" t="inlineStr">
        <is>
          <t>AIエージェント</t>
        </is>
      </c>
      <c r="O117" s="12" t="inlineStr">
        <is>
          <t>◎</t>
        </is>
      </c>
      <c r="P117" s="13" t="n"/>
      <c r="Q117" s="12" t="inlineStr">
        <is>
          <t>定員</t>
        </is>
      </c>
      <c r="R117" s="14" t="n">
        <v>120</v>
      </c>
      <c r="S117" s="10" t="n"/>
      <c r="T117" s="10" t="inlineStr">
        <is>
          <t xml:space="preserve">自律型AIエージェントを開発する株式会社TIMEWELL（本社：神奈川県横浜市、代表取締役CEO：濱本 隆太）は、2026年7月17日（金）、岡山大学津島キャンパス（岡山市北区）で開催された「AIエージェントが変える業務改革最前線 ― 企業のための実践活用セミナー」（主催：おかやまデジタルイノベーション創出プラットフォーム〈OI-Start〉）に登壇しました。代表取締役CEOの濱本 隆太が「誰も教えてくれないAIエージェントの真実 ― </t>
        </is>
      </c>
      <c r="U117" s="15" t="inlineStr">
        <is>
          <t>https://prtimes.jp/main/html/rd/p/000000137.000119271.html</t>
        </is>
      </c>
      <c r="V117" s="10" t="n"/>
      <c r="W117" s="10" t="inlineStr">
        <is>
          <t>タイトル一致</t>
        </is>
      </c>
      <c r="X117" s="10" t="n"/>
    </row>
    <row r="118">
      <c r="A118" s="10" t="n">
        <v>117</v>
      </c>
      <c r="B118" s="24" t="n">
        <v>46220</v>
      </c>
      <c r="C118" s="24" t="n">
        <v>46220</v>
      </c>
      <c r="D118" s="10">
        <f>MONTH(B118)&amp;"月"</f>
        <v/>
      </c>
      <c r="E118" s="12" t="n">
        <v>1</v>
      </c>
      <c r="F118" s="10" t="n"/>
      <c r="G118" s="10" t="inlineStr">
        <is>
          <t>AI時代、検索マーケティングはどこへ向かうのか？──日本の第一人者が集結する1dayセミナー</t>
        </is>
      </c>
      <c r="H118" s="10" t="inlineStr">
        <is>
          <t>DemandMarkets株式会社</t>
        </is>
      </c>
      <c r="I118" s="10" t="n"/>
      <c r="J118" s="10" t="inlineStr">
        <is>
          <t>TECH PLAY</t>
        </is>
      </c>
      <c r="K118" s="10" t="inlineStr">
        <is>
          <t>オンライン</t>
        </is>
      </c>
      <c r="L118" s="10" t="n"/>
      <c r="M118" s="10" t="inlineStr">
        <is>
          <t>営業・マーケ・CS</t>
        </is>
      </c>
      <c r="N118" s="10" t="inlineStr">
        <is>
          <t>AIエージェント</t>
        </is>
      </c>
      <c r="O118" s="12" t="inlineStr">
        <is>
          <t>○</t>
        </is>
      </c>
      <c r="P118" s="13" t="n">
        <v>4</v>
      </c>
      <c r="Q118" s="12" t="inlineStr">
        <is>
          <t>申込者数</t>
        </is>
      </c>
      <c r="R118" s="14" t="n">
        <v>100</v>
      </c>
      <c r="S118" s="10" t="n"/>
      <c r="T118" s="10" t="inlineStr">
        <is>
          <t>AI時代、検索マーケティングはどこへ向かうのか？──日本の第一人者が集結する1dayセミナー FOUND Conference Tokyo 2026｜2026年7月17日（金）日比谷・ハイブリッド開催 #SEO #生成AI #AIO #LLMO #検索マーケティング #リスティング広告 #データ分析 #MMM #マーケティング #カンファレンス SEO・広告・データ分析・AI活用――各領域で「今もっとも話を聞くべき」日本の第一人者が、一</t>
        </is>
      </c>
      <c r="U118" s="15" t="inlineStr">
        <is>
          <t>https://techplay.jp/event/997301</t>
        </is>
      </c>
      <c r="V118" s="10" t="n"/>
      <c r="W118" s="10" t="inlineStr">
        <is>
          <t>本文一致</t>
        </is>
      </c>
      <c r="X118" s="10" t="n"/>
    </row>
    <row r="119">
      <c r="A119" s="10" t="n">
        <v>118</v>
      </c>
      <c r="B119" s="24" t="n">
        <v>46220</v>
      </c>
      <c r="C119" s="24" t="n">
        <v>46220</v>
      </c>
      <c r="D119" s="10">
        <f>MONTH(B119)&amp;"月"</f>
        <v/>
      </c>
      <c r="E119" s="12" t="n">
        <v>1</v>
      </c>
      <c r="F119" s="10" t="n"/>
      <c r="G119" s="10" t="inlineStr">
        <is>
          <t>「製造業のAIエージェント」の活用方策フォーラム 成果発表会</t>
        </is>
      </c>
      <c r="H119" s="10" t="inlineStr">
        <is>
          <t>一般財団法人 機械システム振興協会</t>
        </is>
      </c>
      <c r="I119" s="10" t="n"/>
      <c r="J119" s="10" t="inlineStr">
        <is>
          <t>個別調査（公式サイト・PR TIMES等）</t>
        </is>
      </c>
      <c r="K119" s="10" t="inlineStr">
        <is>
          <t>オンライン</t>
        </is>
      </c>
      <c r="L119" s="10" t="inlineStr">
        <is>
          <t>Zoom</t>
        </is>
      </c>
      <c r="M119" s="10" t="inlineStr">
        <is>
          <t>生産管理・製造・SCM</t>
        </is>
      </c>
      <c r="N119" s="10" t="inlineStr">
        <is>
          <t>AIエージェント</t>
        </is>
      </c>
      <c r="O119" s="12" t="inlineStr">
        <is>
          <t>◎</t>
        </is>
      </c>
      <c r="P119" s="13" t="n">
        <v>500</v>
      </c>
      <c r="Q119" s="12" t="inlineStr">
        <is>
          <t>定員</t>
        </is>
      </c>
      <c r="R119" s="14" t="n">
        <v>500</v>
      </c>
      <c r="S119" s="10" t="inlineStr">
        <is>
          <t>創業手帳の記事では「一般参加者 定員200」とあり、情報が食い違う</t>
        </is>
      </c>
      <c r="T119" s="10" t="inlineStr">
        <is>
          <t>製造業でAIエージェントを使う効果と留意点、フィジカルAIの事例、海外動向、法的責任を解説する無料セミナー。</t>
        </is>
      </c>
      <c r="U119" s="15" t="inlineStr">
        <is>
          <t>https://www.mssf.or.jp/news_r08004/</t>
        </is>
      </c>
      <c r="V119" s="15" t="inlineStr">
        <is>
          <t>https://prtimes.jp/main/html/rd/p/000000017.000122726.html</t>
        </is>
      </c>
      <c r="W119" s="10" t="inlineStr">
        <is>
          <t>個別確認</t>
        </is>
      </c>
      <c r="X119" s="10" t="n"/>
    </row>
    <row r="120">
      <c r="A120" s="10" t="n">
        <v>119</v>
      </c>
      <c r="B120" s="24" t="n">
        <v>46220</v>
      </c>
      <c r="C120" s="24" t="n">
        <v>46234</v>
      </c>
      <c r="D120" s="10">
        <f>MONTH(B120)&amp;"月"</f>
        <v/>
      </c>
      <c r="E120" s="12" t="n">
        <v>1</v>
      </c>
      <c r="F120" s="10" t="n"/>
      <c r="G120" s="10" t="inlineStr">
        <is>
          <t>【常時開催】経営視点で見るAI動向とリスク　― AIを「使う」企業から、「任せる」組織へ ―</t>
        </is>
      </c>
      <c r="H120" s="10" t="inlineStr">
        <is>
          <t>株式会社Deflag</t>
        </is>
      </c>
      <c r="I120" s="10" t="n"/>
      <c r="J120" s="10" t="inlineStr">
        <is>
          <t>TECH PLAY</t>
        </is>
      </c>
      <c r="K120" s="10" t="inlineStr">
        <is>
          <t>オンライン</t>
        </is>
      </c>
      <c r="L120" s="10" t="n"/>
      <c r="M120" s="10" t="inlineStr">
        <is>
          <t>生産性向上・業務効率化</t>
        </is>
      </c>
      <c r="N120" s="10" t="inlineStr">
        <is>
          <t>AIエージェント</t>
        </is>
      </c>
      <c r="O120" s="12" t="inlineStr">
        <is>
          <t>○</t>
        </is>
      </c>
      <c r="P120" s="13" t="n"/>
      <c r="Q120" s="12" t="inlineStr">
        <is>
          <t>非公開</t>
        </is>
      </c>
      <c r="R120" s="14" t="n">
        <v>50</v>
      </c>
      <c r="S120" s="10" t="n"/>
      <c r="T120" s="10" t="inlineStr">
        <is>
          <t>概要 ■ なぜ、「いま」なのか 2026年、AIは転換点を越えました。 文章を要約する「単体ツール」から、業務を丸ごと担い自律実行する「AIエージェント」へ。AIの役割が「答える」から「実行する」に変わったことで、企業に問われるテーマも変わりました。 もはや「どのツールを入れるか」ではなく、「何をAIに任せ、何を人が担うか」——業務・組織・P/Lそのものの設計の話です。 そして、この変化はすでに現実に動き始めています。 Amazon・M</t>
        </is>
      </c>
      <c r="U120" s="15" t="inlineStr">
        <is>
          <t>https://techplay.jp/event/998366</t>
        </is>
      </c>
      <c r="V120" s="10" t="n"/>
      <c r="W120" s="10" t="inlineStr">
        <is>
          <t>本文一致</t>
        </is>
      </c>
      <c r="X120" s="10" t="n"/>
    </row>
    <row r="121">
      <c r="A121" s="10" t="n">
        <v>120</v>
      </c>
      <c r="B121" s="24" t="n">
        <v>46220</v>
      </c>
      <c r="C121" s="24" t="n">
        <v>46220</v>
      </c>
      <c r="D121" s="10">
        <f>MONTH(B121)&amp;"月"</f>
        <v/>
      </c>
      <c r="E121" s="12" t="n">
        <v>1</v>
      </c>
      <c r="F121" s="10" t="n"/>
      <c r="G121" s="10" t="inlineStr">
        <is>
          <t>【無料オンライン】AIに淘汰されないエンジニアの生き残り戦術</t>
        </is>
      </c>
      <c r="H121" s="10" t="inlineStr">
        <is>
          <t>recruit@tritechinc.jp</t>
        </is>
      </c>
      <c r="I121" s="10" t="n"/>
      <c r="J121" s="10" t="inlineStr">
        <is>
          <t>こくちーずプロ</t>
        </is>
      </c>
      <c r="K121" s="10" t="inlineStr">
        <is>
          <t>オンライン</t>
        </is>
      </c>
      <c r="L121" s="10" t="inlineStr">
        <is>
          <t>オンライン 日本</t>
        </is>
      </c>
      <c r="M121" s="10" t="inlineStr">
        <is>
          <t>開発生産性</t>
        </is>
      </c>
      <c r="N121" s="10" t="inlineStr">
        <is>
          <t>AIエージェント</t>
        </is>
      </c>
      <c r="O121" s="12" t="inlineStr">
        <is>
          <t>△</t>
        </is>
      </c>
      <c r="P121" s="13" t="n">
        <v>1</v>
      </c>
      <c r="Q121" s="12" t="inlineStr">
        <is>
          <t>参加者数</t>
        </is>
      </c>
      <c r="R121" s="14" t="n">
        <v>5</v>
      </c>
      <c r="S121" s="10" t="n"/>
      <c r="T121" s="10" t="inlineStr">
        <is>
          <t>AIツールを使っている人も、まだ本格的に使えていない人も。 「なんとなく触っている」から「キャリアに活かせている」に変わるヒントをお届けします。 ───────────────────────── ■ こんな人に来てほしい ・Claude CodeやAIエージェントを使っているが、もっとうまく活かしたい ・AIは触っているけど、キャリアや単価にどう繋げるか整理できていない ・周りが使い始めているのは知っているが、何から始めればいいか迷っ</t>
        </is>
      </c>
      <c r="U121" s="15" t="inlineStr">
        <is>
          <t>https://www.kokuchpro.com/event/e47f066e43052cf1e483078114cbd748/</t>
        </is>
      </c>
      <c r="V121" s="10" t="n"/>
      <c r="W121" s="10" t="inlineStr">
        <is>
          <t>本文一致</t>
        </is>
      </c>
      <c r="X121" s="10" t="n"/>
    </row>
    <row r="122">
      <c r="A122" s="10" t="n">
        <v>121</v>
      </c>
      <c r="B122" s="24" t="n">
        <v>46220</v>
      </c>
      <c r="C122" s="24" t="n">
        <v>46220</v>
      </c>
      <c r="D122" s="10">
        <f>MONTH(B122)&amp;"月"</f>
        <v/>
      </c>
      <c r="E122" s="12" t="n">
        <v>1</v>
      </c>
      <c r="F122" s="10" t="n"/>
      <c r="G122" s="10" t="inlineStr">
        <is>
          <t>【無料オンライン】Agentforce導入事例セミナー</t>
        </is>
      </c>
      <c r="H122" s="10" t="inlineStr">
        <is>
          <t>フロッグウェル株式会社</t>
        </is>
      </c>
      <c r="I122" s="10" t="n"/>
      <c r="J122" s="10" t="inlineStr">
        <is>
          <t>TECH PLAY</t>
        </is>
      </c>
      <c r="K122" s="10" t="inlineStr">
        <is>
          <t>オンライン</t>
        </is>
      </c>
      <c r="L122" s="10" t="n"/>
      <c r="M122" s="10" t="inlineStr">
        <is>
          <t>営業・マーケ・CS</t>
        </is>
      </c>
      <c r="N122" s="10" t="inlineStr">
        <is>
          <t>AIエージェント</t>
        </is>
      </c>
      <c r="O122" s="12" t="inlineStr">
        <is>
          <t>◎</t>
        </is>
      </c>
      <c r="P122" s="13" t="n"/>
      <c r="Q122" s="12" t="inlineStr">
        <is>
          <t>非公開</t>
        </is>
      </c>
      <c r="R122" s="14" t="n">
        <v>10</v>
      </c>
      <c r="S122" s="10" t="n"/>
      <c r="T122" s="10" t="inlineStr">
        <is>
          <t>Salesforceの自律型AI「Agentforce」 を活用した営業・ CS組織変革をテーマに無料開催！ 本セミ ナーでは、フロッグウェルが支援したSolvvy株式会社様での導入事例をもとに、商談の議事録作成・要約・共有を完全自動化し、報告工数を最大50%削減した具体的な実装方法をご紹介します。 ＜セミ ナーの概要＞ ◆こんな課題をお持ち の方におすすめ 営業担当者のSFA入力が形骸化し、 商談内容が「結論だけ」 になっている録画デ</t>
        </is>
      </c>
      <c r="U122" s="15" t="inlineStr">
        <is>
          <t>https://techplay.jp/event/995383</t>
        </is>
      </c>
      <c r="V122" s="10" t="n"/>
      <c r="W122" s="10" t="inlineStr">
        <is>
          <t>タイトル一致</t>
        </is>
      </c>
      <c r="X122" s="10" t="n"/>
    </row>
    <row r="123">
      <c r="A123" s="10" t="n">
        <v>122</v>
      </c>
      <c r="B123" s="24" t="n">
        <v>46220</v>
      </c>
      <c r="C123" s="24" t="n">
        <v>46220</v>
      </c>
      <c r="D123" s="10">
        <f>MONTH(B123)&amp;"月"</f>
        <v/>
      </c>
      <c r="E123" s="12" t="n">
        <v>1</v>
      </c>
      <c r="F123" s="10" t="n"/>
      <c r="G123" s="10" t="inlineStr">
        <is>
          <t>【無料・コード不要】PTAも地域活動も、Claude Coworkに任せて定時に帰ろう|会議録・連絡文・会計レポートを自動化する1時間</t>
        </is>
      </c>
      <c r="H123" s="10" t="inlineStr">
        <is>
          <t>WoV事務局</t>
        </is>
      </c>
      <c r="I123" s="10" t="n"/>
      <c r="J123" s="10" t="inlineStr">
        <is>
          <t>こくちーずプロ</t>
        </is>
      </c>
      <c r="K123" s="10" t="inlineStr">
        <is>
          <t>オンライン</t>
        </is>
      </c>
      <c r="L123" s="10" t="inlineStr">
        <is>
          <t>オンライン 日本</t>
        </is>
      </c>
      <c r="M123" s="10" t="inlineStr">
        <is>
          <t>生産性向上・業務効率化</t>
        </is>
      </c>
      <c r="N123" s="10" t="inlineStr">
        <is>
          <t>MCP</t>
        </is>
      </c>
      <c r="O123" s="12" t="inlineStr">
        <is>
          <t>◎</t>
        </is>
      </c>
      <c r="P123" s="13" t="n"/>
      <c r="Q123" s="12" t="inlineStr">
        <is>
          <t>不明</t>
        </is>
      </c>
      <c r="R123" s="14" t="n"/>
      <c r="S123" s="10" t="n"/>
      <c r="T123" s="10" t="inlineStr">
        <is>
          <t>もう一人の自分を、AIで作る。 仕事も、PTAも、地域活動も。自分の分身に任せる 2026年7月17日（金）18:00〜18:45 オンライン（Zoom） ｜ 参加費：無料 ｜ 定員：10名（先着順） ━━━━━━━━━━━━━━━━━━━━ 無料参加登録はこちら ▶ 今すぐ参加登録する（無料） https://whim-on-vim.com/lp/claude-ai-seminar ━━━━━━━━━━━━━━━━━━━━ こんな人に</t>
        </is>
      </c>
      <c r="U123" s="15" t="inlineStr">
        <is>
          <t>https://www.kokuchpro.com/event/1e27c539582347552e6e91331e14bfda/3836625/</t>
        </is>
      </c>
      <c r="V123" s="10" t="n"/>
      <c r="W123" s="10" t="inlineStr">
        <is>
          <t>タイトル一致</t>
        </is>
      </c>
      <c r="X123" s="10" t="n"/>
    </row>
    <row r="124">
      <c r="A124" s="10" t="n">
        <v>123</v>
      </c>
      <c r="B124" s="24" t="n">
        <v>46220</v>
      </c>
      <c r="C124" s="24" t="n">
        <v>46220</v>
      </c>
      <c r="D124" s="10">
        <f>MONTH(B124)&amp;"月"</f>
        <v/>
      </c>
      <c r="E124" s="12" t="n">
        <v>1</v>
      </c>
      <c r="F124" s="10" t="n"/>
      <c r="G124" s="10" t="inlineStr">
        <is>
          <t>中国で半年に300万社が誕生。「1人会社」が急増している理由 〜AIエージェントが変える、会社・個人・仕事の新常識〜</t>
        </is>
      </c>
      <c r="H124" s="10" t="inlineStr">
        <is>
          <t>AIバード事務局 @ライトアップ</t>
        </is>
      </c>
      <c r="I124" s="10" t="n"/>
      <c r="J124" s="10" t="inlineStr">
        <is>
          <t>TECH PLAY</t>
        </is>
      </c>
      <c r="K124" s="10" t="inlineStr">
        <is>
          <t>オンライン</t>
        </is>
      </c>
      <c r="L124" s="10" t="n"/>
      <c r="M124" s="10" t="inlineStr">
        <is>
          <t>生産性向上・業務効率化</t>
        </is>
      </c>
      <c r="N124" s="10" t="inlineStr">
        <is>
          <t>AIエージェント</t>
        </is>
      </c>
      <c r="O124" s="12" t="inlineStr">
        <is>
          <t>◎</t>
        </is>
      </c>
      <c r="P124" s="13" t="n">
        <v>4</v>
      </c>
      <c r="Q124" s="12" t="inlineStr">
        <is>
          <t>申込者数</t>
        </is>
      </c>
      <c r="R124" s="14" t="n">
        <v>30</v>
      </c>
      <c r="S124" s="10" t="n"/>
      <c r="T124" s="10" t="inlineStr">
        <is>
          <t>なぜ中国では、半年で300万社もの「1人会社」が誕生したのでしょうか？ AIエージェントの進化によって、「会社」のあり方そのものが大きく変わろうとしています。 中国では、わずか半年で約300万社もの「1人会社」が誕生したと言われています。 背景にあるのは、AIエージェントの進化です。 これまで組織でしか実現できなかった業務を、AIが担えるようになったことで、 少人数、あるいは1人でも事業を立ち上げ、成長させることが現実になりつつあります</t>
        </is>
      </c>
      <c r="U124" s="15" t="inlineStr">
        <is>
          <t>https://techplay.jp/event/998307</t>
        </is>
      </c>
      <c r="V124" s="10" t="n"/>
      <c r="W124" s="10" t="inlineStr">
        <is>
          <t>タイトル一致</t>
        </is>
      </c>
      <c r="X124" s="10" t="n"/>
    </row>
    <row r="125">
      <c r="A125" s="10" t="n">
        <v>124</v>
      </c>
      <c r="B125" s="24" t="n">
        <v>46221</v>
      </c>
      <c r="C125" s="24" t="n">
        <v>46221</v>
      </c>
      <c r="D125" s="10">
        <f>MONTH(B125)&amp;"月"</f>
        <v/>
      </c>
      <c r="E125" s="12" t="n">
        <v>1</v>
      </c>
      <c r="F125" s="10" t="n"/>
      <c r="G125" s="10" t="inlineStr">
        <is>
          <t>ClaudeでChatworkも動かす ― 公式コネクタ非対応ツールを連携させるマニアックな裏技</t>
        </is>
      </c>
      <c r="H125" s="10" t="inlineStr">
        <is>
          <t>デジタルレイバーズ</t>
        </is>
      </c>
      <c r="I125" s="10" t="n"/>
      <c r="J125" s="10" t="inlineStr">
        <is>
          <t>TECH PLAY</t>
        </is>
      </c>
      <c r="K125" s="10" t="inlineStr">
        <is>
          <t>オンライン</t>
        </is>
      </c>
      <c r="L125" s="10" t="n"/>
      <c r="M125" s="10" t="inlineStr">
        <is>
          <t>生産性向上・業務効率化</t>
        </is>
      </c>
      <c r="N125" s="10" t="inlineStr">
        <is>
          <t>MCP</t>
        </is>
      </c>
      <c r="O125" s="12" t="inlineStr">
        <is>
          <t>○</t>
        </is>
      </c>
      <c r="P125" s="13" t="n">
        <v>6</v>
      </c>
      <c r="Q125" s="12" t="inlineStr">
        <is>
          <t>申込者数</t>
        </is>
      </c>
      <c r="R125" s="14" t="n">
        <v>30</v>
      </c>
      <c r="S125" s="10" t="n"/>
      <c r="T125" s="10" t="inlineStr">
        <is>
          <t>簡単な紹介 ChatworkなどClaudeコネクタ非対応のツールも、APIさえあればClaudeで動かせる。連携の壁を越える実践的な裏技を、デモを交えて学ぶ朝1時間のセミナーです。 イベントについて 本セミナーは、Chatworkやメール、表計算ツールなど複数の業務ツールを日々使い分けている経営者・役員・幹部の方を対象とした、講義＋デモ型セミナーです。 Claudeは便利なAIですが、公式のClaudeコネクタ（MCP）には「できない</t>
        </is>
      </c>
      <c r="U125" s="15" t="inlineStr">
        <is>
          <t>https://techplay.jp/event/997634</t>
        </is>
      </c>
      <c r="V125" s="10" t="n"/>
      <c r="W125" s="10" t="inlineStr">
        <is>
          <t>本文一致</t>
        </is>
      </c>
      <c r="X125" s="10" t="n"/>
    </row>
    <row r="126">
      <c r="A126" s="10" t="n">
        <v>125</v>
      </c>
      <c r="B126" s="24" t="n">
        <v>46221</v>
      </c>
      <c r="C126" s="24" t="n">
        <v>46221</v>
      </c>
      <c r="D126" s="10">
        <f>MONTH(B126)&amp;"月"</f>
        <v/>
      </c>
      <c r="E126" s="12" t="n">
        <v>1</v>
      </c>
      <c r="F126" s="10" t="n"/>
      <c r="G126" s="10" t="inlineStr">
        <is>
          <t>社会人女性に向けた理想の留学後を明確にして6ヶ月で合格へと導く イギリス大学院留学成功の実践セミナー</t>
        </is>
      </c>
      <c r="H126" s="10" t="inlineStr">
        <is>
          <t>イギリス大学院留学伴走サポート</t>
        </is>
      </c>
      <c r="I126" s="10" t="n"/>
      <c r="J126" s="10" t="inlineStr">
        <is>
          <t>こくちーずプロ</t>
        </is>
      </c>
      <c r="K126" s="10" t="inlineStr">
        <is>
          <t>オンライン</t>
        </is>
      </c>
      <c r="L126" s="10" t="inlineStr">
        <is>
          <t>オンライン 日本</t>
        </is>
      </c>
      <c r="M126" s="10" t="inlineStr">
        <is>
          <t>技術・AI全般</t>
        </is>
      </c>
      <c r="N126" s="10" t="inlineStr">
        <is>
          <t>AIエージェント</t>
        </is>
      </c>
      <c r="O126" s="12" t="inlineStr">
        <is>
          <t>△</t>
        </is>
      </c>
      <c r="P126" s="13" t="n"/>
      <c r="Q126" s="12" t="inlineStr">
        <is>
          <t>不明</t>
        </is>
      </c>
      <c r="R126" s="14" t="n"/>
      <c r="S126" s="10" t="n"/>
      <c r="T126" s="10" t="inlineStr">
        <is>
          <t>「留学エージェント以外に頼る人がいない」「個人ブログでは答えがわからない」 そんなあなたの悩みがゼロになる！ イギリス大学院留学経験者の私が語る 理想の留学後を明確にして６ヶ月で合格へと導く イギリス大学院留学成功の実践セミナー 「納得のいく留学を実現したい。留学の後悔をゼロにしたい。でも周りに実際の経験談を聞ける人がいない」そんなあなたへ あなたが 本当に実現したい形でイギリス大学院留学を叶えるための秘訣 をお伝えします。 定員３名の</t>
        </is>
      </c>
      <c r="U126" s="15" t="inlineStr">
        <is>
          <t>https://www.kokuchpro.com/event/5033f0fd931fa6824e7af0a2013b05de/</t>
        </is>
      </c>
      <c r="V126" s="10" t="n"/>
      <c r="W126" s="10" t="inlineStr">
        <is>
          <t>本文一致</t>
        </is>
      </c>
      <c r="X126" s="10" t="n"/>
    </row>
    <row r="127">
      <c r="A127" s="10" t="n">
        <v>126</v>
      </c>
      <c r="B127" s="24" t="n">
        <v>46222</v>
      </c>
      <c r="C127" s="24" t="n">
        <v>46263</v>
      </c>
      <c r="D127" s="10">
        <f>MONTH(B127)&amp;"月"</f>
        <v/>
      </c>
      <c r="E127" s="12" t="n">
        <v>2</v>
      </c>
      <c r="F127" s="10" t="inlineStr">
        <is>
          <t>07/19、08/29</t>
        </is>
      </c>
      <c r="G127" s="10" t="inlineStr">
        <is>
          <t>AIコーディング初心者勉強会 #1「Claude Codeで始めよう！」</t>
        </is>
      </c>
      <c r="H127" s="10" t="inlineStr">
        <is>
          <t>システムエンジニア友の会</t>
        </is>
      </c>
      <c r="I127" s="10" t="n"/>
      <c r="J127" s="10" t="inlineStr">
        <is>
          <t>connpass</t>
        </is>
      </c>
      <c r="K127" s="10" t="inlineStr">
        <is>
          <t>オンライン</t>
        </is>
      </c>
      <c r="L127" s="10" t="inlineStr">
        <is>
          <t>オンライン</t>
        </is>
      </c>
      <c r="M127" s="10" t="inlineStr">
        <is>
          <t>開発生産性</t>
        </is>
      </c>
      <c r="N127" s="10" t="inlineStr">
        <is>
          <t>AIエージェント</t>
        </is>
      </c>
      <c r="O127" s="12" t="inlineStr">
        <is>
          <t>○</t>
        </is>
      </c>
      <c r="P127" s="13" t="n">
        <v>72</v>
      </c>
      <c r="Q127" s="12" t="inlineStr">
        <is>
          <t>参加者数</t>
        </is>
      </c>
      <c r="R127" s="14" t="n">
        <v>85</v>
      </c>
      <c r="S127" s="10" t="inlineStr">
        <is>
          <t>全2回の合計</t>
        </is>
      </c>
      <c r="T127" s="10" t="n"/>
      <c r="U127" s="15" t="inlineStr">
        <is>
          <t>https://setk.connpass.com/event/399822/</t>
        </is>
      </c>
      <c r="V127" s="10" t="n"/>
      <c r="W127" s="10" t="inlineStr">
        <is>
          <t>タイトル一致</t>
        </is>
      </c>
      <c r="X127" s="10" t="n"/>
    </row>
    <row r="128">
      <c r="A128" s="10" t="n">
        <v>127</v>
      </c>
      <c r="B128" s="24" t="n">
        <v>46223</v>
      </c>
      <c r="C128" s="24" t="n">
        <v>46223</v>
      </c>
      <c r="D128" s="10">
        <f>MONTH(B128)&amp;"月"</f>
        <v/>
      </c>
      <c r="E128" s="12" t="n">
        <v>1</v>
      </c>
      <c r="F128" s="10" t="n"/>
      <c r="G128" s="10" t="inlineStr">
        <is>
          <t>Claude CodeでHP・LP・アプリをその場で作るライブ実演【シリーズ最終回】</t>
        </is>
      </c>
      <c r="H128" s="10" t="inlineStr">
        <is>
          <t>Claude CodeでHP・LP・アプリをその場で作るライブ実演【シリーズ最終回】事務局</t>
        </is>
      </c>
      <c r="I128" s="10" t="n"/>
      <c r="J128" s="10" t="inlineStr">
        <is>
          <t>こくちーずプロ</t>
        </is>
      </c>
      <c r="K128" s="10" t="inlineStr">
        <is>
          <t>オンライン</t>
        </is>
      </c>
      <c r="L128" s="10" t="inlineStr">
        <is>
          <t>オンライン 日本</t>
        </is>
      </c>
      <c r="M128" s="10" t="inlineStr">
        <is>
          <t>開発生産性</t>
        </is>
      </c>
      <c r="N128" s="10" t="inlineStr">
        <is>
          <t>AIエージェント</t>
        </is>
      </c>
      <c r="O128" s="12" t="inlineStr">
        <is>
          <t>○</t>
        </is>
      </c>
      <c r="P128" s="13" t="n">
        <v>13</v>
      </c>
      <c r="Q128" s="12" t="inlineStr">
        <is>
          <t>参加者数</t>
        </is>
      </c>
      <c r="R128" s="14" t="n">
        <v>30</v>
      </c>
      <c r="S128" s="10" t="n"/>
      <c r="T128" s="10" t="inlineStr">
        <is>
          <t>ホームページの更新、毎回いくら払っていますか？LP制作で30〜50万円。ちょっとした修正でも数万円。制作会社に頼むと、納品まで何週間もかかる。 Claude Codeがあれば、その費用がゼロになります。「こんなページを作って」と日本語で伝えるだけ。コードは書きません。今回は、ウェビナーの中で実際にHP・LPをライブで制作します。作り始めから完成まで、隠さずにお見せします。 ■こんなこと、ありませんか？ ・ホームページの修正を頼むたびに、</t>
        </is>
      </c>
      <c r="U128" s="15" t="inlineStr">
        <is>
          <t>https://www.kokuchpro.com/event/f9067bf78d594cc91cbf084be457f410/</t>
        </is>
      </c>
      <c r="V128" s="10" t="n"/>
      <c r="W128" s="10" t="inlineStr">
        <is>
          <t>タイトル一致</t>
        </is>
      </c>
      <c r="X128" s="10" t="n"/>
    </row>
    <row r="129">
      <c r="A129" s="10" t="n">
        <v>128</v>
      </c>
      <c r="B129" s="24" t="n">
        <v>46224</v>
      </c>
      <c r="C129" s="24" t="n">
        <v>46224</v>
      </c>
      <c r="D129" s="10">
        <f>MONTH(B129)&amp;"月"</f>
        <v/>
      </c>
      <c r="E129" s="12" t="n">
        <v>1</v>
      </c>
      <c r="F129" s="10" t="n"/>
      <c r="G129" s="10" t="inlineStr">
        <is>
          <t>7月21日(火)AndTech「AIエージェントの社会実装への道筋と材料探索・商品開発促進への応用、研究開発DX実現のための設計思想と求められる研究者・技術者像」オンラインZoomセミナーを開講予定</t>
        </is>
      </c>
      <c r="H129" s="10" t="inlineStr">
        <is>
          <t>株式会社AndTech</t>
        </is>
      </c>
      <c r="I129" s="10" t="n"/>
      <c r="J129" s="10" t="inlineStr">
        <is>
          <t>PR TIMES</t>
        </is>
      </c>
      <c r="K129" s="10" t="inlineStr">
        <is>
          <t>online</t>
        </is>
      </c>
      <c r="L129" s="10" t="inlineStr">
        <is>
          <t>オンライン（Zoom）</t>
        </is>
      </c>
      <c r="M129" s="10" t="inlineStr">
        <is>
          <t>営業・マーケ・CS</t>
        </is>
      </c>
      <c r="N129" s="10" t="inlineStr">
        <is>
          <t>AIエージェント</t>
        </is>
      </c>
      <c r="O129" s="12" t="inlineStr">
        <is>
          <t>◎</t>
        </is>
      </c>
      <c r="P129" s="13" t="n"/>
      <c r="Q129" s="12" t="inlineStr">
        <is>
          <t>不明</t>
        </is>
      </c>
      <c r="R129" s="14" t="n"/>
      <c r="S129" s="10" t="n"/>
      <c r="T129" s="10" t="inlineStr">
        <is>
          <t>株式会社AndTech（本社：神奈川県川崎市、代表取締役社長：陶山 正夫、以下 AndTech）は、R&amp;D開発支援向けZoom講座の一環として、昨今高まりを見せるAIエージェントの活用に応えるべく、第一人者の講師からなる「AIエージェント」講座を開講いたします。 生成AIの次の潮流として注目されるAIエージェントやPhysical AIの最新動向の解説にはじまり、「現場主導で進めるAIエージェント化のプロセス」、「AIエージェントと知識</t>
        </is>
      </c>
      <c r="U129" s="15" t="inlineStr">
        <is>
          <t>https://prtimes.jp/main/html/rd/p/000001651.000080053.html</t>
        </is>
      </c>
      <c r="V129" s="10" t="n"/>
      <c r="W129" s="10" t="inlineStr">
        <is>
          <t>タイトル一致</t>
        </is>
      </c>
      <c r="X129" s="10" t="n"/>
    </row>
    <row r="130">
      <c r="A130" s="10" t="n">
        <v>129</v>
      </c>
      <c r="B130" s="24" t="n">
        <v>46224</v>
      </c>
      <c r="C130" s="24" t="n">
        <v>46224</v>
      </c>
      <c r="D130" s="10">
        <f>MONTH(B130)&amp;"月"</f>
        <v/>
      </c>
      <c r="E130" s="12" t="n">
        <v>1</v>
      </c>
      <c r="F130" s="10" t="n"/>
      <c r="G130" s="10" t="inlineStr">
        <is>
          <t>AIエージェントとLLMをワイワイ話す会</t>
        </is>
      </c>
      <c r="H130" s="10" t="inlineStr">
        <is>
          <t>はんなりプログラミングの会</t>
        </is>
      </c>
      <c r="I130" s="10" t="n"/>
      <c r="J130" s="10" t="inlineStr">
        <is>
          <t>connpass</t>
        </is>
      </c>
      <c r="K130" s="10" t="inlineStr">
        <is>
          <t>オンライン</t>
        </is>
      </c>
      <c r="L130" s="10" t="inlineStr">
        <is>
          <t>オンライン</t>
        </is>
      </c>
      <c r="M130" s="10" t="inlineStr">
        <is>
          <t>開発生産性</t>
        </is>
      </c>
      <c r="N130" s="10" t="inlineStr">
        <is>
          <t>AIエージェント</t>
        </is>
      </c>
      <c r="O130" s="12" t="inlineStr">
        <is>
          <t>○</t>
        </is>
      </c>
      <c r="P130" s="13" t="n"/>
      <c r="Q130" s="12" t="inlineStr">
        <is>
          <t>不明</t>
        </is>
      </c>
      <c r="R130" s="14" t="n"/>
      <c r="S130" s="10" t="n"/>
      <c r="T130" s="10" t="n"/>
      <c r="U130" s="15" t="inlineStr">
        <is>
          <t>https://hannari-python.connpass.com/event/399828/</t>
        </is>
      </c>
      <c r="V130" s="10" t="n"/>
      <c r="W130" s="10" t="inlineStr">
        <is>
          <t>タイトル一致</t>
        </is>
      </c>
      <c r="X130" s="10" t="n"/>
    </row>
    <row r="131">
      <c r="A131" s="10" t="n">
        <v>130</v>
      </c>
      <c r="B131" s="24" t="n">
        <v>46224</v>
      </c>
      <c r="C131" s="24" t="n">
        <v>46224</v>
      </c>
      <c r="D131" s="10">
        <f>MONTH(B131)&amp;"月"</f>
        <v/>
      </c>
      <c r="E131" s="12" t="n">
        <v>1</v>
      </c>
      <c r="F131" s="10" t="n"/>
      <c r="G131" s="10" t="inlineStr">
        <is>
          <t>AIエージェント実践 Night in 東京 vol.2</t>
        </is>
      </c>
      <c r="H131" s="10" t="inlineStr">
        <is>
          <t>AIエージェント実践 Night in 東京</t>
        </is>
      </c>
      <c r="I131" s="10" t="n"/>
      <c r="J131" s="10" t="inlineStr">
        <is>
          <t>connpass</t>
        </is>
      </c>
      <c r="K131" s="10" t="inlineStr">
        <is>
          <t>会場</t>
        </is>
      </c>
      <c r="L131" s="10" t="inlineStr">
        <is>
          <t>東京都中央区八重洲二丁目２番１号（東京ミッドタウン八重洲 八重洲セントラルタワー１３階）</t>
        </is>
      </c>
      <c r="M131" s="10" t="inlineStr">
        <is>
          <t>技術・AI全般</t>
        </is>
      </c>
      <c r="N131" s="10" t="inlineStr">
        <is>
          <t>AIエージェント</t>
        </is>
      </c>
      <c r="O131" s="12" t="inlineStr">
        <is>
          <t>○</t>
        </is>
      </c>
      <c r="P131" s="13" t="n">
        <v>23</v>
      </c>
      <c r="Q131" s="12" t="inlineStr">
        <is>
          <t>参加者数</t>
        </is>
      </c>
      <c r="R131" s="14" t="n">
        <v>30</v>
      </c>
      <c r="S131" s="10" t="n"/>
      <c r="T131" s="10" t="n"/>
      <c r="U131" s="15" t="inlineStr">
        <is>
          <t>https://ai-agent-night-in-tokyo.connpass.com/event/397051/</t>
        </is>
      </c>
      <c r="V131" s="10" t="n"/>
      <c r="W131" s="10" t="inlineStr">
        <is>
          <t>タイトル一致</t>
        </is>
      </c>
      <c r="X131" s="10" t="n"/>
    </row>
    <row r="132">
      <c r="A132" s="10" t="n">
        <v>131</v>
      </c>
      <c r="B132" s="24" t="n">
        <v>46224</v>
      </c>
      <c r="C132" s="24" t="n">
        <v>46224</v>
      </c>
      <c r="D132" s="10">
        <f>MONTH(B132)&amp;"月"</f>
        <v/>
      </c>
      <c r="E132" s="12" t="n">
        <v>1</v>
      </c>
      <c r="F132" s="10" t="n"/>
      <c r="G132" s="10" t="inlineStr">
        <is>
          <t>AI時代、エンジニアは“今”何を磨くべきか。イエソド CTO（ex-ユーザベースCTO） × Facilo CTO（ex-Google/CA/SmartNews）が語る、今差がつく5つの力</t>
        </is>
      </c>
      <c r="H132" s="10" t="inlineStr">
        <is>
          <t>Facilo</t>
        </is>
      </c>
      <c r="I132" s="10" t="n"/>
      <c r="J132" s="10" t="inlineStr">
        <is>
          <t>TECH PLAY</t>
        </is>
      </c>
      <c r="K132" s="10" t="inlineStr">
        <is>
          <t>会場</t>
        </is>
      </c>
      <c r="L132" s="10" t="inlineStr">
        <is>
          <t>株式会社イエソド 東京都港区港南2丁目15-1 品川インターシティＡ棟22階 ＳＰＲＯＵＮＤ内</t>
        </is>
      </c>
      <c r="M132" s="10" t="inlineStr">
        <is>
          <t>開発生産性</t>
        </is>
      </c>
      <c r="N132" s="10" t="inlineStr">
        <is>
          <t>AIエージェント</t>
        </is>
      </c>
      <c r="O132" s="12" t="inlineStr">
        <is>
          <t>△</t>
        </is>
      </c>
      <c r="P132" s="13" t="n"/>
      <c r="Q132" s="12" t="inlineStr">
        <is>
          <t>非公開</t>
        </is>
      </c>
      <c r="R132" s="14" t="n">
        <v>20</v>
      </c>
      <c r="S132" s="10" t="n"/>
      <c r="T132" s="10" t="inlineStr">
        <is>
          <t>AI時代、エンジニアは“今”何を磨くべきか。イエソド CTO（ex-ユーザベースCTO） × Facilo CTO（ex-Google/CA/SmartNews）が語る、今差がつく5つの力 「コードを書く力」の次に求められる、課題定義・設計・検証・ドメイン理解・AIレバレッジを、2人のCTOの実例から考える90分 ■ イベント概要 AIが実装を支援する時代、エンジニアの価値は「どれだけ書けるか」だけでは測れなくなっています。問われている</t>
        </is>
      </c>
      <c r="U132" s="15" t="inlineStr">
        <is>
          <t>https://techplay.jp/event/997690</t>
        </is>
      </c>
      <c r="V132" s="10" t="n"/>
      <c r="W132" s="10" t="inlineStr">
        <is>
          <t>本文一致</t>
        </is>
      </c>
      <c r="X132" s="10" t="n"/>
    </row>
    <row r="133">
      <c r="A133" s="10" t="n">
        <v>132</v>
      </c>
      <c r="B133" s="24" t="n">
        <v>46224</v>
      </c>
      <c r="C133" s="24" t="n">
        <v>46224</v>
      </c>
      <c r="D133" s="10">
        <f>MONTH(B133)&amp;"月"</f>
        <v/>
      </c>
      <c r="E133" s="12" t="n">
        <v>1</v>
      </c>
      <c r="F133" s="10" t="n"/>
      <c r="G133" s="10" t="inlineStr">
        <is>
          <t>AI時代のPlaywright活用 〜現場の課題と意思決定〜</t>
        </is>
      </c>
      <c r="H133" s="10" t="inlineStr">
        <is>
          <t>Findy/ファインディ</t>
        </is>
      </c>
      <c r="I133" s="10" t="n"/>
      <c r="J133" s="10" t="inlineStr">
        <is>
          <t>TECH PLAY</t>
        </is>
      </c>
      <c r="K133" s="10" t="inlineStr">
        <is>
          <t>オンライン</t>
        </is>
      </c>
      <c r="L133" s="10" t="n"/>
      <c r="M133" s="10" t="inlineStr">
        <is>
          <t>開発生産性</t>
        </is>
      </c>
      <c r="N133" s="10" t="inlineStr">
        <is>
          <t>AIエージェント</t>
        </is>
      </c>
      <c r="O133" s="12" t="inlineStr">
        <is>
          <t>△</t>
        </is>
      </c>
      <c r="P133" s="13" t="n">
        <v>73</v>
      </c>
      <c r="Q133" s="12" t="inlineStr">
        <is>
          <t>申込者数</t>
        </is>
      </c>
      <c r="R133" s="14" t="n">
        <v>100</v>
      </c>
      <c r="S133" s="10" t="n"/>
      <c r="T133" s="10" t="inlineStr">
        <is>
          <t>✍️イベント概要 近年、Playwright AgentsやPlaywright CLI、AIテストツールなど、E2EテストにおけるAI活用が急速に進んでいます。一方で、「どのように使い分けるべきか」「実際の現場ではどのように活用されているのか」と気になっている方も多いのではないでしょうか。 本イベントでは、「AI時代のPlaywright活用」をテーマに、PlaywrightやAIツールを実際に活用・検証したエンジニアが、それぞれの実</t>
        </is>
      </c>
      <c r="U133" s="15" t="inlineStr">
        <is>
          <t>https://techplay.jp/event/997723</t>
        </is>
      </c>
      <c r="V133" s="10" t="n"/>
      <c r="W133" s="10" t="inlineStr">
        <is>
          <t>本文一致</t>
        </is>
      </c>
      <c r="X133" s="10" t="n"/>
    </row>
    <row r="134">
      <c r="A134" s="10" t="n">
        <v>133</v>
      </c>
      <c r="B134" s="24" t="n">
        <v>46224</v>
      </c>
      <c r="C134" s="24" t="n">
        <v>46224</v>
      </c>
      <c r="D134" s="10">
        <f>MONTH(B134)&amp;"月"</f>
        <v/>
      </c>
      <c r="E134" s="12" t="n">
        <v>1</v>
      </c>
      <c r="F134" s="10" t="n"/>
      <c r="G134" s="10" t="inlineStr">
        <is>
          <t>Claude Code時代の「職能越境」を支える、環境構築とワークフロー設計</t>
        </is>
      </c>
      <c r="H134" s="10" t="inlineStr">
        <is>
          <t>レバテックLAB</t>
        </is>
      </c>
      <c r="I134" s="10" t="n"/>
      <c r="J134" s="10" t="inlineStr">
        <is>
          <t>connpass</t>
        </is>
      </c>
      <c r="K134" s="10" t="inlineStr">
        <is>
          <t>オンライン</t>
        </is>
      </c>
      <c r="L134" s="10" t="inlineStr">
        <is>
          <t>オンライン</t>
        </is>
      </c>
      <c r="M134" s="10" t="inlineStr">
        <is>
          <t>開発生産性</t>
        </is>
      </c>
      <c r="N134" s="10" t="inlineStr">
        <is>
          <t>AIエージェント</t>
        </is>
      </c>
      <c r="O134" s="12" t="inlineStr">
        <is>
          <t>○</t>
        </is>
      </c>
      <c r="P134" s="13" t="n">
        <v>197</v>
      </c>
      <c r="Q134" s="12" t="inlineStr">
        <is>
          <t>参加者数</t>
        </is>
      </c>
      <c r="R134" s="14" t="n"/>
      <c r="S134" s="10" t="n"/>
      <c r="T134" s="10" t="n"/>
      <c r="U134" s="15" t="inlineStr">
        <is>
          <t>https://levtechlab.connpass.com/event/396162/</t>
        </is>
      </c>
      <c r="V134" s="10" t="n"/>
      <c r="W134" s="10" t="inlineStr">
        <is>
          <t>タイトル一致</t>
        </is>
      </c>
      <c r="X134" s="10" t="n"/>
    </row>
    <row r="135">
      <c r="A135" s="10" t="n">
        <v>134</v>
      </c>
      <c r="B135" s="24" t="n">
        <v>46224</v>
      </c>
      <c r="C135" s="24" t="n">
        <v>46253</v>
      </c>
      <c r="D135" s="10">
        <f>MONTH(B135)&amp;"月"</f>
        <v/>
      </c>
      <c r="E135" s="12" t="n">
        <v>2</v>
      </c>
      <c r="F135" s="10" t="inlineStr">
        <is>
          <t>07/21、08/19</t>
        </is>
      </c>
      <c r="G135" s="10" t="inlineStr">
        <is>
          <t>Syncable Tech#2 AI時代のプロトタイピングと価値検証 ― 実践事例から学ぶ高速プロダクト開発</t>
        </is>
      </c>
      <c r="H135" s="10" t="inlineStr">
        <is>
          <t>Syncable Tech｜株式会社STYZ</t>
        </is>
      </c>
      <c r="I135" s="10" t="n"/>
      <c r="J135" s="10" t="inlineStr">
        <is>
          <t>TECH PLAY</t>
        </is>
      </c>
      <c r="K135" s="10" t="inlineStr">
        <is>
          <t>オンライン</t>
        </is>
      </c>
      <c r="L135" s="10" t="n"/>
      <c r="M135" s="10" t="inlineStr">
        <is>
          <t>営業・マーケ・CS</t>
        </is>
      </c>
      <c r="N135" s="10" t="inlineStr">
        <is>
          <t>AIエージェント</t>
        </is>
      </c>
      <c r="O135" s="12" t="inlineStr">
        <is>
          <t>○</t>
        </is>
      </c>
      <c r="P135" s="13" t="n">
        <v>13</v>
      </c>
      <c r="Q135" s="12" t="inlineStr">
        <is>
          <t>申込者数</t>
        </is>
      </c>
      <c r="R135" s="14" t="n">
        <v>40</v>
      </c>
      <c r="S135" s="10" t="inlineStr">
        <is>
          <t>全2回の合計</t>
        </is>
      </c>
      <c r="T135" s="10" t="inlineStr">
        <is>
          <t>イベント概要 小規模なチームでの開発現場における“等身大の試行錯誤”をテーマに、今回はAIを活用したプロダクトの価値検証にフォーカスします。 AI（Claude Code、v0、Vercelなど）を活用し、どのようにプロトタイピングや仮説検証に活用したのか。2つの事例を通してご紹介します。 ※特定ツールの使い方を解説するイベントではなく、AIを活用した開発・価値検証のプロセスや実践知を共有する内容です。 メイントークでは、プロダクトマネ</t>
        </is>
      </c>
      <c r="U135" s="15" t="inlineStr">
        <is>
          <t>https://techplay.jp/event/998088</t>
        </is>
      </c>
      <c r="V135" s="10" t="n"/>
      <c r="W135" s="10" t="inlineStr">
        <is>
          <t>本文一致</t>
        </is>
      </c>
      <c r="X135" s="10" t="n"/>
    </row>
    <row r="136">
      <c r="A136" s="10" t="n">
        <v>135</v>
      </c>
      <c r="B136" s="24" t="n">
        <v>46224</v>
      </c>
      <c r="C136" s="24" t="n">
        <v>46224</v>
      </c>
      <c r="D136" s="10">
        <f>MONTH(B136)&amp;"月"</f>
        <v/>
      </c>
      <c r="E136" s="12" t="n">
        <v>1</v>
      </c>
      <c r="F136" s="10" t="n"/>
      <c r="G136" s="10" t="inlineStr">
        <is>
          <t>「金融機能を組み込む」だけでは終わらない — AIエージェント時代の新規事業と業務自動化</t>
        </is>
      </c>
      <c r="H136" s="10" t="inlineStr">
        <is>
          <t>GMOインターネットグループ</t>
        </is>
      </c>
      <c r="I136" s="10" t="n"/>
      <c r="J136" s="10" t="inlineStr">
        <is>
          <t>connpass</t>
        </is>
      </c>
      <c r="K136" s="10" t="inlineStr">
        <is>
          <t>会場</t>
        </is>
      </c>
      <c r="L136" s="10" t="inlineStr">
        <is>
          <t>東京都渋谷区道玄坂1-2-3 渋谷フクラス</t>
        </is>
      </c>
      <c r="M136" s="10" t="inlineStr">
        <is>
          <t>生産性向上・業務効率化</t>
        </is>
      </c>
      <c r="N136" s="10" t="inlineStr">
        <is>
          <t>AIエージェント</t>
        </is>
      </c>
      <c r="O136" s="12" t="inlineStr">
        <is>
          <t>◎</t>
        </is>
      </c>
      <c r="P136" s="13" t="n">
        <v>47</v>
      </c>
      <c r="Q136" s="12" t="inlineStr">
        <is>
          <t>参加者数</t>
        </is>
      </c>
      <c r="R136" s="14" t="n">
        <v>80</v>
      </c>
      <c r="S136" s="10" t="n"/>
      <c r="T136" s="10" t="n"/>
      <c r="U136" s="15" t="inlineStr">
        <is>
          <t>https://gmo.connpass.com/event/397434/</t>
        </is>
      </c>
      <c r="V136" s="10" t="n"/>
      <c r="W136" s="10" t="inlineStr">
        <is>
          <t>タイトル一致</t>
        </is>
      </c>
      <c r="X136" s="10" t="n"/>
    </row>
    <row r="137">
      <c r="A137" s="10" t="n">
        <v>136</v>
      </c>
      <c r="B137" s="24" t="n">
        <v>46224</v>
      </c>
      <c r="C137" s="24" t="n">
        <v>46224</v>
      </c>
      <c r="D137" s="10">
        <f>MONTH(B137)&amp;"月"</f>
        <v/>
      </c>
      <c r="E137" s="12" t="n">
        <v>1</v>
      </c>
      <c r="F137" s="10" t="n"/>
      <c r="G137" s="10" t="inlineStr">
        <is>
          <t>【エキスパート講座】人に教えるのは、やめました！あなたの『Claude Code』がEC施策を学び 何度でも再現できるようにする2日間（2日間講座）</t>
        </is>
      </c>
      <c r="H137" s="10" t="inlineStr">
        <is>
          <t>一般社団法人ウェブ解析士協会 講座企画運営部（担当：沖本一生）</t>
        </is>
      </c>
      <c r="I137" s="10" t="n"/>
      <c r="J137" s="10" t="inlineStr">
        <is>
          <t>Doorkeeper</t>
        </is>
      </c>
      <c r="K137" s="10" t="inlineStr">
        <is>
          <t>不明</t>
        </is>
      </c>
      <c r="L137" s="10" t="n"/>
      <c r="M137" s="10" t="inlineStr">
        <is>
          <t>営業・マーケ・CS</t>
        </is>
      </c>
      <c r="N137" s="10" t="inlineStr">
        <is>
          <t>AIエージェント</t>
        </is>
      </c>
      <c r="O137" s="12" t="inlineStr">
        <is>
          <t>◎</t>
        </is>
      </c>
      <c r="P137" s="13" t="n">
        <v>0</v>
      </c>
      <c r="Q137" s="12" t="inlineStr">
        <is>
          <t>参加者数</t>
        </is>
      </c>
      <c r="R137" s="14" t="n"/>
      <c r="S137" s="10" t="n"/>
      <c r="T137" s="10" t="inlineStr">
        <is>
          <t xml:space="preserve"> 講座概要 こちらの講座は、7/21（火）20:00～21:30、8/4（火）20:00～21:30 の２日間講座となります。 あなたが学ぶと、やることが増える。『Claude Code』が学ぶと、何度でもやってくれる—— だから、この講座は人が学ぶ講座ではありません。あなたのClaude Codeが「売上を伸ばす作業」を自分でできるようになる講座です。 思い当たりませんか？ 学ぶたびに「何を直せば売れるのか」は分かる。でも、数字の計測</t>
        </is>
      </c>
      <c r="U137" s="15" t="inlineStr">
        <is>
          <t>https://web-mining.doorkeeper.jp/events/198127</t>
        </is>
      </c>
      <c r="V137" s="10" t="n"/>
      <c r="W137" s="10" t="inlineStr">
        <is>
          <t>タイトル一致</t>
        </is>
      </c>
      <c r="X137" s="10" t="n"/>
    </row>
    <row r="138">
      <c r="A138" s="10" t="n">
        <v>137</v>
      </c>
      <c r="B138" s="24" t="n">
        <v>46224</v>
      </c>
      <c r="C138" s="24" t="n">
        <v>46224</v>
      </c>
      <c r="D138" s="10">
        <f>MONTH(B138)&amp;"月"</f>
        <v/>
      </c>
      <c r="E138" s="12" t="n">
        <v>1</v>
      </c>
      <c r="F138" s="10" t="n"/>
      <c r="G138" s="10" t="inlineStr">
        <is>
          <t>【オンライン開催】Google Antigravity（Googleアンチグラビティ）ハンズオン</t>
        </is>
      </c>
      <c r="H138" s="10" t="inlineStr">
        <is>
          <t>tecHub</t>
        </is>
      </c>
      <c r="I138" s="10" t="n"/>
      <c r="J138" s="10" t="inlineStr">
        <is>
          <t>TECH PLAY</t>
        </is>
      </c>
      <c r="K138" s="10" t="inlineStr">
        <is>
          <t>オンライン</t>
        </is>
      </c>
      <c r="L138" s="10" t="n"/>
      <c r="M138" s="10" t="inlineStr">
        <is>
          <t>生産性向上・業務効率化</t>
        </is>
      </c>
      <c r="N138" s="10" t="inlineStr">
        <is>
          <t>AIエージェント</t>
        </is>
      </c>
      <c r="O138" s="12" t="inlineStr">
        <is>
          <t>○</t>
        </is>
      </c>
      <c r="P138" s="13" t="n">
        <v>3</v>
      </c>
      <c r="Q138" s="12" t="inlineStr">
        <is>
          <t>申込者数</t>
        </is>
      </c>
      <c r="R138" s="14" t="n">
        <v>10</v>
      </c>
      <c r="S138" s="10" t="n"/>
      <c r="T138" s="10" t="inlineStr">
        <is>
          <t>📌 概要 AIの進化により、開発スタイルが大きく変わりつつあります。 本イベントでは、いま話題の Google Antigravity（Googleアンチグラビティ） をテーマに、実際に手を動かしながら学べるハンズオンを開催します。 前回ご好評いただいた「Claude Code勉強会」に続く企画です。 「Google Antigravityを触ってみたい」 「AIエージェントに関心がある」 という方に向けた実践的な内容です。 Googl</t>
        </is>
      </c>
      <c r="U138" s="15" t="inlineStr">
        <is>
          <t>https://techplay.jp/event/998425</t>
        </is>
      </c>
      <c r="V138" s="10" t="n"/>
      <c r="W138" s="10" t="inlineStr">
        <is>
          <t>本文一致</t>
        </is>
      </c>
      <c r="X138" s="10" t="n"/>
    </row>
    <row r="139">
      <c r="A139" s="10" t="n">
        <v>138</v>
      </c>
      <c r="B139" s="24" t="n">
        <v>46224</v>
      </c>
      <c r="C139" s="24" t="n">
        <v>46224</v>
      </c>
      <c r="D139" s="10">
        <f>MONTH(B139)&amp;"月"</f>
        <v/>
      </c>
      <c r="E139" s="12" t="n">
        <v>1</v>
      </c>
      <c r="F139" s="10" t="n"/>
      <c r="G139" s="10" t="inlineStr">
        <is>
          <t>石川県主催「AIエージェント時代の企業DXセミナー」を金沢で開催</t>
        </is>
      </c>
      <c r="H139" s="10" t="inlineStr">
        <is>
          <t>石川県</t>
        </is>
      </c>
      <c r="I139" s="10" t="n"/>
      <c r="J139" s="10" t="inlineStr">
        <is>
          <t>PR TIMES</t>
        </is>
      </c>
      <c r="K139" s="10" t="inlineStr">
        <is>
          <t>offline</t>
        </is>
      </c>
      <c r="L139" s="10" t="inlineStr">
        <is>
          <t>金沢クルーズターミナル セミナールーム</t>
        </is>
      </c>
      <c r="M139" s="10" t="inlineStr">
        <is>
          <t>生産性向上・業務効率化</t>
        </is>
      </c>
      <c r="N139" s="10" t="inlineStr">
        <is>
          <t>AIエージェント</t>
        </is>
      </c>
      <c r="O139" s="12" t="inlineStr">
        <is>
          <t>◎</t>
        </is>
      </c>
      <c r="P139" s="13" t="n"/>
      <c r="Q139" s="12" t="inlineStr">
        <is>
          <t>定員</t>
        </is>
      </c>
      <c r="R139" s="14" t="n">
        <v>30</v>
      </c>
      <c r="S139" s="10" t="n"/>
      <c r="T139" s="10" t="inlineStr">
        <is>
          <t>株式会社ノーコードソリューションズ（代表取締役社長：仙入 功樹）は、2026年7月21日（火）に石川県主催で開催される 「AIエージェント時代の企業DXセミナー ～Claude Codeの実画面デモで学ぶ実務活用～」 に講師として登壇します。生成AIの「次」のフェーズとして注目されるAIエージェント型ツール「Claude Code」の実際の操作画面を公開し、単なる機能紹介にとどまらず、企業のDX推進・業務改善にどう直結するのかを、京都大</t>
        </is>
      </c>
      <c r="U139" s="15" t="inlineStr">
        <is>
          <t>https://prtimes.jp/main/html/rd/p/000000007.000179817.html</t>
        </is>
      </c>
      <c r="V139" s="10" t="n"/>
      <c r="W139" s="10" t="inlineStr">
        <is>
          <t>タイトル一致</t>
        </is>
      </c>
      <c r="X139" s="10" t="n"/>
    </row>
    <row r="140">
      <c r="A140" s="10" t="n">
        <v>139</v>
      </c>
      <c r="B140" s="24" t="n">
        <v>46225</v>
      </c>
      <c r="C140" s="24" t="n">
        <v>46268</v>
      </c>
      <c r="D140" s="10">
        <f>MONTH(B140)&amp;"月"</f>
        <v/>
      </c>
      <c r="E140" s="12" t="n">
        <v>2</v>
      </c>
      <c r="F140" s="10" t="inlineStr">
        <is>
          <t>07/22、09/03</t>
        </is>
      </c>
      <c r="G140" s="10" t="inlineStr">
        <is>
          <t>7/22(水)開催　【GA4セミナー】初心者でもGoogleアナリティクスの見方が分かる（動画配信）</t>
        </is>
      </c>
      <c r="H140" s="10" t="inlineStr">
        <is>
          <t>株式会社 バリューエージェント</t>
        </is>
      </c>
      <c r="I140" s="10" t="n"/>
      <c r="J140" s="10" t="inlineStr">
        <is>
          <t>TECH PLAY</t>
        </is>
      </c>
      <c r="K140" s="10" t="inlineStr">
        <is>
          <t>オンライン</t>
        </is>
      </c>
      <c r="L140" s="10" t="n"/>
      <c r="M140" s="10" t="inlineStr">
        <is>
          <t>営業・マーケ・CS</t>
        </is>
      </c>
      <c r="N140" s="10" t="inlineStr">
        <is>
          <t>AIエージェント</t>
        </is>
      </c>
      <c r="O140" s="12" t="inlineStr">
        <is>
          <t>○</t>
        </is>
      </c>
      <c r="P140" s="13" t="n">
        <v>4</v>
      </c>
      <c r="Q140" s="12" t="inlineStr">
        <is>
          <t>申込者数</t>
        </is>
      </c>
      <c r="R140" s="14" t="n">
        <v>60</v>
      </c>
      <c r="S140" s="10" t="inlineStr">
        <is>
          <t>全2回の合計</t>
        </is>
      </c>
      <c r="T140" s="10" t="inlineStr">
        <is>
          <t>【GA4セミナー】初心者でもGoogleアナリティクスの見方が分かる（動画配信） 「Googleアナリティクス（GA4）の見方が分からない！」 「解析のレポートを見たりはしているが、具体的にどこをどう見たら良いのか分からない！」 Webマーケティングのバリューエージェントでは、「**Googleアナリティクス（GA4)初心者向けセミナー」**を開催することになりました。 今回の「【GA4セミナー】初心者でもGoogleアナリティクスの見</t>
        </is>
      </c>
      <c r="U140" s="15" t="inlineStr">
        <is>
          <t>https://techplay.jp/event/997804</t>
        </is>
      </c>
      <c r="V140" s="10" t="n"/>
      <c r="W140" s="10" t="inlineStr">
        <is>
          <t>本文一致</t>
        </is>
      </c>
      <c r="X140" s="10" t="n"/>
    </row>
    <row r="141">
      <c r="A141" s="10" t="n">
        <v>140</v>
      </c>
      <c r="B141" s="24" t="n">
        <v>46225</v>
      </c>
      <c r="C141" s="24" t="n">
        <v>46225</v>
      </c>
      <c r="D141" s="10">
        <f>MONTH(B141)&amp;"月"</f>
        <v/>
      </c>
      <c r="E141" s="12" t="n">
        <v>1</v>
      </c>
      <c r="F141" s="10" t="n"/>
      <c r="G141" s="10" t="inlineStr">
        <is>
          <t>Claude Code 業務自動化セミナー/個人事業主・経営者向け</t>
        </is>
      </c>
      <c r="H141" s="10" t="inlineStr">
        <is>
          <t>ブートキャンプ</t>
        </is>
      </c>
      <c r="I141" s="10" t="n"/>
      <c r="J141" s="10" t="inlineStr">
        <is>
          <t>こくちーずプロ</t>
        </is>
      </c>
      <c r="K141" s="10" t="inlineStr">
        <is>
          <t>オンライン</t>
        </is>
      </c>
      <c r="L141" s="10" t="inlineStr">
        <is>
          <t>オンライン 日本</t>
        </is>
      </c>
      <c r="M141" s="10" t="inlineStr">
        <is>
          <t>生産性向上・業務効率化</t>
        </is>
      </c>
      <c r="N141" s="10" t="inlineStr">
        <is>
          <t>AIエージェント</t>
        </is>
      </c>
      <c r="O141" s="12" t="inlineStr">
        <is>
          <t>◎</t>
        </is>
      </c>
      <c r="P141" s="13" t="n">
        <v>6</v>
      </c>
      <c r="Q141" s="12" t="inlineStr">
        <is>
          <t>参加者数</t>
        </is>
      </c>
      <c r="R141" s="14" t="n">
        <v>30</v>
      </c>
      <c r="S141" s="10" t="n"/>
      <c r="T141" s="10" t="inlineStr">
        <is>
          <t>事務作業に追われる経営を、今日で終わりにする。 請求書、売上集計、顧客フォロー、毎朝のレポート—— 「自分がやるしかなかった仕事」を、AIがすべて肩代わりします。 パソコンが勝手に動き出し、請求書が作られ、売上がまとまり、レポートが仕上がっていく。 人を雇うでもなく、外注するでもない、 第三の選択肢 を、60分のライブ実演でお見せします。 ▶ 無料で参加する （登録は1分で完了します） 導入：あなたの時給が、いちばん高い。 参加無料 /</t>
        </is>
      </c>
      <c r="U141" s="15" t="inlineStr">
        <is>
          <t>https://www.kokuchpro.com/event/c9084aa27288575e1ab9236f36a0cf69/3841475/</t>
        </is>
      </c>
      <c r="V141" s="10" t="n"/>
      <c r="W141" s="10" t="inlineStr">
        <is>
          <t>タイトル一致</t>
        </is>
      </c>
      <c r="X141" s="10" t="n"/>
    </row>
    <row r="142">
      <c r="A142" s="10" t="n">
        <v>141</v>
      </c>
      <c r="B142" s="24" t="n">
        <v>46225</v>
      </c>
      <c r="C142" s="24" t="n">
        <v>46260</v>
      </c>
      <c r="D142" s="10">
        <f>MONTH(B142)&amp;"月"</f>
        <v/>
      </c>
      <c r="E142" s="12" t="n">
        <v>2</v>
      </c>
      <c r="F142" s="10" t="inlineStr">
        <is>
          <t>07/22、08/26</t>
        </is>
      </c>
      <c r="G142" s="10" t="inlineStr">
        <is>
          <t>ClaudeCodeやCodexなどのAI tipsの共有会 Next AI Synergy #12</t>
        </is>
      </c>
      <c r="H142" s="10" t="inlineStr">
        <is>
          <t>NextFreelance</t>
        </is>
      </c>
      <c r="I142" s="10" t="n"/>
      <c r="J142" s="10" t="inlineStr">
        <is>
          <t>connpass</t>
        </is>
      </c>
      <c r="K142" s="10" t="inlineStr">
        <is>
          <t>会場</t>
        </is>
      </c>
      <c r="L142" s="10" t="inlineStr">
        <is>
          <t>東京都港区芝4-11-5 田町ハラビル 8階</t>
        </is>
      </c>
      <c r="M142" s="10" t="inlineStr">
        <is>
          <t>営業・マーケ・CS</t>
        </is>
      </c>
      <c r="N142" s="10" t="inlineStr">
        <is>
          <t>AIエージェント</t>
        </is>
      </c>
      <c r="O142" s="12" t="inlineStr">
        <is>
          <t>◎</t>
        </is>
      </c>
      <c r="P142" s="13" t="n">
        <v>36</v>
      </c>
      <c r="Q142" s="12" t="inlineStr">
        <is>
          <t>参加者数</t>
        </is>
      </c>
      <c r="R142" s="14" t="n"/>
      <c r="S142" s="10" t="inlineStr">
        <is>
          <t>全2回の合計</t>
        </is>
      </c>
      <c r="T142" s="10" t="n"/>
      <c r="U142" s="15" t="inlineStr">
        <is>
          <t>https://nextfreelance.connpass.com/event/398486/</t>
        </is>
      </c>
      <c r="V142" s="10" t="n"/>
      <c r="W142" s="10" t="inlineStr">
        <is>
          <t>タイトル一致</t>
        </is>
      </c>
      <c r="X142" s="10" t="n"/>
    </row>
    <row r="143">
      <c r="A143" s="10" t="n">
        <v>142</v>
      </c>
      <c r="B143" s="24" t="n">
        <v>46225</v>
      </c>
      <c r="C143" s="24" t="n">
        <v>46225</v>
      </c>
      <c r="D143" s="10">
        <f>MONTH(B143)&amp;"月"</f>
        <v/>
      </c>
      <c r="E143" s="12" t="n">
        <v>1</v>
      </c>
      <c r="F143" s="10" t="n"/>
      <c r="G143" s="10" t="inlineStr">
        <is>
          <t>LLMのふるまいを理解して、AIを"使いこなす"ITエンジニアになるために!!「RAGでLLMの特性を理解しよう」</t>
        </is>
      </c>
      <c r="H143" s="10" t="inlineStr">
        <is>
          <t>PE-BANK</t>
        </is>
      </c>
      <c r="I143" s="10" t="n"/>
      <c r="J143" s="10" t="inlineStr">
        <is>
          <t>TECH PLAY</t>
        </is>
      </c>
      <c r="K143" s="10" t="inlineStr">
        <is>
          <t>オンライン</t>
        </is>
      </c>
      <c r="L143" s="10" t="n"/>
      <c r="M143" s="10" t="inlineStr">
        <is>
          <t>開発生産性</t>
        </is>
      </c>
      <c r="N143" s="10" t="inlineStr">
        <is>
          <t>AIエージェント</t>
        </is>
      </c>
      <c r="O143" s="12" t="inlineStr">
        <is>
          <t>△</t>
        </is>
      </c>
      <c r="P143" s="13" t="n"/>
      <c r="Q143" s="12" t="inlineStr">
        <is>
          <t>非公開</t>
        </is>
      </c>
      <c r="R143" s="14" t="n">
        <v>100</v>
      </c>
      <c r="S143" s="10" t="n"/>
      <c r="T143" s="10" t="inlineStr">
        <is>
          <t>イベントテーマ LLMのふるまいを理解して、AIを"使いこなす"ITエンジニアになるために!! 「RAGでLLMの特性を理解しよう」 RAG（検索拡張生成）は、LLMに外部知識を与える仕組みであると同時に、LLMの特性を理解する格好の題材です。 本セミナーでは、自作のRAGアプリを実演しながら、「Context Window」、「In-Context Learning（ICL）」、「Chain of Thought（CoT）」、「Age</t>
        </is>
      </c>
      <c r="U143" s="15" t="inlineStr">
        <is>
          <t>https://techplay.jp/event/997646</t>
        </is>
      </c>
      <c r="V143" s="10" t="n"/>
      <c r="W143" s="10" t="inlineStr">
        <is>
          <t>本文一致</t>
        </is>
      </c>
      <c r="X143" s="10" t="n"/>
    </row>
    <row r="144">
      <c r="A144" s="10" t="n">
        <v>143</v>
      </c>
      <c r="B144" s="24" t="n">
        <v>46225</v>
      </c>
      <c r="C144" s="24" t="n">
        <v>46225</v>
      </c>
      <c r="D144" s="10">
        <f>MONTH(B144)&amp;"月"</f>
        <v/>
      </c>
      <c r="E144" s="12" t="n">
        <v>1</v>
      </c>
      <c r="F144" s="10" t="n"/>
      <c r="G144" s="10" t="inlineStr">
        <is>
          <t>『モデル + ハーネス』で読み解く AIエージェント入門</t>
        </is>
      </c>
      <c r="H144" s="10" t="inlineStr">
        <is>
          <t>Oracle Code Night</t>
        </is>
      </c>
      <c r="I144" s="10" t="n"/>
      <c r="J144" s="10" t="inlineStr">
        <is>
          <t>connpass</t>
        </is>
      </c>
      <c r="K144" s="10" t="inlineStr">
        <is>
          <t>オンライン</t>
        </is>
      </c>
      <c r="L144" s="10" t="inlineStr">
        <is>
          <t>オンライン</t>
        </is>
      </c>
      <c r="M144" s="10" t="inlineStr">
        <is>
          <t>技術・AI全般</t>
        </is>
      </c>
      <c r="N144" s="10" t="inlineStr">
        <is>
          <t>AIエージェント</t>
        </is>
      </c>
      <c r="O144" s="12" t="inlineStr">
        <is>
          <t>○</t>
        </is>
      </c>
      <c r="P144" s="13" t="n">
        <v>55</v>
      </c>
      <c r="Q144" s="12" t="inlineStr">
        <is>
          <t>参加者数</t>
        </is>
      </c>
      <c r="R144" s="14" t="n"/>
      <c r="S144" s="10" t="n"/>
      <c r="T144" s="10" t="n"/>
      <c r="U144" s="15" t="inlineStr">
        <is>
          <t>https://oracle-code-tokyo-dev.connpass.com/event/396910/</t>
        </is>
      </c>
      <c r="V144" s="10" t="n"/>
      <c r="W144" s="10" t="inlineStr">
        <is>
          <t>タイトル一致</t>
        </is>
      </c>
      <c r="X144" s="10" t="n"/>
    </row>
    <row r="145">
      <c r="A145" s="10" t="n">
        <v>144</v>
      </c>
      <c r="B145" s="24" t="n">
        <v>46225</v>
      </c>
      <c r="C145" s="24" t="n">
        <v>46225</v>
      </c>
      <c r="D145" s="10">
        <f>MONTH(B145)&amp;"月"</f>
        <v/>
      </c>
      <c r="E145" s="12" t="n">
        <v>1</v>
      </c>
      <c r="F145" s="10" t="n"/>
      <c r="G145" s="10" t="inlineStr">
        <is>
          <t>【7/22（水）開催】AI推進の進め方、決まっていますか？Dataikuで学ぶAIエージェント体験会</t>
        </is>
      </c>
      <c r="H145" s="10" t="inlineStr">
        <is>
          <t>keywalker</t>
        </is>
      </c>
      <c r="I145" s="10" t="n"/>
      <c r="J145" s="10" t="inlineStr">
        <is>
          <t>TECH PLAY</t>
        </is>
      </c>
      <c r="K145" s="10" t="inlineStr">
        <is>
          <t>オンライン</t>
        </is>
      </c>
      <c r="L145" s="10" t="n"/>
      <c r="M145" s="10" t="inlineStr">
        <is>
          <t>生産性向上・業務効率化</t>
        </is>
      </c>
      <c r="N145" s="10" t="inlineStr">
        <is>
          <t>AIエージェント</t>
        </is>
      </c>
      <c r="O145" s="12" t="inlineStr">
        <is>
          <t>◎</t>
        </is>
      </c>
      <c r="P145" s="13" t="n"/>
      <c r="Q145" s="12" t="inlineStr">
        <is>
          <t>非公開</t>
        </is>
      </c>
      <c r="R145" s="14" t="n">
        <v>20</v>
      </c>
      <c r="S145" s="10" t="n"/>
      <c r="T145" s="10" t="inlineStr">
        <is>
          <t>イベント概要 AI活用に課題を持つマネージャーの皆様へ、実践的な解決策をご紹介します！ 最新のAIプラットフォーム Dataiku を活用して、 ノーコードでAIエージェントを構築する方法を学ぶセミナーを開催いたします！ ✅ AIを業務に導入したいが、具体的な手順がわからない ✅ 技術的なハードルを感じているが、実際にAI開発の流れを知りたい ✅ ノーコードでAIエージェント開発の全体像を理解したい ✅ データ活用やAI活用体制の構築方</t>
        </is>
      </c>
      <c r="U145" s="15" t="inlineStr">
        <is>
          <t>https://techplay.jp/event/997382</t>
        </is>
      </c>
      <c r="V145" s="10" t="n"/>
      <c r="W145" s="10" t="inlineStr">
        <is>
          <t>タイトル一致</t>
        </is>
      </c>
      <c r="X145" s="10" t="n"/>
    </row>
    <row r="146">
      <c r="A146" s="10" t="n">
        <v>145</v>
      </c>
      <c r="B146" s="24" t="n">
        <v>46225</v>
      </c>
      <c r="C146" s="24" t="n">
        <v>46225</v>
      </c>
      <c r="D146" s="10">
        <f>MONTH(B146)&amp;"月"</f>
        <v/>
      </c>
      <c r="E146" s="12" t="n">
        <v>1</v>
      </c>
      <c r="F146" s="10" t="n"/>
      <c r="G146" s="10" t="inlineStr">
        <is>
          <t>【7月22日（水）無料オンラインセミナー】 AIエージェントで変わる、これからの開発と運用</t>
        </is>
      </c>
      <c r="H146" s="10" t="inlineStr">
        <is>
          <t>Ragate株式会社、ＡＲアドバンストテクノロジ株式会社</t>
        </is>
      </c>
      <c r="I146" s="10" t="n"/>
      <c r="J146" s="10" t="inlineStr">
        <is>
          <t>PR TIMES</t>
        </is>
      </c>
      <c r="K146" s="10" t="inlineStr">
        <is>
          <t>online</t>
        </is>
      </c>
      <c r="L146" s="10" t="inlineStr">
        <is>
          <t>オンライン（Zoom）</t>
        </is>
      </c>
      <c r="M146" s="10" t="inlineStr">
        <is>
          <t>開発生産性</t>
        </is>
      </c>
      <c r="N146" s="10" t="inlineStr">
        <is>
          <t>AIエージェント</t>
        </is>
      </c>
      <c r="O146" s="12" t="inlineStr">
        <is>
          <t>○</t>
        </is>
      </c>
      <c r="P146" s="13" t="n"/>
      <c r="Q146" s="12" t="inlineStr">
        <is>
          <t>不明</t>
        </is>
      </c>
      <c r="R146" s="14" t="n"/>
      <c r="S146" s="10" t="n"/>
      <c r="T146" s="10" t="inlineStr">
        <is>
          <t>ＡＲアドバンストテクノロジ株式会社（本社：東京都渋谷区、代表取締役社長：武内 寿憲、以下ARI）は、Ragate株式会社（以下Ragate）と共催で、2026年7月22日（水）、無料Webセミナー「AIエージェントで変わる、これからの開発と運用〜SI・事業会社が今取り組むべきAI変革（AX）戦略〜」を開催いたします。 AIエージェントの登場により、ソフトウェア開発の現場は急速に変わりつつあります。コードの自動生成にとどまらず、設計・レビ</t>
        </is>
      </c>
      <c r="U146" s="15" t="inlineStr">
        <is>
          <t>https://prtimes.jp/main/html/rd/p/000000126.000066765.html</t>
        </is>
      </c>
      <c r="V146" s="10" t="n"/>
      <c r="W146" s="10" t="inlineStr">
        <is>
          <t>タイトル一致</t>
        </is>
      </c>
      <c r="X146" s="10" t="n"/>
    </row>
    <row r="147">
      <c r="A147" s="10" t="n">
        <v>146</v>
      </c>
      <c r="B147" s="24" t="n">
        <v>46225</v>
      </c>
      <c r="C147" s="24" t="n">
        <v>46225</v>
      </c>
      <c r="D147" s="10">
        <f>MONTH(B147)&amp;"月"</f>
        <v/>
      </c>
      <c r="E147" s="12" t="n">
        <v>1</v>
      </c>
      <c r="F147" s="10" t="n"/>
      <c r="G147" s="10" t="inlineStr">
        <is>
          <t>【無料オンラインセミナー】  AI導入を「経営判断」に変える ー便利ツールで終わらせない「デジタル組織実行基盤」の構築法ー</t>
        </is>
      </c>
      <c r="H147" s="10" t="inlineStr">
        <is>
          <t>Ascent Business Consulting株式会社 採用チーム</t>
        </is>
      </c>
      <c r="I147" s="10" t="n"/>
      <c r="J147" s="10" t="inlineStr">
        <is>
          <t>TECH PLAY</t>
        </is>
      </c>
      <c r="K147" s="10" t="inlineStr">
        <is>
          <t>オンライン</t>
        </is>
      </c>
      <c r="L147" s="10" t="n"/>
      <c r="M147" s="10" t="inlineStr">
        <is>
          <t>生産性向上・業務効率化</t>
        </is>
      </c>
      <c r="N147" s="10" t="inlineStr">
        <is>
          <t>AIエージェント</t>
        </is>
      </c>
      <c r="O147" s="12" t="inlineStr">
        <is>
          <t>○</t>
        </is>
      </c>
      <c r="P147" s="13" t="n">
        <v>1</v>
      </c>
      <c r="Q147" s="12" t="inlineStr">
        <is>
          <t>申込者数</t>
        </is>
      </c>
      <c r="R147" s="14" t="n">
        <v>100</v>
      </c>
      <c r="S147" s="10" t="n"/>
      <c r="T147" s="10" t="inlineStr">
        <is>
          <t>AIツールの導入や試験活用が進む一方で、現場での定着や本格導入の判断に課題を感じている企業は少なくありません。 「どの業務にAIを組み込むべきか」 「効果をどのように測定すべきか」 「誰が運用・改善の責任を持つべきか」 「PoCや一部担当者の活用で止まらないためには何が必要か」 こうした点が曖昧なままでは、AI活用は個人の業務効率化や一時的な試行にとどまり、組織全体の成果にはつながりにくくなります。 本セミナーでは、AIを単なる便利ツー</t>
        </is>
      </c>
      <c r="U147" s="15" t="inlineStr">
        <is>
          <t>https://techplay.jp/event/998387</t>
        </is>
      </c>
      <c r="V147" s="10" t="n"/>
      <c r="W147" s="10" t="inlineStr">
        <is>
          <t>本文一致</t>
        </is>
      </c>
      <c r="X147" s="10" t="n"/>
    </row>
    <row r="148">
      <c r="A148" s="10" t="n">
        <v>147</v>
      </c>
      <c r="B148" s="24" t="n">
        <v>46225</v>
      </c>
      <c r="C148" s="24" t="n">
        <v>46225</v>
      </c>
      <c r="D148" s="10">
        <f>MONTH(B148)&amp;"月"</f>
        <v/>
      </c>
      <c r="E148" s="12" t="n">
        <v>1</v>
      </c>
      <c r="F148" s="10" t="n"/>
      <c r="G148" s="10" t="inlineStr">
        <is>
          <t>ナレッジワークとSalesforceで描く垂直型のユースケース</t>
        </is>
      </c>
      <c r="H148" s="10" t="inlineStr">
        <is>
          <t>株式会社ナレッジワーク</t>
        </is>
      </c>
      <c r="I148" s="10" t="n"/>
      <c r="J148" s="10" t="inlineStr">
        <is>
          <t>ビジネス+IT</t>
        </is>
      </c>
      <c r="K148" s="10" t="inlineStr">
        <is>
          <t>online</t>
        </is>
      </c>
      <c r="L148" s="10" t="inlineStr">
        <is>
          <t>オンライン</t>
        </is>
      </c>
      <c r="M148" s="10" t="inlineStr">
        <is>
          <t>営業・マーケ・CS</t>
        </is>
      </c>
      <c r="N148" s="10" t="inlineStr">
        <is>
          <t>AIエージェント</t>
        </is>
      </c>
      <c r="O148" s="12" t="inlineStr">
        <is>
          <t>○</t>
        </is>
      </c>
      <c r="P148" s="13" t="n"/>
      <c r="Q148" s="12" t="inlineStr">
        <is>
          <t>不明</t>
        </is>
      </c>
      <c r="R148" s="14" t="n"/>
      <c r="S148" s="10" t="n"/>
      <c r="T148" s="10" t="inlineStr">
        <is>
          <t>生成AIの導入プロジェクトの95%が有意な成果を出せなかった――MITをはじめとした主要リサーチはそう報告しています。全職種共通の会話型AIアシスタント（水平型）では、職種ごとの具体的な業務にまで踏み込めないことが、その主な要因です。 Salesforceを既に活用している企業においても、一連の営業プロセスにAIが深く入り込めていないのが現場の実態です。背景にあるのは「データの壁」と「業務の壁」。商談データがCRMに正確に蓄積されていな</t>
        </is>
      </c>
      <c r="U148" s="15" t="inlineStr">
        <is>
          <t>https://www.sbbit.jp/eventinfo/89642</t>
        </is>
      </c>
      <c r="V148" s="10" t="n"/>
      <c r="W148" s="10" t="inlineStr">
        <is>
          <t>本文一致</t>
        </is>
      </c>
      <c r="X148" s="10" t="n"/>
    </row>
    <row r="149">
      <c r="A149" s="10" t="n">
        <v>148</v>
      </c>
      <c r="B149" s="24" t="n">
        <v>46225</v>
      </c>
      <c r="C149" s="24" t="n">
        <v>46225</v>
      </c>
      <c r="D149" s="10">
        <f>MONTH(B149)&amp;"月"</f>
        <v/>
      </c>
      <c r="E149" s="12" t="n">
        <v>1</v>
      </c>
      <c r="F149" s="10" t="n"/>
      <c r="G149" s="10" t="inlineStr">
        <is>
          <t>事業成果を創出する｢AIエージェント｣設計術</t>
        </is>
      </c>
      <c r="H149" s="10" t="inlineStr">
        <is>
          <t>株式会社モンスターラボ</t>
        </is>
      </c>
      <c r="I149" s="10" t="n"/>
      <c r="J149" s="10" t="inlineStr">
        <is>
          <t>connpass</t>
        </is>
      </c>
      <c r="K149" s="10" t="inlineStr">
        <is>
          <t>オンライン</t>
        </is>
      </c>
      <c r="L149" s="10" t="inlineStr">
        <is>
          <t>オンライン</t>
        </is>
      </c>
      <c r="M149" s="10" t="inlineStr">
        <is>
          <t>技術・AI全般</t>
        </is>
      </c>
      <c r="N149" s="10" t="inlineStr">
        <is>
          <t>AIエージェント</t>
        </is>
      </c>
      <c r="O149" s="12" t="inlineStr">
        <is>
          <t>○</t>
        </is>
      </c>
      <c r="P149" s="13" t="n">
        <v>14</v>
      </c>
      <c r="Q149" s="12" t="inlineStr">
        <is>
          <t>参加者数</t>
        </is>
      </c>
      <c r="R149" s="14" t="n">
        <v>100</v>
      </c>
      <c r="S149" s="10" t="n"/>
      <c r="T149" s="10" t="n"/>
      <c r="U149" s="15" t="inlineStr">
        <is>
          <t>https://monstar-lab.connpass.com/event/400520/</t>
        </is>
      </c>
      <c r="V149" s="10" t="n"/>
      <c r="W149" s="10" t="inlineStr">
        <is>
          <t>タイトル一致</t>
        </is>
      </c>
      <c r="X149" s="10" t="n"/>
    </row>
    <row r="150">
      <c r="A150" s="10" t="n">
        <v>149</v>
      </c>
      <c r="B150" s="24" t="n">
        <v>46225</v>
      </c>
      <c r="C150" s="24" t="n">
        <v>46225</v>
      </c>
      <c r="D150" s="10">
        <f>MONTH(B150)&amp;"月"</f>
        <v/>
      </c>
      <c r="E150" s="12" t="n">
        <v>1</v>
      </c>
      <c r="F150" s="10" t="n"/>
      <c r="G150" s="10" t="inlineStr">
        <is>
          <t>企業内検索×生成AIで業務改革【企業内検索で業務効率化】</t>
        </is>
      </c>
      <c r="H150" s="10" t="inlineStr">
        <is>
          <t>「QuickSolution」紹介ウェビナー担当</t>
        </is>
      </c>
      <c r="I150" s="10" t="n"/>
      <c r="J150" s="10" t="inlineStr">
        <is>
          <t>こくちーずプロ</t>
        </is>
      </c>
      <c r="K150" s="10" t="inlineStr">
        <is>
          <t>オンライン</t>
        </is>
      </c>
      <c r="L150" s="10" t="inlineStr">
        <is>
          <t>オンライン 日本</t>
        </is>
      </c>
      <c r="M150" s="10" t="inlineStr">
        <is>
          <t>生産性向上・業務効率化</t>
        </is>
      </c>
      <c r="N150" s="10" t="inlineStr">
        <is>
          <t>AIエージェント</t>
        </is>
      </c>
      <c r="O150" s="12" t="inlineStr">
        <is>
          <t>○</t>
        </is>
      </c>
      <c r="P150" s="13" t="n"/>
      <c r="Q150" s="12" t="inlineStr">
        <is>
          <t>不明</t>
        </is>
      </c>
      <c r="R150" s="14" t="n"/>
      <c r="S150" s="10" t="n"/>
      <c r="T150" s="10" t="inlineStr">
        <is>
          <t>企業内検索×生成AIで業務改革 ～オンプレ・クラウドの横断検索、RAG・検索エージェントで業務効率化やナレッジ活用～ 普段の業務の中で「あの資料、どこにあるかな…」と長い時間をかけて探したことはありませんか？頑張って探したのに、結局見つからなかった経験があるのではないでしょうか。 エンタープライズサーチ QuickSolution(クイックソリューション)を使えば、社内ファイルサーバやクラウドサービスを横断的に文書の中身まで検索して、欲</t>
        </is>
      </c>
      <c r="U150" s="15" t="inlineStr">
        <is>
          <t>https://www.kokuchpro.com/event/4fded1a03912bfb87c95f85e5ae2934f/</t>
        </is>
      </c>
      <c r="V150" s="10" t="n"/>
      <c r="W150" s="10" t="inlineStr">
        <is>
          <t>本文一致</t>
        </is>
      </c>
      <c r="X150" s="10" t="n"/>
    </row>
    <row r="151">
      <c r="A151" s="10" t="n">
        <v>150</v>
      </c>
      <c r="B151" s="24" t="n">
        <v>46225</v>
      </c>
      <c r="C151" s="24" t="n">
        <v>46225</v>
      </c>
      <c r="D151" s="10">
        <f>MONTH(B151)&amp;"月"</f>
        <v/>
      </c>
      <c r="E151" s="12" t="n">
        <v>1</v>
      </c>
      <c r="F151" s="10" t="n"/>
      <c r="G151" s="10" t="inlineStr">
        <is>
          <t>動くAIを止めずに守る ～Netskope One AI Securityで実現する可視化・制御の最前線～</t>
        </is>
      </c>
      <c r="H151" s="10" t="inlineStr">
        <is>
          <t>株式会社マクニカ</t>
        </is>
      </c>
      <c r="I151" s="10" t="n"/>
      <c r="J151" s="10" t="inlineStr">
        <is>
          <t>ZDNET Japan イベント</t>
        </is>
      </c>
      <c r="K151" s="10" t="inlineStr">
        <is>
          <t>オンライン</t>
        </is>
      </c>
      <c r="L151" s="10" t="inlineStr">
        <is>
          <t>WEB</t>
        </is>
      </c>
      <c r="M151" s="10" t="inlineStr">
        <is>
          <t>営業・マーケ・CS</t>
        </is>
      </c>
      <c r="N151" s="10" t="inlineStr">
        <is>
          <t>AIエージェント</t>
        </is>
      </c>
      <c r="O151" s="12" t="inlineStr">
        <is>
          <t>○</t>
        </is>
      </c>
      <c r="P151" s="13" t="n"/>
      <c r="Q151" s="12" t="inlineStr">
        <is>
          <t>不明</t>
        </is>
      </c>
      <c r="R151" s="14" t="n"/>
      <c r="S151" s="10" t="n"/>
      <c r="T151" s="10" t="inlineStr">
        <is>
          <t>開催場所： WEB 開催日： 2026-07-22 生成AI・Microsoft Copilot・AIエージェントの業務活用が急速に広がる一方で、機密情報の意図せぬ送信・シャドーAI・プロンプトインジェクションなど、新たなセキュリティリスクが顕在化しています。 従来のセキュリティ対策ではAI利用の実態を可視化することが難しく、「禁止」か「黙認」かの二択に陥りがちです。重要なのは、AI活用を止めずに、安全に使いこなすための「可視化と制御」</t>
        </is>
      </c>
      <c r="U151" s="15" t="inlineStr">
        <is>
          <t>https://japan.zdnet.com/event_info/30014999/</t>
        </is>
      </c>
      <c r="V151" s="10" t="n"/>
      <c r="W151" s="10" t="inlineStr">
        <is>
          <t>本文一致</t>
        </is>
      </c>
      <c r="X151" s="10" t="n"/>
    </row>
    <row r="152">
      <c r="A152" s="10" t="n">
        <v>151</v>
      </c>
      <c r="B152" s="24" t="n">
        <v>46225</v>
      </c>
      <c r="C152" s="24" t="n">
        <v>46225</v>
      </c>
      <c r="D152" s="10">
        <f>MONTH(B152)&amp;"月"</f>
        <v/>
      </c>
      <c r="E152" s="12" t="n">
        <v>1</v>
      </c>
      <c r="F152" s="10" t="n"/>
      <c r="G152" s="10" t="inlineStr">
        <is>
          <t>結局進まなかったDX推進を、2026年から見直すAIエージェントセミナー</t>
        </is>
      </c>
      <c r="H152" s="10" t="inlineStr">
        <is>
          <t>HELATH株式会社</t>
        </is>
      </c>
      <c r="I152" s="10" t="n"/>
      <c r="J152" s="10" t="inlineStr">
        <is>
          <t>TECH PLAY</t>
        </is>
      </c>
      <c r="K152" s="10" t="inlineStr">
        <is>
          <t>オンライン</t>
        </is>
      </c>
      <c r="L152" s="10" t="n"/>
      <c r="M152" s="10" t="inlineStr">
        <is>
          <t>生産性向上・業務効率化</t>
        </is>
      </c>
      <c r="N152" s="10" t="inlineStr">
        <is>
          <t>AIエージェント</t>
        </is>
      </c>
      <c r="O152" s="12" t="inlineStr">
        <is>
          <t>◎</t>
        </is>
      </c>
      <c r="P152" s="13" t="n">
        <v>6</v>
      </c>
      <c r="Q152" s="12" t="inlineStr">
        <is>
          <t>申込者数</t>
        </is>
      </c>
      <c r="R152" s="14" t="n">
        <v>20</v>
      </c>
      <c r="S152" s="10" t="n"/>
      <c r="T152" s="10" t="inlineStr">
        <is>
          <t>セミナー概要 DX推進に取り組んだものの、結局、現場に定着していない。 SaaSを導入しても使いこなせず、本来よりも作業が複雑になってしまっている。 そんな課題を感じていませんか？ 2026年のAI活用は、単に「メール文章を作る」「Web検索を楽にする」だけの技術ではありません。社内データ検索、ホームページの自動改修、記事・お知らせ自動投稿、お問い合わせ自動応答、社内システム開発、見積書・請求書の自動発行まで、これまで人や外注に頼ってい</t>
        </is>
      </c>
      <c r="U152" s="15" t="inlineStr">
        <is>
          <t>https://techplay.jp/event/998071</t>
        </is>
      </c>
      <c r="V152" s="10" t="n"/>
      <c r="W152" s="10" t="inlineStr">
        <is>
          <t>タイトル一致</t>
        </is>
      </c>
      <c r="X152" s="10" t="n"/>
    </row>
    <row r="153">
      <c r="A153" s="10" t="n">
        <v>152</v>
      </c>
      <c r="B153" s="24" t="n">
        <v>46225</v>
      </c>
      <c r="C153" s="24" t="n">
        <v>46225</v>
      </c>
      <c r="D153" s="10">
        <f>MONTH(B153)&amp;"月"</f>
        <v/>
      </c>
      <c r="E153" s="12" t="n">
        <v>1</v>
      </c>
      <c r="F153" s="10" t="n"/>
      <c r="G153" s="10" t="inlineStr">
        <is>
          <t>追加枠：7/22(水)今からキャッチアップ「SalesforceインプリをAgentとやるって？」</t>
        </is>
      </c>
      <c r="H153" s="10" t="inlineStr">
        <is>
          <t>namespace</t>
        </is>
      </c>
      <c r="I153" s="10" t="n"/>
      <c r="J153" s="10" t="inlineStr">
        <is>
          <t>connpass</t>
        </is>
      </c>
      <c r="K153" s="10" t="inlineStr">
        <is>
          <t>会場</t>
        </is>
      </c>
      <c r="L153" s="10" t="inlineStr">
        <is>
          <t>東京都江東区常盤2-5-2 常盤マンション1階テナント</t>
        </is>
      </c>
      <c r="M153" s="10" t="inlineStr">
        <is>
          <t>営業・マーケ・CS</t>
        </is>
      </c>
      <c r="N153" s="10" t="inlineStr">
        <is>
          <t>AIエージェント</t>
        </is>
      </c>
      <c r="O153" s="12" t="inlineStr">
        <is>
          <t>◎</t>
        </is>
      </c>
      <c r="P153" s="13" t="n">
        <v>19</v>
      </c>
      <c r="Q153" s="12" t="inlineStr">
        <is>
          <t>参加者数</t>
        </is>
      </c>
      <c r="R153" s="14" t="n">
        <v>25</v>
      </c>
      <c r="S153" s="10" t="n"/>
      <c r="T153" s="10" t="n"/>
      <c r="U153" s="15" t="inlineStr">
        <is>
          <t>https://namespace.connpass.com/event/398280/</t>
        </is>
      </c>
      <c r="V153" s="10" t="n"/>
      <c r="W153" s="10" t="inlineStr">
        <is>
          <t>タイトル一致</t>
        </is>
      </c>
      <c r="X153" s="10" t="n"/>
    </row>
    <row r="154">
      <c r="A154" s="10" t="n">
        <v>153</v>
      </c>
      <c r="B154" s="24" t="n">
        <v>46226</v>
      </c>
      <c r="C154" s="24" t="n">
        <v>46227</v>
      </c>
      <c r="D154" s="10">
        <f>MONTH(B154)&amp;"月"</f>
        <v/>
      </c>
      <c r="E154" s="12" t="n">
        <v>1</v>
      </c>
      <c r="F154" s="10" t="n"/>
      <c r="G154" s="10" t="inlineStr">
        <is>
          <t>AI Agent Day 2026 Summer</t>
        </is>
      </c>
      <c r="H154" s="10" t="inlineStr">
        <is>
          <t>一般社団法人AICX協会</t>
        </is>
      </c>
      <c r="I154" s="10" t="n"/>
      <c r="J154" s="10" t="inlineStr">
        <is>
          <t>個別調査（公式サイト・PR TIMES等）</t>
        </is>
      </c>
      <c r="K154" s="10" t="inlineStr">
        <is>
          <t>オンライン（会場参加は有料との記載もあり）</t>
        </is>
      </c>
      <c r="L154" s="10" t="inlineStr">
        <is>
          <t>YouTube/Zoom配信</t>
        </is>
      </c>
      <c r="M154" s="10" t="inlineStr">
        <is>
          <t>生産性向上・業務効率化</t>
        </is>
      </c>
      <c r="N154" s="10" t="inlineStr">
        <is>
          <t>AIエージェント</t>
        </is>
      </c>
      <c r="O154" s="12" t="inlineStr">
        <is>
          <t>◎</t>
        </is>
      </c>
      <c r="P154" s="13" t="n"/>
      <c r="Q154" s="12" t="inlineStr">
        <is>
          <t>不明</t>
        </is>
      </c>
      <c r="R154" s="14" t="n"/>
      <c r="S154" s="10" t="inlineStr">
        <is>
          <t>過去イベントの累計視聴登録者数は12,857名（2026/2/1時点）。今回回の数値は未公表</t>
        </is>
      </c>
      <c r="T154" s="10" t="inlineStr">
        <is>
          <t>「事例完全解剖 5つの壁を事例で解体する2日間」がテーマ。製造・航空・教育などの業界で、AIエージェントを本番運用した事例を紹介する。</t>
        </is>
      </c>
      <c r="U154" s="15" t="inlineStr">
        <is>
          <t>https://prtimes.jp/main/html/rd/p/000000132.000155740.html</t>
        </is>
      </c>
      <c r="V154" s="15" t="inlineStr">
        <is>
          <t>https://prtimes.jp/main/html/rd/p/000000117.000155740.html</t>
        </is>
      </c>
      <c r="W154" s="10" t="inlineStr">
        <is>
          <t>個別確認</t>
        </is>
      </c>
      <c r="X154" s="10" t="inlineStr">
        <is>
          <t>国内最大級をうたうAIエージェントのカンファレンス</t>
        </is>
      </c>
    </row>
    <row r="155">
      <c r="A155" s="10" t="n">
        <v>154</v>
      </c>
      <c r="B155" s="24" t="n">
        <v>46226</v>
      </c>
      <c r="C155" s="24" t="n">
        <v>46226</v>
      </c>
      <c r="D155" s="10">
        <f>MONTH(B155)&amp;"月"</f>
        <v/>
      </c>
      <c r="E155" s="12" t="n">
        <v>1</v>
      </c>
      <c r="F155" s="10" t="n"/>
      <c r="G155" s="10" t="inlineStr">
        <is>
          <t>AI-Native Company Meetup 使うほど賢くなるプロダクト、自己進化する組織の条件</t>
        </is>
      </c>
      <c r="H155" s="10" t="inlineStr">
        <is>
          <t>LayerX</t>
        </is>
      </c>
      <c r="I155" s="10" t="n"/>
      <c r="J155" s="10" t="inlineStr">
        <is>
          <t>TECH PLAY</t>
        </is>
      </c>
      <c r="K155" s="10" t="inlineStr">
        <is>
          <t>会場</t>
        </is>
      </c>
      <c r="L155" s="10" t="inlineStr">
        <is>
          <t>LayerX イベントスペース 東京都中央区築地1-13-1 (銀座松竹スクエア 5F)</t>
        </is>
      </c>
      <c r="M155" s="10" t="inlineStr">
        <is>
          <t>営業・マーケ・CS</t>
        </is>
      </c>
      <c r="N155" s="10" t="inlineStr">
        <is>
          <t>AIエージェント</t>
        </is>
      </c>
      <c r="O155" s="12" t="inlineStr">
        <is>
          <t>○</t>
        </is>
      </c>
      <c r="P155" s="13" t="n"/>
      <c r="Q155" s="12" t="inlineStr">
        <is>
          <t>非公開</t>
        </is>
      </c>
      <c r="R155" s="14" t="n">
        <v>120</v>
      </c>
      <c r="S155" s="10" t="n"/>
      <c r="T155" s="10" t="inlineStr">
        <is>
          <t>交流会のある会場参加を中心としたイベント トークセッション終了後、登壇者・参加者同士で交流いただける時間を予定しています。 登壇者への直接のご質問をはじめ、AIエージェントの開発、エンタープライズ領域でのAI活用、FDEやDeployment Strategistの役割、AI時代のソフトウェアエンジニアリング、コンサルタントからAI-Native Companyへのキャリアなどをテーマに、カジュアルにお話しいただけます。 申込み方法 T</t>
        </is>
      </c>
      <c r="U155" s="15" t="inlineStr">
        <is>
          <t>https://techplay.jp/event/997439</t>
        </is>
      </c>
      <c r="V155" s="10" t="n"/>
      <c r="W155" s="10" t="inlineStr">
        <is>
          <t>本文一致</t>
        </is>
      </c>
      <c r="X155" s="10" t="n"/>
    </row>
    <row r="156">
      <c r="A156" s="10" t="n">
        <v>155</v>
      </c>
      <c r="B156" s="24" t="n">
        <v>46226</v>
      </c>
      <c r="C156" s="24" t="n">
        <v>46226</v>
      </c>
      <c r="D156" s="10">
        <f>MONTH(B156)&amp;"月"</f>
        <v/>
      </c>
      <c r="E156" s="12" t="n">
        <v>1</v>
      </c>
      <c r="F156" s="10" t="n"/>
      <c r="G156" s="10" t="inlineStr">
        <is>
          <t>AIエージェントで実現する業務改革とは？</t>
        </is>
      </c>
      <c r="H156" s="10" t="inlineStr">
        <is>
          <t>ヘッドウォータース</t>
        </is>
      </c>
      <c r="I156" s="10" t="n"/>
      <c r="J156" s="10" t="inlineStr">
        <is>
          <t>connpass</t>
        </is>
      </c>
      <c r="K156" s="10" t="inlineStr">
        <is>
          <t>オンライン</t>
        </is>
      </c>
      <c r="L156" s="10" t="inlineStr">
        <is>
          <t>オンライン</t>
        </is>
      </c>
      <c r="M156" s="10" t="inlineStr">
        <is>
          <t>生産性向上・業務効率化</t>
        </is>
      </c>
      <c r="N156" s="10" t="inlineStr">
        <is>
          <t>AIエージェント</t>
        </is>
      </c>
      <c r="O156" s="12" t="inlineStr">
        <is>
          <t>◎</t>
        </is>
      </c>
      <c r="P156" s="13" t="n">
        <v>21</v>
      </c>
      <c r="Q156" s="12" t="inlineStr">
        <is>
          <t>参加者数</t>
        </is>
      </c>
      <c r="R156" s="14" t="n">
        <v>50</v>
      </c>
      <c r="S156" s="10" t="n"/>
      <c r="T156" s="10" t="n"/>
      <c r="U156" s="15" t="inlineStr">
        <is>
          <t>https://headwaters.connpass.com/event/396107/</t>
        </is>
      </c>
      <c r="V156" s="10" t="n"/>
      <c r="W156" s="10" t="inlineStr">
        <is>
          <t>タイトル一致</t>
        </is>
      </c>
      <c r="X156" s="10" t="n"/>
    </row>
    <row r="157">
      <c r="A157" s="10" t="n">
        <v>156</v>
      </c>
      <c r="B157" s="24" t="n">
        <v>46226</v>
      </c>
      <c r="C157" s="24" t="n">
        <v>46226</v>
      </c>
      <c r="D157" s="10">
        <f>MONTH(B157)&amp;"月"</f>
        <v/>
      </c>
      <c r="E157" s="12" t="n">
        <v>1</v>
      </c>
      <c r="F157" s="10" t="n"/>
      <c r="G157" s="10" t="inlineStr">
        <is>
          <t>AIエージェント構築大全</t>
        </is>
      </c>
      <c r="H157" s="10" t="inlineStr">
        <is>
          <t>QueryPie AI</t>
        </is>
      </c>
      <c r="I157" s="10" t="n"/>
      <c r="J157" s="10" t="inlineStr">
        <is>
          <t>connpass</t>
        </is>
      </c>
      <c r="K157" s="10" t="inlineStr">
        <is>
          <t>オンライン</t>
        </is>
      </c>
      <c r="L157" s="10" t="inlineStr">
        <is>
          <t>オンライン</t>
        </is>
      </c>
      <c r="M157" s="10" t="inlineStr">
        <is>
          <t>技術・AI全般</t>
        </is>
      </c>
      <c r="N157" s="10" t="inlineStr">
        <is>
          <t>AIエージェント</t>
        </is>
      </c>
      <c r="O157" s="12" t="inlineStr">
        <is>
          <t>○</t>
        </is>
      </c>
      <c r="P157" s="13" t="n">
        <v>39</v>
      </c>
      <c r="Q157" s="12" t="inlineStr">
        <is>
          <t>参加者数</t>
        </is>
      </c>
      <c r="R157" s="14" t="n">
        <v>80</v>
      </c>
      <c r="S157" s="10" t="n"/>
      <c r="T157" s="10" t="n"/>
      <c r="U157" s="15" t="inlineStr">
        <is>
          <t>https://querypiejapan.connpass.com/event/399467/</t>
        </is>
      </c>
      <c r="V157" s="10" t="n"/>
      <c r="W157" s="10" t="inlineStr">
        <is>
          <t>タイトル一致</t>
        </is>
      </c>
      <c r="X157" s="10" t="n"/>
    </row>
    <row r="158">
      <c r="A158" s="10" t="n">
        <v>157</v>
      </c>
      <c r="B158" s="24" t="n">
        <v>46226</v>
      </c>
      <c r="C158" s="24" t="n">
        <v>46226</v>
      </c>
      <c r="D158" s="10">
        <f>MONTH(B158)&amp;"月"</f>
        <v/>
      </c>
      <c r="E158" s="12" t="n">
        <v>1</v>
      </c>
      <c r="F158" s="10" t="n"/>
      <c r="G158" s="10" t="inlineStr">
        <is>
          <t>AI時代における金融機関のデータガバナンス～信頼できるデータと説明できる判断を設計する、AMLにおける実装例～</t>
        </is>
      </c>
      <c r="H158" s="10" t="inlineStr">
        <is>
          <t>（記載なし）</t>
        </is>
      </c>
      <c r="I158" s="10" t="n"/>
      <c r="J158" s="10" t="inlineStr">
        <is>
          <t>セミナー情報.com</t>
        </is>
      </c>
      <c r="K158" s="10" t="inlineStr">
        <is>
          <t>会場 / オンライン</t>
        </is>
      </c>
      <c r="L158" s="10" t="n"/>
      <c r="M158" s="10" t="inlineStr">
        <is>
          <t>開発生産性</t>
        </is>
      </c>
      <c r="N158" s="10" t="inlineStr">
        <is>
          <t>AIエージェント</t>
        </is>
      </c>
      <c r="O158" s="12" t="inlineStr">
        <is>
          <t>△</t>
        </is>
      </c>
      <c r="P158" s="13" t="n"/>
      <c r="Q158" s="12" t="inlineStr">
        <is>
          <t>不明</t>
        </is>
      </c>
      <c r="R158" s="14" t="n"/>
      <c r="S158" s="10" t="n"/>
      <c r="T158" s="10" t="inlineStr">
        <is>
          <t>(詳細ページは再配信ページへ転送: https://seminar-info.jp/entry/seminars/view/3/6891) ※本セミナーは2026/7/23に開催・収録したセミナーの リバイバル配信 です。 【本セミナーで得られること】 ・生成AI／AIエージェント時代に、金融機関のデータガバナンスの前提がどのように変化しているかを理解できる ・国内外のAI・データ管理に関する規制・監査・リスク管理上の要請を、実務上の「</t>
        </is>
      </c>
      <c r="U158" s="15" t="inlineStr">
        <is>
          <t>https://www.seminar-info.jp/entry/seminars/view/3/6870</t>
        </is>
      </c>
      <c r="V158" s="10" t="n"/>
      <c r="W158" s="10" t="inlineStr">
        <is>
          <t>本文一致</t>
        </is>
      </c>
      <c r="X158" s="10" t="n"/>
    </row>
    <row r="159">
      <c r="A159" s="10" t="n">
        <v>158</v>
      </c>
      <c r="B159" s="24" t="n">
        <v>46226</v>
      </c>
      <c r="C159" s="24" t="n">
        <v>46226</v>
      </c>
      <c r="D159" s="10">
        <f>MONTH(B159)&amp;"月"</f>
        <v/>
      </c>
      <c r="E159" s="12" t="n">
        <v>1</v>
      </c>
      <c r="F159" s="10" t="n"/>
      <c r="G159" s="10" t="inlineStr">
        <is>
          <t>Claude Codeを安全に社内導入する際に押さえるべきセキュリティ対策</t>
        </is>
      </c>
      <c r="H159" s="10" t="inlineStr">
        <is>
          <t>Solvio｜生成AI活用支援</t>
        </is>
      </c>
      <c r="I159" s="10" t="n"/>
      <c r="J159" s="10" t="inlineStr">
        <is>
          <t>connpass</t>
        </is>
      </c>
      <c r="K159" s="10" t="inlineStr">
        <is>
          <t>オンライン</t>
        </is>
      </c>
      <c r="L159" s="10" t="inlineStr">
        <is>
          <t>オンライン</t>
        </is>
      </c>
      <c r="M159" s="10" t="inlineStr">
        <is>
          <t>生産性向上・業務効率化</t>
        </is>
      </c>
      <c r="N159" s="10" t="inlineStr">
        <is>
          <t>AIエージェント</t>
        </is>
      </c>
      <c r="O159" s="12" t="inlineStr">
        <is>
          <t>◎</t>
        </is>
      </c>
      <c r="P159" s="13" t="n">
        <v>30</v>
      </c>
      <c r="Q159" s="12" t="inlineStr">
        <is>
          <t>参加者数</t>
        </is>
      </c>
      <c r="R159" s="14" t="n">
        <v>100</v>
      </c>
      <c r="S159" s="10" t="n"/>
      <c r="T159" s="10" t="n"/>
      <c r="U159" s="15" t="inlineStr">
        <is>
          <t>https://solvio.connpass.com/event/399988/</t>
        </is>
      </c>
      <c r="V159" s="10" t="n"/>
      <c r="W159" s="10" t="inlineStr">
        <is>
          <t>タイトル一致</t>
        </is>
      </c>
      <c r="X159" s="10" t="n"/>
    </row>
    <row r="160">
      <c r="A160" s="10" t="n">
        <v>159</v>
      </c>
      <c r="B160" s="24" t="n">
        <v>46226</v>
      </c>
      <c r="C160" s="24" t="n">
        <v>46226</v>
      </c>
      <c r="D160" s="10">
        <f>MONTH(B160)&amp;"月"</f>
        <v/>
      </c>
      <c r="E160" s="12" t="n">
        <v>1</v>
      </c>
      <c r="F160" s="10" t="n"/>
      <c r="G160" s="10" t="inlineStr">
        <is>
          <t>Claude Code・ChatGPT・OllamaをローカルAIゲートウェイで統合管理する</t>
        </is>
      </c>
      <c r="H160" s="10" t="inlineStr">
        <is>
          <t>mars.sven</t>
        </is>
      </c>
      <c r="I160" s="10" t="n"/>
      <c r="J160" s="10" t="inlineStr">
        <is>
          <t>connpass</t>
        </is>
      </c>
      <c r="K160" s="10" t="inlineStr">
        <is>
          <t>会場</t>
        </is>
      </c>
      <c r="L160" s="10" t="inlineStr">
        <is>
          <t>(場所未定)</t>
        </is>
      </c>
      <c r="M160" s="10" t="inlineStr">
        <is>
          <t>開発生産性</t>
        </is>
      </c>
      <c r="N160" s="10" t="inlineStr">
        <is>
          <t>AIエージェント</t>
        </is>
      </c>
      <c r="O160" s="12" t="inlineStr">
        <is>
          <t>○</t>
        </is>
      </c>
      <c r="P160" s="13" t="n">
        <v>1</v>
      </c>
      <c r="Q160" s="12" t="inlineStr">
        <is>
          <t>参加者数</t>
        </is>
      </c>
      <c r="R160" s="14" t="n"/>
      <c r="S160" s="10" t="n"/>
      <c r="T160" s="10" t="n"/>
      <c r="U160" s="15" t="inlineStr">
        <is>
          <t>https://connpass.com/event/400877/</t>
        </is>
      </c>
      <c r="V160" s="10" t="n"/>
      <c r="W160" s="10" t="inlineStr">
        <is>
          <t>タイトル一致</t>
        </is>
      </c>
      <c r="X160" s="10" t="n"/>
    </row>
    <row r="161">
      <c r="A161" s="10" t="n">
        <v>160</v>
      </c>
      <c r="B161" s="24" t="n">
        <v>46226</v>
      </c>
      <c r="C161" s="24" t="n">
        <v>46226</v>
      </c>
      <c r="D161" s="10">
        <f>MONTH(B161)&amp;"月"</f>
        <v/>
      </c>
      <c r="E161" s="12" t="n">
        <v>1</v>
      </c>
      <c r="F161" s="10" t="n"/>
      <c r="G161" s="10" t="inlineStr">
        <is>
          <t>JPOUG Tech Talk Night #16</t>
        </is>
      </c>
      <c r="H161" s="10" t="inlineStr">
        <is>
          <t>jpoug</t>
        </is>
      </c>
      <c r="I161" s="10" t="n"/>
      <c r="J161" s="10" t="inlineStr">
        <is>
          <t>Doorkeeper</t>
        </is>
      </c>
      <c r="K161" s="10" t="inlineStr">
        <is>
          <t>不明</t>
        </is>
      </c>
      <c r="L161" s="10" t="n"/>
      <c r="M161" s="10" t="inlineStr">
        <is>
          <t>営業・マーケ・CS</t>
        </is>
      </c>
      <c r="N161" s="10" t="inlineStr">
        <is>
          <t>MCP</t>
        </is>
      </c>
      <c r="O161" s="12" t="inlineStr">
        <is>
          <t>○</t>
        </is>
      </c>
      <c r="P161" s="13" t="n">
        <v>53</v>
      </c>
      <c r="Q161" s="12" t="inlineStr">
        <is>
          <t>参加者数</t>
        </is>
      </c>
      <c r="R161" s="14" t="n">
        <v>100</v>
      </c>
      <c r="S161" s="10" t="n"/>
      <c r="T161" s="10" t="inlineStr">
        <is>
          <t xml:space="preserve"> JPOUG Tech Talk Night #16は、5名の方にオンラインのZoomミーティングで お話をしていただきます。 Organizer Title Duration 西尾 孝之 PL/SQL+AI -PL/SQLから生成AIサービスを呼び出す- 15分 辻研一郎 少し踏み込むOracleのSQLの結合方法 30分 五十嵐彩乃 ODAってなに？バージョンアップってどうするの？ 15分 朝日 英彦 「いま重い SQL を 3 件</t>
        </is>
      </c>
      <c r="U161" s="15" t="inlineStr">
        <is>
          <t>https://jpoug.doorkeeper.jp/events/197950</t>
        </is>
      </c>
      <c r="V161" s="10" t="n"/>
      <c r="W161" s="10" t="inlineStr">
        <is>
          <t>本文一致</t>
        </is>
      </c>
      <c r="X161" s="10" t="n"/>
    </row>
    <row r="162">
      <c r="A162" s="10" t="n">
        <v>161</v>
      </c>
      <c r="B162" s="24" t="n">
        <v>46226</v>
      </c>
      <c r="C162" s="24" t="n">
        <v>46226</v>
      </c>
      <c r="D162" s="10">
        <f>MONTH(B162)&amp;"月"</f>
        <v/>
      </c>
      <c r="E162" s="12" t="n">
        <v>1</v>
      </c>
      <c r="F162" s="10" t="n"/>
      <c r="G162" s="10" t="inlineStr">
        <is>
          <t>Nextbeat Osaka Lab #1「Claude Codeで作る、正規表現エンジン」</t>
        </is>
      </c>
      <c r="H162" s="10" t="inlineStr">
        <is>
          <t>nextbeat</t>
        </is>
      </c>
      <c r="I162" s="10" t="n"/>
      <c r="J162" s="10" t="inlineStr">
        <is>
          <t>connpass</t>
        </is>
      </c>
      <c r="K162" s="10" t="inlineStr">
        <is>
          <t>会場</t>
        </is>
      </c>
      <c r="L162" s="10" t="inlineStr">
        <is>
          <t>大阪府大阪市北区豊崎3丁目19−3 (ピアスタワー6階 602号室)</t>
        </is>
      </c>
      <c r="M162" s="10" t="inlineStr">
        <is>
          <t>開発生産性</t>
        </is>
      </c>
      <c r="N162" s="10" t="inlineStr">
        <is>
          <t>AIエージェント</t>
        </is>
      </c>
      <c r="O162" s="12" t="inlineStr">
        <is>
          <t>○</t>
        </is>
      </c>
      <c r="P162" s="13" t="n">
        <v>6</v>
      </c>
      <c r="Q162" s="12" t="inlineStr">
        <is>
          <t>参加者数</t>
        </is>
      </c>
      <c r="R162" s="14" t="n">
        <v>8</v>
      </c>
      <c r="S162" s="10" t="n"/>
      <c r="T162" s="10" t="n"/>
      <c r="U162" s="15" t="inlineStr">
        <is>
          <t>https://nextbeat.connpass.com/event/397529/</t>
        </is>
      </c>
      <c r="V162" s="10" t="n"/>
      <c r="W162" s="10" t="inlineStr">
        <is>
          <t>タイトル一致</t>
        </is>
      </c>
      <c r="X162" s="10" t="n"/>
    </row>
    <row r="163">
      <c r="A163" s="10" t="n">
        <v>162</v>
      </c>
      <c r="B163" s="24" t="n">
        <v>46226</v>
      </c>
      <c r="C163" s="24" t="n">
        <v>46226</v>
      </c>
      <c r="D163" s="10">
        <f>MONTH(B163)&amp;"月"</f>
        <v/>
      </c>
      <c r="E163" s="12" t="n">
        <v>1</v>
      </c>
      <c r="F163" s="10" t="n"/>
      <c r="G163" s="10" t="inlineStr">
        <is>
          <t>【2026年7月23日（木）開催】「労働保険事務組合サミット 2026」AIエージェント活用による事務組合業務の大幅効率化</t>
        </is>
      </c>
      <c r="H163" s="10" t="inlineStr">
        <is>
          <t>株式会社エムケイシステム</t>
        </is>
      </c>
      <c r="I163" s="10" t="n"/>
      <c r="J163" s="10" t="inlineStr">
        <is>
          <t>PR TIMES</t>
        </is>
      </c>
      <c r="K163" s="10" t="inlineStr">
        <is>
          <t>hybrid</t>
        </is>
      </c>
      <c r="L163" s="10" t="inlineStr">
        <is>
          <t>オンライン・オフライン同時開催</t>
        </is>
      </c>
      <c r="M163" s="10" t="inlineStr">
        <is>
          <t>生産性向上・業務効率化</t>
        </is>
      </c>
      <c r="N163" s="10" t="inlineStr">
        <is>
          <t>AIエージェント</t>
        </is>
      </c>
      <c r="O163" s="12" t="inlineStr">
        <is>
          <t>◎</t>
        </is>
      </c>
      <c r="P163" s="13" t="n"/>
      <c r="Q163" s="12" t="inlineStr">
        <is>
          <t>不明</t>
        </is>
      </c>
      <c r="R163" s="14" t="n"/>
      <c r="S163" s="10" t="n"/>
      <c r="T163" s="10" t="inlineStr">
        <is>
          <t>社会保険、労働保険等に関する業務支援ソフトウェアのシステム開発およびクラウドサービスを提供する株式会社エムケイシステム（本社：大阪市北区、代表取締役：三宅 登）は、2026年7月23日にオンライン・オフライン同時開催の『労働保険事務組合サミット2026』を開催します。 労働保険事務組合サミット2026 ▼労働保険事務組合サミット2026特設ページ https://www.mks.jp/shalom/lp/jimukumiai_summi</t>
        </is>
      </c>
      <c r="U163" s="15" t="inlineStr">
        <is>
          <t>https://prtimes.jp/main/html/rd/p/000000029.000045053.html</t>
        </is>
      </c>
      <c r="V163" s="10" t="n"/>
      <c r="W163" s="10" t="inlineStr">
        <is>
          <t>タイトル一致</t>
        </is>
      </c>
      <c r="X163" s="10" t="n"/>
    </row>
    <row r="164">
      <c r="A164" s="10" t="n">
        <v>163</v>
      </c>
      <c r="B164" s="24" t="n">
        <v>46226</v>
      </c>
      <c r="C164" s="24" t="n">
        <v>46226</v>
      </c>
      <c r="D164" s="10">
        <f>MONTH(B164)&amp;"月"</f>
        <v/>
      </c>
      <c r="E164" s="12" t="n">
        <v>1</v>
      </c>
      <c r="F164" s="10" t="n"/>
      <c r="G164" s="10" t="inlineStr">
        <is>
          <t>【7/23(木)ウェビナー開催】業務改善×AI活用を成功に導く ～“見える化”で終わらせない業務整理・標準化の進め方～</t>
        </is>
      </c>
      <c r="H164" s="10" t="inlineStr">
        <is>
          <t>株式会社アースリンク</t>
        </is>
      </c>
      <c r="I164" s="10" t="n"/>
      <c r="J164" s="10" t="inlineStr">
        <is>
          <t>こくちーずプロ</t>
        </is>
      </c>
      <c r="K164" s="10" t="inlineStr">
        <is>
          <t>オンライン</t>
        </is>
      </c>
      <c r="L164" s="10" t="inlineStr">
        <is>
          <t>オンライン 日本</t>
        </is>
      </c>
      <c r="M164" s="10" t="inlineStr">
        <is>
          <t>生産性向上・業務効率化</t>
        </is>
      </c>
      <c r="N164" s="10" t="inlineStr">
        <is>
          <t>AIエージェント</t>
        </is>
      </c>
      <c r="O164" s="12" t="inlineStr">
        <is>
          <t>○</t>
        </is>
      </c>
      <c r="P164" s="13" t="n"/>
      <c r="Q164" s="12" t="inlineStr">
        <is>
          <t>不明</t>
        </is>
      </c>
      <c r="R164" s="14" t="n"/>
      <c r="S164" s="10" t="n"/>
      <c r="T164" s="10" t="inlineStr">
        <is>
          <t>AI導入が目的ではない。 属人化を解消し、AIの成果を最大化する 「業務プロセス」の整え方を解説します！ 生成AIやAIエージェントの活用が広まる中、 「AIを導入したものの成果につながらない」 「現場の業務がバラバラでAIをどこに適用すべきかわからない」 といった壁にぶつかる企業が増えています。 実はこれらの原因は、AIの性能ではなく 「導入前の業務整理・標準化ができていないこと」 にあります。 本ウェビナーでは、「机上の空論」で終わ</t>
        </is>
      </c>
      <c r="U164" s="15" t="inlineStr">
        <is>
          <t>https://www.kokuchpro.com/event/728813118681359582ef8ce8f366f6e6/</t>
        </is>
      </c>
      <c r="V164" s="10" t="n"/>
      <c r="W164" s="10" t="inlineStr">
        <is>
          <t>本文一致</t>
        </is>
      </c>
      <c r="X164" s="10" t="n"/>
    </row>
    <row r="165">
      <c r="A165" s="10" t="n">
        <v>164</v>
      </c>
      <c r="B165" s="24" t="n">
        <v>46226</v>
      </c>
      <c r="C165" s="24" t="n">
        <v>46226</v>
      </c>
      <c r="D165" s="10">
        <f>MONTH(B165)&amp;"月"</f>
        <v/>
      </c>
      <c r="E165" s="12" t="n">
        <v>1</v>
      </c>
      <c r="F165" s="10" t="n"/>
      <c r="G165" s="10" t="inlineStr">
        <is>
          <t>【7/23】Claude Code初心者向け入門｜IT学習・資格勉強にどう活かす？</t>
        </is>
      </c>
      <c r="H165" s="10" t="inlineStr">
        <is>
          <t>まさるの勉強部屋</t>
        </is>
      </c>
      <c r="I165" s="10" t="n"/>
      <c r="J165" s="10" t="inlineStr">
        <is>
          <t>connpass</t>
        </is>
      </c>
      <c r="K165" s="10" t="inlineStr">
        <is>
          <t>オンライン</t>
        </is>
      </c>
      <c r="L165" s="10" t="inlineStr">
        <is>
          <t>Youtubeライブ</t>
        </is>
      </c>
      <c r="M165" s="10" t="inlineStr">
        <is>
          <t>開発生産性</t>
        </is>
      </c>
      <c r="N165" s="10" t="inlineStr">
        <is>
          <t>AIエージェント</t>
        </is>
      </c>
      <c r="O165" s="12" t="inlineStr">
        <is>
          <t>○</t>
        </is>
      </c>
      <c r="P165" s="13" t="n">
        <v>82</v>
      </c>
      <c r="Q165" s="12" t="inlineStr">
        <is>
          <t>参加者数</t>
        </is>
      </c>
      <c r="R165" s="14" t="n">
        <v>100</v>
      </c>
      <c r="S165" s="10" t="n"/>
      <c r="T165" s="10" t="n"/>
      <c r="U165" s="15" t="inlineStr">
        <is>
          <t>https://masaru-study.connpass.com/event/398557/</t>
        </is>
      </c>
      <c r="V165" s="10" t="n"/>
      <c r="W165" s="10" t="inlineStr">
        <is>
          <t>タイトル一致</t>
        </is>
      </c>
      <c r="X165" s="10" t="n"/>
    </row>
    <row r="166">
      <c r="A166" s="10" t="n">
        <v>165</v>
      </c>
      <c r="B166" s="24" t="n">
        <v>46226</v>
      </c>
      <c r="C166" s="24" t="n">
        <v>46226</v>
      </c>
      <c r="D166" s="10">
        <f>MONTH(B166)&amp;"月"</f>
        <v/>
      </c>
      <c r="E166" s="12" t="n">
        <v>1</v>
      </c>
      <c r="F166" s="10" t="n"/>
      <c r="G166" s="10" t="inlineStr">
        <is>
          <t>【Claude編】Speeda MCPで広がる「データ資産」の新たな活用方法－経営企画・事業開発・法人営業のユースケース</t>
        </is>
      </c>
      <c r="H166" s="10" t="inlineStr">
        <is>
          <t>株式会社ユーザベース（Speeda）</t>
        </is>
      </c>
      <c r="I166" s="10" t="n"/>
      <c r="J166" s="10" t="inlineStr">
        <is>
          <t>個別調査（公式サイト・PR TIMES等）</t>
        </is>
      </c>
      <c r="K166" s="10" t="inlineStr">
        <is>
          <t>オンライン</t>
        </is>
      </c>
      <c r="L166" s="10" t="inlineStr">
        <is>
          <t>Zoom</t>
        </is>
      </c>
      <c r="M166" s="10" t="inlineStr">
        <is>
          <t>営業・マーケ・CS</t>
        </is>
      </c>
      <c r="N166" s="10" t="inlineStr">
        <is>
          <t>MCP</t>
        </is>
      </c>
      <c r="O166" s="12" t="inlineStr">
        <is>
          <t>◎</t>
        </is>
      </c>
      <c r="P166" s="13" t="n"/>
      <c r="Q166" s="12" t="inlineStr">
        <is>
          <t>不明</t>
        </is>
      </c>
      <c r="R166" s="14" t="n"/>
      <c r="S166" s="10" t="inlineStr">
        <is>
          <t>「好評につき申込終了」と表示されていた</t>
        </is>
      </c>
      <c r="T166" s="10" t="inlineStr">
        <is>
          <t>Speeda MCPとClaudeを使い、ターゲットリストの抽出、企業動向アラート、CRMや商談記録をまたいだ商談準備資料の自動生成を紹介する。</t>
        </is>
      </c>
      <c r="U166" s="15" t="inlineStr">
        <is>
          <t>https://jp.ub-speeda.com/seminar/20260723_mcp/</t>
        </is>
      </c>
      <c r="V166" s="10" t="n"/>
      <c r="W166" s="10" t="inlineStr">
        <is>
          <t>個別確認</t>
        </is>
      </c>
      <c r="X166" s="10" t="inlineStr">
        <is>
          <t>MCPを営業に使う事例として貴重</t>
        </is>
      </c>
    </row>
    <row r="167">
      <c r="A167" s="10" t="n">
        <v>166</v>
      </c>
      <c r="B167" s="24" t="n">
        <v>46226</v>
      </c>
      <c r="C167" s="24" t="n">
        <v>46226</v>
      </c>
      <c r="D167" s="10">
        <f>MONTH(B167)&amp;"月"</f>
        <v/>
      </c>
      <c r="E167" s="12" t="n">
        <v>1</v>
      </c>
      <c r="F167" s="10" t="n"/>
      <c r="G167" s="10" t="inlineStr">
        <is>
          <t>【Google社ゲスト登壇】Gemini Enterpriseの企業導入法を解説。エージェント環境づくりと活用事例 セミナー｜株式会社イー・エージェンシー</t>
        </is>
      </c>
      <c r="H167" s="10" t="inlineStr">
        <is>
          <t>株式会社イー・エージェンシー</t>
        </is>
      </c>
      <c r="I167" s="10" t="n"/>
      <c r="J167" s="10" t="inlineStr">
        <is>
          <t>PR TIMES</t>
        </is>
      </c>
      <c r="K167" s="10" t="inlineStr">
        <is>
          <t>online</t>
        </is>
      </c>
      <c r="L167" s="10" t="inlineStr">
        <is>
          <t>オンライン配信（録画配信あり）</t>
        </is>
      </c>
      <c r="M167" s="10" t="inlineStr">
        <is>
          <t>生産性向上・業務効率化</t>
        </is>
      </c>
      <c r="N167" s="10" t="inlineStr">
        <is>
          <t>AIエージェント</t>
        </is>
      </c>
      <c r="O167" s="12" t="inlineStr">
        <is>
          <t>◎</t>
        </is>
      </c>
      <c r="P167" s="13" t="n"/>
      <c r="Q167" s="12" t="inlineStr">
        <is>
          <t>不明</t>
        </is>
      </c>
      <c r="R167" s="14" t="n"/>
      <c r="S167" s="10" t="n"/>
      <c r="T167" s="10" t="inlineStr">
        <is>
          <t>“おもてなしを科学する”株式会社イー・エージェンシー（東京都品川区、代表取締役：甲斐真樹、以下イー・エージェンシー）は、2026年7月23日（木）に、ウェビナー「Gemini Enterprise の企業導入法を解説。エージェント環境づくりと活用事例」を開催いたします。 ■ 開催の背景と目的 企業のAIシフトや業務の内製化が急速に進む今、大きな注目を集めているのがGoogle Cloudの「Gemini Enterprise」です。本ウ</t>
        </is>
      </c>
      <c r="U167" s="15" t="inlineStr">
        <is>
          <t>https://prtimes.jp/main/html/rd/p/000000014.000181368.html</t>
        </is>
      </c>
      <c r="V167" s="10" t="n"/>
      <c r="W167" s="10" t="inlineStr">
        <is>
          <t>タイトル一致</t>
        </is>
      </c>
      <c r="X167" s="10" t="n"/>
    </row>
    <row r="168">
      <c r="A168" s="10" t="n">
        <v>167</v>
      </c>
      <c r="B168" s="24" t="n">
        <v>46226</v>
      </c>
      <c r="C168" s="24" t="n">
        <v>46247</v>
      </c>
      <c r="D168" s="10">
        <f>MONTH(B168)&amp;"月"</f>
        <v/>
      </c>
      <c r="E168" s="12" t="n">
        <v>4</v>
      </c>
      <c r="F168" s="10" t="inlineStr">
        <is>
          <t>07/23、07/30、08/06、08/13</t>
        </is>
      </c>
      <c r="G168" s="10" t="inlineStr">
        <is>
          <t>【梅田/初心者歓迎】AIに出遅れた人のための、はじめての実践ワークショップ</t>
        </is>
      </c>
      <c r="H168" s="10" t="inlineStr">
        <is>
          <t>merit運営事務局</t>
        </is>
      </c>
      <c r="I168" s="10" t="n"/>
      <c r="J168" s="10" t="inlineStr">
        <is>
          <t>こくちーずプロ</t>
        </is>
      </c>
      <c r="K168" s="10" t="inlineStr">
        <is>
          <t>オフライン（会場）</t>
        </is>
      </c>
      <c r="L168" s="10" t="inlineStr">
        <is>
          <t>re:Dine 大阪府大阪市北区大深町6-38 グラングリーン大阪 北館 JAM BASE 1 階</t>
        </is>
      </c>
      <c r="M168" s="10" t="inlineStr">
        <is>
          <t>生産性向上・業務効率化</t>
        </is>
      </c>
      <c r="N168" s="10" t="inlineStr">
        <is>
          <t>AIエージェント</t>
        </is>
      </c>
      <c r="O168" s="12" t="inlineStr">
        <is>
          <t>○</t>
        </is>
      </c>
      <c r="P168" s="13" t="n">
        <v>13</v>
      </c>
      <c r="Q168" s="12" t="inlineStr">
        <is>
          <t>参加者数</t>
        </is>
      </c>
      <c r="R168" s="14" t="n">
        <v>24</v>
      </c>
      <c r="S168" s="10" t="inlineStr">
        <is>
          <t>全4回の合計</t>
        </is>
      </c>
      <c r="T168" s="10" t="inlineStr">
        <is>
          <t>MERIT AI WORKSHOP はじめてのAI活用ワークショップ 「気づけば、周りはもう使ってた」 ——その出遅れ、90分で取り戻す。 パソコン不要・むずかしい設定なし。見て・聞いて・そのまま持ち帰れる90分。 「AIが便利らしいのは分かるけど、正直まだ触れていない」 「周りは使い始めていて、なんだか自分だけ置いていかれそう…」 そんな“出遅れ感”を抱えている方に、ちょうどいい最初の一歩です。 このワークショップは、 難しい操作もプ</t>
        </is>
      </c>
      <c r="U168" s="15" t="inlineStr">
        <is>
          <t>https://www.kokuchpro.com/event/0999ea661983981fa48e81d09c0559e5/</t>
        </is>
      </c>
      <c r="V168" s="10" t="n"/>
      <c r="W168" s="10" t="inlineStr">
        <is>
          <t>本文一致</t>
        </is>
      </c>
      <c r="X168" s="10" t="n"/>
    </row>
    <row r="169">
      <c r="A169" s="10" t="n">
        <v>168</v>
      </c>
      <c r="B169" s="24" t="n">
        <v>46226</v>
      </c>
      <c r="C169" s="24" t="n">
        <v>46226</v>
      </c>
      <c r="D169" s="10">
        <f>MONTH(B169)&amp;"月"</f>
        <v/>
      </c>
      <c r="E169" s="12" t="n">
        <v>1</v>
      </c>
      <c r="F169" s="10" t="n"/>
      <c r="G169" s="10" t="inlineStr">
        <is>
          <t>よりみちLT会 第4回 ~データ分析編~</t>
        </is>
      </c>
      <c r="H169" s="10" t="inlineStr">
        <is>
          <t>よりみちLT会</t>
        </is>
      </c>
      <c r="I169" s="10" t="n"/>
      <c r="J169" s="10" t="inlineStr">
        <is>
          <t>TECH PLAY</t>
        </is>
      </c>
      <c r="K169" s="10" t="inlineStr">
        <is>
          <t>オンライン</t>
        </is>
      </c>
      <c r="L169" s="10" t="n"/>
      <c r="M169" s="10" t="inlineStr">
        <is>
          <t>開発生産性</t>
        </is>
      </c>
      <c r="N169" s="10" t="inlineStr">
        <is>
          <t>AIエージェント</t>
        </is>
      </c>
      <c r="O169" s="12" t="inlineStr">
        <is>
          <t>△</t>
        </is>
      </c>
      <c r="P169" s="13" t="n">
        <v>24</v>
      </c>
      <c r="Q169" s="12" t="inlineStr">
        <is>
          <t>申込者数</t>
        </is>
      </c>
      <c r="R169" s="14" t="n">
        <v>30</v>
      </c>
      <c r="S169" s="10" t="n"/>
      <c r="T169" s="10" t="inlineStr">
        <is>
          <t>第4回となる今回のテーマは「データ分析」です！ 日々現場でデータと向き合う中で考えていることや、最新ツールを使った試行錯誤をシェアします。 今回は主催の2人による珍しい会、それぞれの領域でお話しします。 BIツールTableauのダッシュボード"開発"について Codexを活用した一歩進んだデータ収集・分析の仕組み 「他の人のデータ分析プロセスを覗いてみたい」「Tableauや生成AIの活用事例をキャッチアップしたい」というデータ系職種</t>
        </is>
      </c>
      <c r="U169" s="15" t="inlineStr">
        <is>
          <t>https://techplay.jp/event/997463</t>
        </is>
      </c>
      <c r="V169" s="10" t="n"/>
      <c r="W169" s="10" t="inlineStr">
        <is>
          <t>本文一致</t>
        </is>
      </c>
      <c r="X169" s="10" t="n"/>
    </row>
    <row r="170">
      <c r="A170" s="10" t="n">
        <v>169</v>
      </c>
      <c r="B170" s="24" t="n">
        <v>46226</v>
      </c>
      <c r="C170" s="24" t="n">
        <v>46226</v>
      </c>
      <c r="D170" s="10">
        <f>MONTH(B170)&amp;"月"</f>
        <v/>
      </c>
      <c r="E170" s="12" t="n">
        <v>1</v>
      </c>
      <c r="F170" s="10" t="n"/>
      <c r="G170" s="10" t="inlineStr">
        <is>
          <t>医療機関が狙われる時代、“把握できていない機器”が最大の脅威に 〜ランサムウェア被害の現実と、エージェントレスで始める端末の把握と自動遮断〜</t>
        </is>
      </c>
      <c r="H170" s="10" t="inlineStr">
        <is>
          <t>株式会社PFU</t>
        </is>
      </c>
      <c r="I170" s="10" t="inlineStr">
        <is>
          <t>マジセミ株式会社</t>
        </is>
      </c>
      <c r="J170" s="10" t="inlineStr">
        <is>
          <t>Doorkeeper</t>
        </is>
      </c>
      <c r="K170" s="10" t="inlineStr">
        <is>
          <t>不明</t>
        </is>
      </c>
      <c r="L170" s="10" t="n"/>
      <c r="M170" s="10" t="inlineStr">
        <is>
          <t>生産性向上・業務効率化</t>
        </is>
      </c>
      <c r="N170" s="10" t="inlineStr">
        <is>
          <t>AIエージェント</t>
        </is>
      </c>
      <c r="O170" s="12" t="inlineStr">
        <is>
          <t>○</t>
        </is>
      </c>
      <c r="P170" s="13" t="n">
        <v>8</v>
      </c>
      <c r="Q170" s="12" t="inlineStr">
        <is>
          <t>参加者数</t>
        </is>
      </c>
      <c r="R170" s="14" t="n">
        <v>8</v>
      </c>
      <c r="S170" s="10" t="n"/>
      <c r="T170"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医療DXとガイドライン7.0版で高まる、接続機器管理の重要性 医療DXの進展により、医療機関のネットワークには電子カルテ端末、医療機器、プリンター、各種IoT機器、持ち込み端末など、多様な機器が接続され</t>
        </is>
      </c>
      <c r="U170" s="15" t="inlineStr">
        <is>
          <t>https://majisemi-operation.doorkeeper.jp/events/198051</t>
        </is>
      </c>
      <c r="V170" s="10" t="n"/>
      <c r="W170" s="10" t="inlineStr">
        <is>
          <t>本文一致</t>
        </is>
      </c>
      <c r="X170" s="10" t="n"/>
    </row>
    <row r="171">
      <c r="A171" s="10" t="n">
        <v>170</v>
      </c>
      <c r="B171" s="24" t="n">
        <v>46227</v>
      </c>
      <c r="C171" s="24" t="n">
        <v>46227</v>
      </c>
      <c r="D171" s="10">
        <f>MONTH(B171)&amp;"月"</f>
        <v/>
      </c>
      <c r="E171" s="12" t="n">
        <v>1</v>
      </c>
      <c r="F171" s="10" t="n"/>
      <c r="G171" s="10" t="inlineStr">
        <is>
          <t>AI Agent Night 第4弾（AIエージェントに関わるすべての人の交流会）</t>
        </is>
      </c>
      <c r="H171" s="10" t="inlineStr">
        <is>
          <t>一般社団法人AICX協会</t>
        </is>
      </c>
      <c r="I171" s="10" t="n"/>
      <c r="J171" s="10" t="inlineStr">
        <is>
          <t>PR TIMES</t>
        </is>
      </c>
      <c r="K171" s="10" t="inlineStr">
        <is>
          <t>offline</t>
        </is>
      </c>
      <c r="L171" s="10" t="inlineStr">
        <is>
          <t>渋谷ストリーム Googleオフィス</t>
        </is>
      </c>
      <c r="M171" s="10" t="inlineStr">
        <is>
          <t>営業・マーケ・CS</t>
        </is>
      </c>
      <c r="N171" s="10" t="inlineStr">
        <is>
          <t>AIエージェント</t>
        </is>
      </c>
      <c r="O171" s="12" t="inlineStr">
        <is>
          <t>◎</t>
        </is>
      </c>
      <c r="P171" s="13" t="n"/>
      <c r="Q171" s="12" t="inlineStr">
        <is>
          <t>不明</t>
        </is>
      </c>
      <c r="R171" s="14" t="n"/>
      <c r="S171" s="10" t="n"/>
      <c r="T171" s="10" t="inlineStr">
        <is>
          <t>一般社団法人AICX（AI Customer Experience）協会（東京都、代表理事：小栗伸、小澤健祐、以下AICX協会）は、AIエージェントに関わる実務担当者が業種や職域を越えて交流するイベント「AI Agent Night」の第4弾を、2026年7月24日（金）に渋谷ストリーム Googleオフィスにて開催いたします。 本イベントは前回、100名を超えるAIエージェントの実務担当者が参加し、立場や役割を越えた活発な交流が生まれ</t>
        </is>
      </c>
      <c r="U171" s="15" t="inlineStr">
        <is>
          <t>https://prtimes.jp/main/html/rd/p/000000125.000155740.html</t>
        </is>
      </c>
      <c r="V171" s="10" t="n"/>
      <c r="W171" s="10" t="inlineStr">
        <is>
          <t>タイトル一致</t>
        </is>
      </c>
      <c r="X171" s="10" t="n"/>
    </row>
    <row r="172">
      <c r="A172" s="10" t="n">
        <v>171</v>
      </c>
      <c r="B172" s="24" t="n">
        <v>46227</v>
      </c>
      <c r="C172" s="24" t="n">
        <v>46227</v>
      </c>
      <c r="D172" s="10">
        <f>MONTH(B172)&amp;"月"</f>
        <v/>
      </c>
      <c r="E172" s="12" t="n">
        <v>1</v>
      </c>
      <c r="F172" s="10" t="n"/>
      <c r="G172" s="10" t="inlineStr">
        <is>
          <t>AI Agentを加速するデータ基盤とは？</t>
        </is>
      </c>
      <c r="H172" s="10" t="inlineStr">
        <is>
          <t>ファインディ／Findy</t>
        </is>
      </c>
      <c r="I172" s="10" t="n"/>
      <c r="J172" s="10" t="inlineStr">
        <is>
          <t>connpass</t>
        </is>
      </c>
      <c r="K172" s="10" t="inlineStr">
        <is>
          <t>オンライン</t>
        </is>
      </c>
      <c r="L172" s="10" t="inlineStr">
        <is>
          <t>オンライン</t>
        </is>
      </c>
      <c r="M172" s="10" t="inlineStr">
        <is>
          <t>技術・AI全般</t>
        </is>
      </c>
      <c r="N172" s="10" t="inlineStr">
        <is>
          <t>AIエージェント</t>
        </is>
      </c>
      <c r="O172" s="12" t="inlineStr">
        <is>
          <t>○</t>
        </is>
      </c>
      <c r="P172" s="13" t="n">
        <v>275</v>
      </c>
      <c r="Q172" s="12" t="inlineStr">
        <is>
          <t>参加者数</t>
        </is>
      </c>
      <c r="R172" s="14" t="n"/>
      <c r="S172" s="10" t="n"/>
      <c r="T172" s="10" t="n"/>
      <c r="U172" s="15" t="inlineStr">
        <is>
          <t>https://findy.connpass.com/event/399253/</t>
        </is>
      </c>
      <c r="V172" s="10" t="n"/>
      <c r="W172" s="10" t="inlineStr">
        <is>
          <t>タイトル一致</t>
        </is>
      </c>
      <c r="X172" s="10" t="n"/>
    </row>
    <row r="173">
      <c r="A173" s="10" t="n">
        <v>172</v>
      </c>
      <c r="B173" s="24" t="n">
        <v>46227</v>
      </c>
      <c r="C173" s="24" t="n">
        <v>46234</v>
      </c>
      <c r="D173" s="10">
        <f>MONTH(B173)&amp;"月"</f>
        <v/>
      </c>
      <c r="E173" s="12" t="n">
        <v>2</v>
      </c>
      <c r="F173" s="10" t="inlineStr">
        <is>
          <t>07/24、07/31</t>
        </is>
      </c>
      <c r="G173" s="10" t="inlineStr">
        <is>
          <t>AIを活用するチカラ”は使って育てる SBグループ企業のAIエージェント</t>
        </is>
      </c>
      <c r="H173" s="10" t="inlineStr">
        <is>
          <t>SBモバイルサービス株式会社</t>
        </is>
      </c>
      <c r="I173" s="10" t="n"/>
      <c r="J173" s="10" t="inlineStr">
        <is>
          <t>TECH PLAY</t>
        </is>
      </c>
      <c r="K173" s="10" t="inlineStr">
        <is>
          <t>オンライン</t>
        </is>
      </c>
      <c r="L173" s="10" t="n"/>
      <c r="M173" s="10" t="inlineStr">
        <is>
          <t>生産性向上・業務効率化</t>
        </is>
      </c>
      <c r="N173" s="10" t="inlineStr">
        <is>
          <t>AIエージェント</t>
        </is>
      </c>
      <c r="O173" s="12" t="inlineStr">
        <is>
          <t>◎</t>
        </is>
      </c>
      <c r="P173" s="13" t="n">
        <v>6</v>
      </c>
      <c r="Q173" s="12" t="inlineStr">
        <is>
          <t>申込者数</t>
        </is>
      </c>
      <c r="R173" s="14" t="n">
        <v>40</v>
      </c>
      <c r="S173" s="10" t="inlineStr">
        <is>
          <t>全2回の合計</t>
        </is>
      </c>
      <c r="T173" s="10" t="inlineStr">
        <is>
          <t>AI導入・人材育成で悩んでいませんか？ 本セミナーでは、 ✔️ AIがなかなか定着しない ✔️ 社内にAI人材がいない ✔️ コストがネックで研修を躊躇している という企業さま向けに、浸透方法や活用事例、人材育成について分かりやすく解説します。 さらに、助成金活用でAI研修を 今だけ最大75％オフ でご受講可能な情報も公開！ （人材開発支援助成金（事業展開等リスキリング支援コース）の適用は2027/3/31まで） 🎯 こんな方におすすめ</t>
        </is>
      </c>
      <c r="U173" s="15" t="inlineStr">
        <is>
          <t>https://techplay.jp/event/998238</t>
        </is>
      </c>
      <c r="V173" s="10" t="n"/>
      <c r="W173" s="10" t="inlineStr">
        <is>
          <t>タイトル一致</t>
        </is>
      </c>
      <c r="X173" s="10" t="n"/>
    </row>
    <row r="174">
      <c r="A174" s="10" t="n">
        <v>173</v>
      </c>
      <c r="B174" s="24" t="n">
        <v>46227</v>
      </c>
      <c r="C174" s="24" t="n">
        <v>46290</v>
      </c>
      <c r="D174" s="10">
        <f>MONTH(B174)&amp;"月"</f>
        <v/>
      </c>
      <c r="E174" s="12" t="n">
        <v>2</v>
      </c>
      <c r="F174" s="10" t="inlineStr">
        <is>
          <t>07/24、09/25</t>
        </is>
      </c>
      <c r="G174" s="10" t="inlineStr">
        <is>
          <t>AIライトニングトーク会(LT会)</t>
        </is>
      </c>
      <c r="H174" s="10" t="inlineStr">
        <is>
          <t>AIライトニングトーク会(LT会)事務局</t>
        </is>
      </c>
      <c r="I174" s="10" t="n"/>
      <c r="J174" s="10" t="inlineStr">
        <is>
          <t>こくちーずプロ</t>
        </is>
      </c>
      <c r="K174" s="10" t="inlineStr">
        <is>
          <t>オフライン（会場）</t>
        </is>
      </c>
      <c r="L174" s="10" t="inlineStr">
        <is>
          <t>株式会社ビズリンク本社 東京都東京都品川区東五反田2-3-5 五反田中央ビル8F</t>
        </is>
      </c>
      <c r="M174" s="10" t="inlineStr">
        <is>
          <t>生産性向上・業務効率化</t>
        </is>
      </c>
      <c r="N174" s="10" t="inlineStr">
        <is>
          <t>AIエージェント</t>
        </is>
      </c>
      <c r="O174" s="12" t="inlineStr">
        <is>
          <t>○</t>
        </is>
      </c>
      <c r="P174" s="13" t="n">
        <v>0</v>
      </c>
      <c r="Q174" s="12" t="inlineStr">
        <is>
          <t>参加者数</t>
        </is>
      </c>
      <c r="R174" s="14" t="n">
        <v>20</v>
      </c>
      <c r="S174" s="10" t="inlineStr">
        <is>
          <t>全2回の合計</t>
        </is>
      </c>
      <c r="T174" s="10" t="inlineStr">
        <is>
          <t>AIライトニングトーク会（LT会）開催！【7/24(金)・参加無料】 AI活用の最新トレンドをテーマにした、開発エンジニア向けLT会を開催します！ 今回は、AI開発をより実践的に進めるための考え方や最新トピックについて、弊社開発チームがお話しします。 LTテーマ（一部予定） AI活用最前線のスキル大解剖 AIが忘れない -Hooksで手綱を握れ- 最近話題のループエンジニアリングとは AIを開発業務に取り入れたい方や、Codex・Cla</t>
        </is>
      </c>
      <c r="U174" s="15" t="inlineStr">
        <is>
          <t>https://www.kokuchpro.com/event/cafa314873fa0701c36247794366530b/</t>
        </is>
      </c>
      <c r="V174" s="10" t="n"/>
      <c r="W174" s="10" t="inlineStr">
        <is>
          <t>本文一致</t>
        </is>
      </c>
      <c r="X174" s="10" t="n"/>
    </row>
    <row r="175">
      <c r="A175" s="10" t="n">
        <v>174</v>
      </c>
      <c r="B175" s="24" t="n">
        <v>46227</v>
      </c>
      <c r="C175" s="24" t="n">
        <v>46227</v>
      </c>
      <c r="D175" s="10">
        <f>MONTH(B175)&amp;"月"</f>
        <v/>
      </c>
      <c r="E175" s="12" t="n">
        <v>1</v>
      </c>
      <c r="F175" s="10" t="n"/>
      <c r="G175" s="10" t="inlineStr">
        <is>
          <t>Claude Agent SDKで自分だけのAI Agentをつくろう！</t>
        </is>
      </c>
      <c r="H175" s="10" t="inlineStr">
        <is>
          <t>ModN Tech Lounge</t>
        </is>
      </c>
      <c r="I175" s="10" t="n"/>
      <c r="J175" s="10" t="inlineStr">
        <is>
          <t>connpass</t>
        </is>
      </c>
      <c r="K175" s="10" t="inlineStr">
        <is>
          <t>オンライン</t>
        </is>
      </c>
      <c r="L175" s="10" t="inlineStr">
        <is>
          <t>オンライン</t>
        </is>
      </c>
      <c r="M175" s="10" t="inlineStr">
        <is>
          <t>営業・マーケ・CS</t>
        </is>
      </c>
      <c r="N175" s="10" t="inlineStr">
        <is>
          <t>AIエージェント</t>
        </is>
      </c>
      <c r="O175" s="12" t="inlineStr">
        <is>
          <t>◎</t>
        </is>
      </c>
      <c r="P175" s="13" t="n">
        <v>23</v>
      </c>
      <c r="Q175" s="12" t="inlineStr">
        <is>
          <t>参加者数</t>
        </is>
      </c>
      <c r="R175" s="14" t="n"/>
      <c r="S175" s="10" t="n"/>
      <c r="T175" s="10" t="n"/>
      <c r="U175" s="15" t="inlineStr">
        <is>
          <t>https://modn-tech.connpass.com/event/400145/</t>
        </is>
      </c>
      <c r="V175" s="10" t="n"/>
      <c r="W175" s="10" t="inlineStr">
        <is>
          <t>タイトル一致</t>
        </is>
      </c>
      <c r="X175" s="10" t="n"/>
    </row>
    <row r="176">
      <c r="A176" s="10" t="n">
        <v>175</v>
      </c>
      <c r="B176" s="24" t="n">
        <v>46227</v>
      </c>
      <c r="C176" s="24" t="n">
        <v>46227</v>
      </c>
      <c r="D176" s="10">
        <f>MONTH(B176)&amp;"月"</f>
        <v/>
      </c>
      <c r="E176" s="12" t="n">
        <v>1</v>
      </c>
      <c r="F176" s="10" t="n"/>
      <c r="G176" s="10" t="inlineStr">
        <is>
          <t>DX&amp;AI Forum Online 2026 夏</t>
        </is>
      </c>
      <c r="H176" s="10" t="inlineStr">
        <is>
          <t>SBクリエイティブ株式会社（ビジネス＋IT）</t>
        </is>
      </c>
      <c r="I176" s="10" t="n"/>
      <c r="J176" s="10" t="inlineStr">
        <is>
          <t>ビジネス+IT</t>
        </is>
      </c>
      <c r="K176" s="10" t="inlineStr">
        <is>
          <t>online</t>
        </is>
      </c>
      <c r="L176" s="10" t="inlineStr">
        <is>
          <t>オンライン</t>
        </is>
      </c>
      <c r="M176" s="10" t="inlineStr">
        <is>
          <t>生産性向上・業務効率化</t>
        </is>
      </c>
      <c r="N176" s="10" t="inlineStr">
        <is>
          <t>AIエージェント</t>
        </is>
      </c>
      <c r="O176" s="12" t="inlineStr">
        <is>
          <t>○</t>
        </is>
      </c>
      <c r="P176" s="13" t="n"/>
      <c r="Q176" s="12" t="inlineStr">
        <is>
          <t>不明</t>
        </is>
      </c>
      <c r="R176" s="14" t="n"/>
      <c r="S176" s="10" t="n"/>
      <c r="T176" s="10" t="inlineStr">
        <is>
          <t>生成AIからAGI（汎用人工知能）、そして実世界で稼働するフィジカルAIへ――技術の進化が加速する今、企業に求められるのは単なる業務効率化を超えた「デジタル変革（DX）」の実現です。自律的にタスクを遂行するAIエージェントが普及するなか、AIに任せる領域と人が価値を生む領域を見極め、「AIと人の協業」を前提とした組織への転換が競争力を左右します。本フォーラム「DX &amp; AI Forum Online 2026 夏」では、業界の最前線をリ</t>
        </is>
      </c>
      <c r="U176" s="15" t="inlineStr">
        <is>
          <t>https://www.sbbit.jp/eventinfo/88483</t>
        </is>
      </c>
      <c r="V176" s="10" t="n"/>
      <c r="W176" s="10" t="inlineStr">
        <is>
          <t>本文一致</t>
        </is>
      </c>
      <c r="X176" s="10" t="n"/>
    </row>
    <row r="177">
      <c r="A177" s="10" t="n">
        <v>176</v>
      </c>
      <c r="B177" s="24" t="n">
        <v>46227</v>
      </c>
      <c r="C177" s="24" t="n">
        <v>46227</v>
      </c>
      <c r="D177" s="10">
        <f>MONTH(B177)&amp;"月"</f>
        <v/>
      </c>
      <c r="E177" s="12" t="n">
        <v>1</v>
      </c>
      <c r="F177" s="10" t="n"/>
      <c r="G177" s="10" t="inlineStr">
        <is>
          <t>KCSを成功させるコンタクトセンターAI活用戦略  ―Omnis × Gemini で実現する「磨き続けるFAQ」―</t>
        </is>
      </c>
      <c r="H177" s="10" t="inlineStr">
        <is>
          <t>丸紅I-DIGIOグループ 流通・産業ソリューションセグメント</t>
        </is>
      </c>
      <c r="I177" s="10" t="inlineStr">
        <is>
          <t>グーグル・クラウド・ ジャパン合同会社</t>
        </is>
      </c>
      <c r="J177" s="10" t="inlineStr">
        <is>
          <t>Doorkeeper</t>
        </is>
      </c>
      <c r="K177" s="10" t="inlineStr">
        <is>
          <t>オンライン</t>
        </is>
      </c>
      <c r="L177" s="10" t="inlineStr">
        <is>
          <t>Webセミナー（URLは主催企業からメールでお知らせします） オンライン</t>
        </is>
      </c>
      <c r="M177" s="10" t="inlineStr">
        <is>
          <t>営業・マーケ・CS</t>
        </is>
      </c>
      <c r="N177" s="10" t="inlineStr">
        <is>
          <t>AIエージェント</t>
        </is>
      </c>
      <c r="O177" s="12" t="inlineStr">
        <is>
          <t>○</t>
        </is>
      </c>
      <c r="P177" s="13" t="n">
        <v>0</v>
      </c>
      <c r="Q177" s="12" t="inlineStr">
        <is>
          <t>参加者数</t>
        </is>
      </c>
      <c r="R177" s="14" t="n"/>
      <c r="S177" s="10" t="n"/>
      <c r="T177" s="10" t="inlineStr">
        <is>
          <t xml:space="preserve"> 本セミナーはWebセミナーです ウェビナーツール「Zoom」を利用して開催します。 上記でご登録いただく個人情報の一部（氏名・メールアドレス）は、Zoom Video Communications, Incに提供いたします。 参加方法（URL）は主催企業より直接メールにてご連絡いたします。 「marubeni-idigio.com」「osslabo.com」「majisemi.com」からのメールが迷惑メールとならないよう、メールの設</t>
        </is>
      </c>
      <c r="U177" s="15" t="inlineStr">
        <is>
          <t>https://majisemi-sales.doorkeeper.jp/events/198186</t>
        </is>
      </c>
      <c r="V177" s="10" t="n"/>
      <c r="W177" s="10" t="inlineStr">
        <is>
          <t>本文一致</t>
        </is>
      </c>
      <c r="X177" s="10" t="n"/>
    </row>
    <row r="178">
      <c r="A178" s="10" t="n">
        <v>177</v>
      </c>
      <c r="B178" s="24" t="n">
        <v>46227</v>
      </c>
      <c r="C178" s="24" t="n">
        <v>46227</v>
      </c>
      <c r="D178" s="10">
        <f>MONTH(B178)&amp;"月"</f>
        <v/>
      </c>
      <c r="E178" s="12" t="n">
        <v>1</v>
      </c>
      <c r="F178" s="10" t="n"/>
      <c r="G178" s="10" t="inlineStr">
        <is>
          <t>MOTEX Tech Scope #1 〜AWSを用いたAIエージェントの構築と活用〜</t>
        </is>
      </c>
      <c r="H178" s="10" t="inlineStr">
        <is>
          <t>エムオーテックス株式会社</t>
        </is>
      </c>
      <c r="I178" s="10" t="n"/>
      <c r="J178" s="10" t="inlineStr">
        <is>
          <t>connpass</t>
        </is>
      </c>
      <c r="K178" s="10" t="inlineStr">
        <is>
          <t>会場</t>
        </is>
      </c>
      <c r="L178" s="10" t="inlineStr">
        <is>
          <t>大阪府大阪市淀川区西中島5-12-12 (エムオーテックス新大阪ビル)</t>
        </is>
      </c>
      <c r="M178" s="10" t="inlineStr">
        <is>
          <t>営業・マーケ・CS</t>
        </is>
      </c>
      <c r="N178" s="10" t="inlineStr">
        <is>
          <t>AIエージェント</t>
        </is>
      </c>
      <c r="O178" s="12" t="inlineStr">
        <is>
          <t>◎</t>
        </is>
      </c>
      <c r="P178" s="13" t="n">
        <v>17</v>
      </c>
      <c r="Q178" s="12" t="inlineStr">
        <is>
          <t>参加者数</t>
        </is>
      </c>
      <c r="R178" s="14" t="n">
        <v>43</v>
      </c>
      <c r="S178" s="10" t="n"/>
      <c r="T178" s="10" t="n"/>
      <c r="U178" s="15" t="inlineStr">
        <is>
          <t>https://motex.connpass.com/event/399745/</t>
        </is>
      </c>
      <c r="V178" s="10" t="n"/>
      <c r="W178" s="10" t="inlineStr">
        <is>
          <t>タイトル一致</t>
        </is>
      </c>
      <c r="X178" s="10" t="n"/>
    </row>
    <row r="179">
      <c r="A179" s="10" t="n">
        <v>178</v>
      </c>
      <c r="B179" s="24" t="n">
        <v>46227</v>
      </c>
      <c r="C179" s="24" t="n">
        <v>46254</v>
      </c>
      <c r="D179" s="10">
        <f>MONTH(B179)&amp;"月"</f>
        <v/>
      </c>
      <c r="E179" s="12" t="n">
        <v>2</v>
      </c>
      <c r="F179" s="10" t="inlineStr">
        <is>
          <t>07/24、08/20</t>
        </is>
      </c>
      <c r="G179" s="10" t="inlineStr">
        <is>
          <t>WACA主催【「顧客行動デザイナー」オープンセミナー Claudeが自動で育つための環境構築手法：日々のAI利用からフィードバック情報を取得、処理、仕組みに変えるエコシステム構築</t>
        </is>
      </c>
      <c r="H179" s="10" t="inlineStr">
        <is>
          <t>一般社団法人ウェブ解析士協会</t>
        </is>
      </c>
      <c r="I179" s="10" t="n"/>
      <c r="J179" s="10" t="inlineStr">
        <is>
          <t>Doorkeeper</t>
        </is>
      </c>
      <c r="K179" s="10" t="inlineStr">
        <is>
          <t>不明</t>
        </is>
      </c>
      <c r="L179" s="10" t="n"/>
      <c r="M179" s="10" t="inlineStr">
        <is>
          <t>営業・マーケ・CS</t>
        </is>
      </c>
      <c r="N179" s="10" t="inlineStr">
        <is>
          <t>MCP</t>
        </is>
      </c>
      <c r="O179" s="12" t="inlineStr">
        <is>
          <t>○</t>
        </is>
      </c>
      <c r="P179" s="13" t="n">
        <v>227</v>
      </c>
      <c r="Q179" s="12" t="inlineStr">
        <is>
          <t>参加者数</t>
        </is>
      </c>
      <c r="R179" s="14" t="n"/>
      <c r="S179" s="10" t="inlineStr">
        <is>
          <t>全2回の合計</t>
        </is>
      </c>
      <c r="T179" s="10" t="inlineStr">
        <is>
          <t xml:space="preserve"> 本セミナーで扱うテーマ 毎日Claudeを使っているのに、「6ヶ月前と何も変わっていない」——これがほとんどのAI活用者の現実です。 ▼ セッションを開くたびに「私はマーケターで…」と同じ自己紹介を繰り返す。毎回ゼロからスタート ▼ プロンプトを磨いても、翌日には別の人間扱い。「うまく伝える技術」は上がるが、「覚えさせる仕組み」は何もない ▼ 3ヶ月前にAIと設計した資料の文脈も、当時使ったプロンプトも、どこにあるかわからない。AIと</t>
        </is>
      </c>
      <c r="U179" s="15" t="inlineStr">
        <is>
          <t>https://web-mining.doorkeeper.jp/events/197996</t>
        </is>
      </c>
      <c r="V179" s="10" t="n"/>
      <c r="W179" s="10" t="inlineStr">
        <is>
          <t>本文一致</t>
        </is>
      </c>
      <c r="X179" s="10" t="n"/>
    </row>
    <row r="180">
      <c r="A180" s="10" t="n">
        <v>179</v>
      </c>
      <c r="B180" s="24" t="n">
        <v>46227</v>
      </c>
      <c r="C180" s="24" t="n">
        <v>46227</v>
      </c>
      <c r="D180" s="10">
        <f>MONTH(B180)&amp;"月"</f>
        <v/>
      </c>
      <c r="E180" s="12" t="n">
        <v>1</v>
      </c>
      <c r="F180" s="10" t="n"/>
      <c r="G180" s="10" t="inlineStr">
        <is>
          <t>【ゆる交流】案件探しってどうしてる？フリーランスの横のつながりを作る会</t>
        </is>
      </c>
      <c r="H180" s="10" t="inlineStr">
        <is>
          <t>EBAフリーランス</t>
        </is>
      </c>
      <c r="I180" s="10" t="n"/>
      <c r="J180" s="10" t="inlineStr">
        <is>
          <t>TECH PLAY</t>
        </is>
      </c>
      <c r="K180" s="10" t="inlineStr">
        <is>
          <t>会場</t>
        </is>
      </c>
      <c r="L180" s="10" t="inlineStr">
        <is>
          <t>EBAテック株式会社 東京都新宿区西新宿6-12-7</t>
        </is>
      </c>
      <c r="M180" s="10" t="inlineStr">
        <is>
          <t>営業・マーケ・CS</t>
        </is>
      </c>
      <c r="N180" s="10" t="inlineStr">
        <is>
          <t>AIエージェント</t>
        </is>
      </c>
      <c r="O180" s="12" t="inlineStr">
        <is>
          <t>○</t>
        </is>
      </c>
      <c r="P180" s="13" t="n"/>
      <c r="Q180" s="12" t="inlineStr">
        <is>
          <t>非公開</t>
        </is>
      </c>
      <c r="R180" s="14" t="n">
        <v>10</v>
      </c>
      <c r="S180" s="10" t="n"/>
      <c r="T180" s="10" t="inlineStr">
        <is>
          <t>イベント概要 「案件、どうやって探してる？」 「確定申告、毎年ギリギリになっちゃう…」 「ひとり作業、たまに人と話したくなる」 フリーランスって自由だけど、こういう"ちょっとした悩み"を気軽に相談できる相手って、意外と少なくないですか？ この交流会は、フリーランスエンジニア同士がリアルな悩みやノウハウをゆるっと話せる横のつながりの場です。 セミナーでも営業でもありません。参加者同士の情報交換がメインで、私たちEBAは"場"を提供するだけ</t>
        </is>
      </c>
      <c r="U180" s="15" t="inlineStr">
        <is>
          <t>https://techplay.jp/event/997410</t>
        </is>
      </c>
      <c r="V180" s="10" t="n"/>
      <c r="W180" s="10" t="inlineStr">
        <is>
          <t>本文一致</t>
        </is>
      </c>
      <c r="X180" s="10" t="n"/>
    </row>
    <row r="181">
      <c r="A181" s="10" t="n">
        <v>180</v>
      </c>
      <c r="B181" s="24" t="n">
        <v>46227</v>
      </c>
      <c r="C181" s="24" t="n">
        <v>46227</v>
      </c>
      <c r="D181" s="10">
        <f>MONTH(B181)&amp;"月"</f>
        <v/>
      </c>
      <c r="E181" s="12" t="n">
        <v>1</v>
      </c>
      <c r="F181" s="10" t="n"/>
      <c r="G181" s="10" t="inlineStr">
        <is>
          <t>【歯科医院経営者限定】 ClaudeCode実践セミナー 診療効率化と人事評価制度で"辞めない・儲かる"医院をつくる活用術</t>
        </is>
      </c>
      <c r="H181" s="10" t="inlineStr">
        <is>
          <t>給与アップ研究所セミナー事務局</t>
        </is>
      </c>
      <c r="I181" s="10" t="n"/>
      <c r="J181" s="10" t="inlineStr">
        <is>
          <t>こくちーずプロ</t>
        </is>
      </c>
      <c r="K181" s="10" t="inlineStr">
        <is>
          <t>オンライン</t>
        </is>
      </c>
      <c r="L181" s="10" t="inlineStr">
        <is>
          <t>オンライン 日本</t>
        </is>
      </c>
      <c r="M181" s="10" t="inlineStr">
        <is>
          <t>営業・マーケ・CS</t>
        </is>
      </c>
      <c r="N181" s="10" t="inlineStr">
        <is>
          <t>AIエージェント</t>
        </is>
      </c>
      <c r="O181" s="12" t="inlineStr">
        <is>
          <t>◎</t>
        </is>
      </c>
      <c r="P181" s="13" t="n">
        <v>1</v>
      </c>
      <c r="Q181" s="12" t="inlineStr">
        <is>
          <t>参加者数</t>
        </is>
      </c>
      <c r="R181" s="14" t="n">
        <v>100</v>
      </c>
      <c r="S181" s="10" t="n"/>
      <c r="T181" s="10" t="inlineStr">
        <is>
          <t>【歯科医院経営者限定】 ClaudeCode実践セミナー 診療効率化と人事評価制度で"辞めない・儲かる"医院をつくる活用術 ━━━━━━━━━━━━━━━━━━ ■開催概要 ━━━━━━━━━━━━━━━━━━ 日時：2026年7月24日（金）12:00～13:00 形式：オンライン（Zoom） 参加費：無料 ━━━━━━━━━━━━━━━━━━ ■このようなお悩みはありませんか？ ━━━━━━━━━━━━━━━━━━ ・求人を出しても</t>
        </is>
      </c>
      <c r="U181" s="15" t="inlineStr">
        <is>
          <t>https://www.kokuchpro.com/event/67c704a6ba119ffa603f407c42b657b0/</t>
        </is>
      </c>
      <c r="V181" s="10" t="n"/>
      <c r="W181" s="10" t="inlineStr">
        <is>
          <t>タイトル一致</t>
        </is>
      </c>
      <c r="X181" s="10" t="n"/>
    </row>
    <row r="182">
      <c r="A182" s="10" t="n">
        <v>181</v>
      </c>
      <c r="B182" s="24" t="n">
        <v>46227</v>
      </c>
      <c r="C182" s="24" t="n">
        <v>46227</v>
      </c>
      <c r="D182" s="10">
        <f>MONTH(B182)&amp;"月"</f>
        <v/>
      </c>
      <c r="E182" s="12" t="n">
        <v>1</v>
      </c>
      <c r="F182" s="10" t="n"/>
      <c r="G182" s="10" t="inlineStr">
        <is>
          <t>はじめての AI エージェント開発</t>
        </is>
      </c>
      <c r="H182" s="10" t="inlineStr">
        <is>
          <t>インターシステムズ開発者コミュニティのグループ</t>
        </is>
      </c>
      <c r="I182" s="10" t="n"/>
      <c r="J182" s="10" t="inlineStr">
        <is>
          <t>connpass</t>
        </is>
      </c>
      <c r="K182" s="10" t="inlineStr">
        <is>
          <t>オンライン</t>
        </is>
      </c>
      <c r="L182" s="10" t="inlineStr">
        <is>
          <t>オンライン</t>
        </is>
      </c>
      <c r="M182" s="10" t="inlineStr">
        <is>
          <t>開発生産性</t>
        </is>
      </c>
      <c r="N182" s="10" t="inlineStr">
        <is>
          <t>AIエージェント</t>
        </is>
      </c>
      <c r="O182" s="12" t="inlineStr">
        <is>
          <t>○</t>
        </is>
      </c>
      <c r="P182" s="13" t="n">
        <v>7</v>
      </c>
      <c r="Q182" s="12" t="inlineStr">
        <is>
          <t>参加者数</t>
        </is>
      </c>
      <c r="R182" s="14" t="n">
        <v>50</v>
      </c>
      <c r="S182" s="10" t="n"/>
      <c r="T182" s="10" t="n"/>
      <c r="U182" s="15" t="inlineStr">
        <is>
          <t>https://intersystems-dc.connpass.com/event/398426/</t>
        </is>
      </c>
      <c r="V182" s="10" t="n"/>
      <c r="W182" s="10" t="inlineStr">
        <is>
          <t>タイトル一致</t>
        </is>
      </c>
      <c r="X182" s="10" t="n"/>
    </row>
    <row r="183">
      <c r="A183" s="10" t="n">
        <v>182</v>
      </c>
      <c r="B183" s="24" t="n">
        <v>46227</v>
      </c>
      <c r="C183" s="24" t="n">
        <v>46227</v>
      </c>
      <c r="D183" s="10">
        <f>MONTH(B183)&amp;"月"</f>
        <v/>
      </c>
      <c r="E183" s="12" t="n">
        <v>1</v>
      </c>
      <c r="F183" s="10" t="n"/>
      <c r="G183" s="10" t="inlineStr">
        <is>
          <t>バクラクシリーズを一挙公開！AIエージェントがバックオフィスをどう変える？</t>
        </is>
      </c>
      <c r="H183" s="10" t="inlineStr">
        <is>
          <t>株式会社LayerX</t>
        </is>
      </c>
      <c r="I183" s="10" t="n"/>
      <c r="J183" s="10" t="inlineStr">
        <is>
          <t>ビジネス+IT</t>
        </is>
      </c>
      <c r="K183" s="10" t="inlineStr">
        <is>
          <t>online</t>
        </is>
      </c>
      <c r="L183" s="10" t="inlineStr">
        <is>
          <t>オンライン</t>
        </is>
      </c>
      <c r="M183" s="10" t="inlineStr">
        <is>
          <t>生産性向上・業務効率化</t>
        </is>
      </c>
      <c r="N183" s="10" t="inlineStr">
        <is>
          <t>AIエージェント</t>
        </is>
      </c>
      <c r="O183" s="12" t="inlineStr">
        <is>
          <t>◎</t>
        </is>
      </c>
      <c r="P183" s="13" t="n"/>
      <c r="Q183" s="12" t="inlineStr">
        <is>
          <t>不明</t>
        </is>
      </c>
      <c r="R183" s="14" t="n"/>
      <c r="S183" s="10" t="n"/>
      <c r="T183" s="10" t="inlineStr">
        <is>
          <t>バクラクシリーズを一挙公開！AIエージェントがバックオフィスをどう変える？ AIの進化によって、経理・労務・総務などバックオフィスの業務はこれまで以上に効率化・高度化が可能になっています。なかでも近年注目を集めるAIエージェントは、単なる自動化にとどまらず、日常業務の中でAIが判断や処理をアシストすることで、バックオフィス担当者の業務負荷を根本から変える存在として期待されています。 本ウェビナーでは、バックオフィス業務に特化したAIエー</t>
        </is>
      </c>
      <c r="U183" s="15" t="inlineStr">
        <is>
          <t>https://www.sbbit.jp/eventinfo/89562</t>
        </is>
      </c>
      <c r="V183" s="10" t="n"/>
      <c r="W183" s="10" t="inlineStr">
        <is>
          <t>タイトル一致</t>
        </is>
      </c>
      <c r="X183" s="10" t="n"/>
    </row>
    <row r="184">
      <c r="A184" s="10" t="n">
        <v>183</v>
      </c>
      <c r="B184" s="24" t="n">
        <v>46227</v>
      </c>
      <c r="C184" s="24" t="n">
        <v>46227</v>
      </c>
      <c r="D184" s="10">
        <f>MONTH(B184)&amp;"月"</f>
        <v/>
      </c>
      <c r="E184" s="12" t="n">
        <v>1</v>
      </c>
      <c r="F184" s="10" t="n"/>
      <c r="G184" s="10" t="inlineStr">
        <is>
          <t>経営者向け Claude Cowork 実習 AI経営者育成プログラム</t>
        </is>
      </c>
      <c r="H184" s="10" t="inlineStr">
        <is>
          <t>名古屋AI経営サミット</t>
        </is>
      </c>
      <c r="I184" s="10" t="n"/>
      <c r="J184" s="10" t="inlineStr">
        <is>
          <t>こくちーずプロ</t>
        </is>
      </c>
      <c r="K184" s="10" t="inlineStr">
        <is>
          <t>オンライン</t>
        </is>
      </c>
      <c r="L184" s="10" t="inlineStr">
        <is>
          <t>オンライン 日本</t>
        </is>
      </c>
      <c r="M184" s="10" t="inlineStr">
        <is>
          <t>生産性向上・業務効率化</t>
        </is>
      </c>
      <c r="N184" s="10" t="inlineStr">
        <is>
          <t>AIエージェント</t>
        </is>
      </c>
      <c r="O184" s="12" t="inlineStr">
        <is>
          <t>◎</t>
        </is>
      </c>
      <c r="P184" s="13" t="n">
        <v>2</v>
      </c>
      <c r="Q184" s="12" t="inlineStr">
        <is>
          <t>参加者数</t>
        </is>
      </c>
      <c r="R184" s="14" t="n">
        <v>12</v>
      </c>
      <c r="S184" s="10" t="n"/>
      <c r="T184" s="10" t="inlineStr">
        <is>
          <t>―― AIエージェント を、社長自身の手で。 基 礎から手取り足取り、1日でつかむ。 ChatGPTもGeminiも、もう触ったことがある。それなりに便利だと思っている。 それでも、経営は何か変わったでしょうか。 2026年、AIの世界では大きな地殻変動が起きています。 ChatGPTやGeminiといった「チャット型AI」と、Claude Coworkに代表される「AIエージェント型」は、もはや別の道具です。 同じAIという言葉でくく</t>
        </is>
      </c>
      <c r="U184" s="15" t="inlineStr">
        <is>
          <t>https://www.kokuchpro.com/event/91cc61cd97deb249b6ac048980895ff7/</t>
        </is>
      </c>
      <c r="V184" s="10" t="n"/>
      <c r="W184" s="10" t="inlineStr">
        <is>
          <t>タイトル一致</t>
        </is>
      </c>
      <c r="X184" s="10" t="n"/>
    </row>
    <row r="185">
      <c r="A185" s="10" t="n">
        <v>184</v>
      </c>
      <c r="B185" s="24" t="n">
        <v>46228</v>
      </c>
      <c r="C185" s="24" t="n">
        <v>46228</v>
      </c>
      <c r="D185" s="10">
        <f>MONTH(B185)&amp;"月"</f>
        <v/>
      </c>
      <c r="E185" s="12" t="n">
        <v>1</v>
      </c>
      <c r="F185" s="10" t="n"/>
      <c r="G185" s="10" t="inlineStr">
        <is>
          <t>1つのAPIの裏にAIチームがいる — Sakana Fugu Ultra徹底解剖</t>
        </is>
      </c>
      <c r="H185" s="10" t="inlineStr">
        <is>
          <t>株式会社くすりの窓口</t>
        </is>
      </c>
      <c r="I185" s="10" t="n"/>
      <c r="J185" s="10" t="inlineStr">
        <is>
          <t>TECH PLAY</t>
        </is>
      </c>
      <c r="K185" s="10" t="inlineStr">
        <is>
          <t>オンライン</t>
        </is>
      </c>
      <c r="L185" s="10" t="n"/>
      <c r="M185" s="10" t="inlineStr">
        <is>
          <t>開発生産性</t>
        </is>
      </c>
      <c r="N185" s="10" t="inlineStr">
        <is>
          <t>AIエージェント</t>
        </is>
      </c>
      <c r="O185" s="12" t="inlineStr">
        <is>
          <t>△</t>
        </is>
      </c>
      <c r="P185" s="13" t="n">
        <v>7</v>
      </c>
      <c r="Q185" s="12" t="inlineStr">
        <is>
          <t>申込者数</t>
        </is>
      </c>
      <c r="R185" s="14" t="n">
        <v>100</v>
      </c>
      <c r="S185" s="10" t="n"/>
      <c r="T185" s="10" t="inlineStr">
        <is>
          <t>イベント概要 2026年6月22日、日本のAIスタートアップ Sakana AI が「Sakana Fugu」をリリースしました。一部ベンチマークで Anthropic の最新モデル「Claude Fable 5」を上回ったという報道もあり、大きな話題を集めています。 しかし Fugu は単体のLLMではなく、GPT・Claude・Gemini といった複数のフロンティアモデルをチームとして指揮するマルチエージェント・オーケストレーショ</t>
        </is>
      </c>
      <c r="U185" s="15" t="inlineStr">
        <is>
          <t>https://techplay.jp/event/998308</t>
        </is>
      </c>
      <c r="V185" s="10" t="n"/>
      <c r="W185" s="10" t="inlineStr">
        <is>
          <t>本文一致</t>
        </is>
      </c>
      <c r="X185" s="10" t="n"/>
    </row>
    <row r="186">
      <c r="A186" s="10" t="n">
        <v>185</v>
      </c>
      <c r="B186" s="24" t="n">
        <v>46228</v>
      </c>
      <c r="C186" s="24" t="n">
        <v>46228</v>
      </c>
      <c r="D186" s="10">
        <f>MONTH(B186)&amp;"月"</f>
        <v/>
      </c>
      <c r="E186" s="12" t="n">
        <v>1</v>
      </c>
      <c r="F186" s="10" t="n"/>
      <c r="G186" s="10" t="inlineStr">
        <is>
          <t>AIがあなた仕様になる。CLAUDE.md であなたの癖とルールを覚えた Claude Code が、あなたの分身として働く</t>
        </is>
      </c>
      <c r="H186" s="10" t="inlineStr">
        <is>
          <t>デジタルレイバーズ</t>
        </is>
      </c>
      <c r="I186" s="10" t="n"/>
      <c r="J186" s="10" t="inlineStr">
        <is>
          <t>TECH PLAY</t>
        </is>
      </c>
      <c r="K186" s="10" t="inlineStr">
        <is>
          <t>オンライン</t>
        </is>
      </c>
      <c r="L186" s="10" t="n"/>
      <c r="M186" s="10" t="inlineStr">
        <is>
          <t>開発生産性</t>
        </is>
      </c>
      <c r="N186" s="10" t="inlineStr">
        <is>
          <t>AIエージェント</t>
        </is>
      </c>
      <c r="O186" s="12" t="inlineStr">
        <is>
          <t>○</t>
        </is>
      </c>
      <c r="P186" s="13" t="n">
        <v>18</v>
      </c>
      <c r="Q186" s="12" t="inlineStr">
        <is>
          <t>申込者数</t>
        </is>
      </c>
      <c r="R186" s="14" t="n">
        <v>60</v>
      </c>
      <c r="S186" s="10" t="n"/>
      <c r="T186" s="10" t="inlineStr">
        <is>
          <t>簡単な紹介 CLAUDE.mdであなたの癖とルールを覚えたClaude Codeを、あなたの分身として働かせる——その設計法を朝の60分で体系的に学べるセミナーです。 イベントについて 本セミナーは、AIを日々の業務に取り入れたい経営者・幹部の方を対象に、Claude・Claude Codeを「毎回指示を出す道具」ではなく「あなたの癖とルールを理解した分身」として捉え直すための講義型セミナーです。 多くの経営者が、AIに同じ説明を何度も</t>
        </is>
      </c>
      <c r="U186" s="15" t="inlineStr">
        <is>
          <t>https://techplay.jp/event/997952</t>
        </is>
      </c>
      <c r="V186" s="10" t="n"/>
      <c r="W186" s="10" t="inlineStr">
        <is>
          <t>タイトル一致</t>
        </is>
      </c>
      <c r="X186" s="10" t="n"/>
    </row>
    <row r="187">
      <c r="A187" s="10" t="n">
        <v>186</v>
      </c>
      <c r="B187" s="24" t="n">
        <v>46228</v>
      </c>
      <c r="C187" s="24" t="n">
        <v>46228</v>
      </c>
      <c r="D187" s="10">
        <f>MONTH(B187)&amp;"月"</f>
        <v/>
      </c>
      <c r="E187" s="12" t="n">
        <v>1</v>
      </c>
      <c r="F187" s="10" t="n"/>
      <c r="G187" s="10" t="inlineStr">
        <is>
          <t>第3回ハンズオン勉強会 Codex CLI 深掘り①（ChatGPT 有料プラン契約必須）</t>
        </is>
      </c>
      <c r="H187" s="10" t="inlineStr">
        <is>
          <t>CDLE熊本</t>
        </is>
      </c>
      <c r="I187" s="10" t="n"/>
      <c r="J187" s="10" t="inlineStr">
        <is>
          <t>connpass</t>
        </is>
      </c>
      <c r="K187" s="10" t="inlineStr">
        <is>
          <t>会場</t>
        </is>
      </c>
      <c r="L187" s="10" t="inlineStr">
        <is>
          <t>熊本県熊本市西区春日1丁目14-1</t>
        </is>
      </c>
      <c r="M187" s="10" t="inlineStr">
        <is>
          <t>開発生産性</t>
        </is>
      </c>
      <c r="N187" s="10" t="inlineStr">
        <is>
          <t>AIエージェント</t>
        </is>
      </c>
      <c r="O187" s="12" t="inlineStr">
        <is>
          <t>○</t>
        </is>
      </c>
      <c r="P187" s="13" t="n">
        <v>11</v>
      </c>
      <c r="Q187" s="12" t="inlineStr">
        <is>
          <t>参加者数</t>
        </is>
      </c>
      <c r="R187" s="14" t="n">
        <v>13</v>
      </c>
      <c r="S187" s="10" t="n"/>
      <c r="T187" s="10" t="n"/>
      <c r="U187" s="15" t="inlineStr">
        <is>
          <t>https://cdle-kumamoto.connpass.com/event/397343/</t>
        </is>
      </c>
      <c r="V187" s="10" t="n"/>
      <c r="W187" s="10" t="inlineStr">
        <is>
          <t>タイトル一致</t>
        </is>
      </c>
      <c r="X187" s="10" t="n"/>
    </row>
    <row r="188">
      <c r="A188" s="10" t="n">
        <v>187</v>
      </c>
      <c r="B188" s="24" t="n">
        <v>46230</v>
      </c>
      <c r="C188" s="24" t="n">
        <v>46230</v>
      </c>
      <c r="D188" s="10">
        <f>MONTH(B188)&amp;"月"</f>
        <v/>
      </c>
      <c r="E188" s="12" t="n">
        <v>1</v>
      </c>
      <c r="F188" s="10" t="n"/>
      <c r="G188" s="10" t="inlineStr">
        <is>
          <t>AIエージェントキャッチアップ #85 - herdr</t>
        </is>
      </c>
      <c r="H188" s="10" t="inlineStr">
        <is>
          <t>ジェネラティブエージェンツ / Generative Agents</t>
        </is>
      </c>
      <c r="I188" s="10" t="n"/>
      <c r="J188" s="10" t="inlineStr">
        <is>
          <t>connpass</t>
        </is>
      </c>
      <c r="K188" s="10" t="inlineStr">
        <is>
          <t>オンライン</t>
        </is>
      </c>
      <c r="L188" s="10" t="inlineStr">
        <is>
          <t>オンライン</t>
        </is>
      </c>
      <c r="M188" s="10" t="inlineStr">
        <is>
          <t>技術・AI全般</t>
        </is>
      </c>
      <c r="N188" s="10" t="inlineStr">
        <is>
          <t>AIエージェント</t>
        </is>
      </c>
      <c r="O188" s="12" t="inlineStr">
        <is>
          <t>○</t>
        </is>
      </c>
      <c r="P188" s="13" t="n">
        <v>59</v>
      </c>
      <c r="Q188" s="12" t="inlineStr">
        <is>
          <t>参加者数</t>
        </is>
      </c>
      <c r="R188" s="14" t="n">
        <v>200</v>
      </c>
      <c r="S188" s="10" t="n"/>
      <c r="T188" s="10" t="n"/>
      <c r="U188" s="15" t="inlineStr">
        <is>
          <t>https://generative-agents.connpass.com/event/400928/</t>
        </is>
      </c>
      <c r="V188" s="10" t="n"/>
      <c r="W188" s="10" t="inlineStr">
        <is>
          <t>タイトル一致</t>
        </is>
      </c>
      <c r="X188" s="10" t="n"/>
    </row>
    <row r="189">
      <c r="A189" s="10" t="n">
        <v>188</v>
      </c>
      <c r="B189" s="24" t="n">
        <v>46230</v>
      </c>
      <c r="C189" s="24" t="n">
        <v>46230</v>
      </c>
      <c r="D189" s="10">
        <f>MONTH(B189)&amp;"月"</f>
        <v/>
      </c>
      <c r="E189" s="12" t="n">
        <v>1</v>
      </c>
      <c r="F189" s="10" t="n"/>
      <c r="G189" s="10" t="inlineStr">
        <is>
          <t>【AIB協会・無償セミナー】生成AI実務最前線</t>
        </is>
      </c>
      <c r="H189" s="10" t="inlineStr">
        <is>
          <t>人工知能ビジネス創出協会</t>
        </is>
      </c>
      <c r="I189" s="10" t="n"/>
      <c r="J189" s="10" t="inlineStr">
        <is>
          <t>TECH PLAY</t>
        </is>
      </c>
      <c r="K189" s="10" t="inlineStr">
        <is>
          <t>ハイブリッド</t>
        </is>
      </c>
      <c r="L189" s="10" t="inlineStr">
        <is>
          <t>山王健保会館・会議室（山王） 東京都港区赤坂2-5-6</t>
        </is>
      </c>
      <c r="M189" s="10" t="inlineStr">
        <is>
          <t>生産性向上・業務効率化</t>
        </is>
      </c>
      <c r="N189" s="10" t="inlineStr">
        <is>
          <t>AIエージェント</t>
        </is>
      </c>
      <c r="O189" s="12" t="inlineStr">
        <is>
          <t>○</t>
        </is>
      </c>
      <c r="P189" s="13" t="n">
        <v>63</v>
      </c>
      <c r="Q189" s="12" t="inlineStr">
        <is>
          <t>申込者数</t>
        </is>
      </c>
      <c r="R189" s="14" t="n">
        <v>80</v>
      </c>
      <c r="S189" s="10" t="n"/>
      <c r="T189" s="10" t="inlineStr">
        <is>
          <t>生成AI実務最前線 概要 生成AIの急速な進化により業務のあり方は大きく変わっています。本セミナーでは、株式会社松尾研究所の金剛洙氏を招き、「生成AI実務最前線」をテーマに解説します。 株式会社松尾研究所の金剛洙氏、弁理士及び弁護士が、生成AIが業務に与えている影響を説明します。生成AI／AIエージェントの導入・活用を検討する企業担当者にとって、今後の方向性を考えるための実践的な内容です。 参加要領 • 日時：2026年7月27日（月）</t>
        </is>
      </c>
      <c r="U189" s="15" t="inlineStr">
        <is>
          <t>https://techplay.jp/event/995211</t>
        </is>
      </c>
      <c r="V189" s="10" t="n"/>
      <c r="W189" s="10" t="inlineStr">
        <is>
          <t>本文一致</t>
        </is>
      </c>
      <c r="X189" s="10" t="n"/>
    </row>
    <row r="190">
      <c r="A190" s="10" t="n">
        <v>189</v>
      </c>
      <c r="B190" s="24" t="n">
        <v>46230</v>
      </c>
      <c r="C190" s="24" t="n">
        <v>46230</v>
      </c>
      <c r="D190" s="10">
        <f>MONTH(B190)&amp;"月"</f>
        <v/>
      </c>
      <c r="E190" s="12" t="n">
        <v>1</v>
      </c>
      <c r="F190" s="10" t="n"/>
      <c r="G190" s="10" t="inlineStr">
        <is>
          <t>【途中入退室可】Claude Agent SDKもくもく会！自分だけのAI Agentをつくろう</t>
        </is>
      </c>
      <c r="H190" s="10" t="inlineStr">
        <is>
          <t>ModN Tech Lounge</t>
        </is>
      </c>
      <c r="I190" s="10" t="n"/>
      <c r="J190" s="10" t="inlineStr">
        <is>
          <t>connpass</t>
        </is>
      </c>
      <c r="K190" s="10" t="inlineStr">
        <is>
          <t>オンライン</t>
        </is>
      </c>
      <c r="L190" s="10" t="inlineStr">
        <is>
          <t>オンライン</t>
        </is>
      </c>
      <c r="M190" s="10" t="inlineStr">
        <is>
          <t>営業・マーケ・CS</t>
        </is>
      </c>
      <c r="N190" s="10" t="inlineStr">
        <is>
          <t>AIエージェント</t>
        </is>
      </c>
      <c r="O190" s="12" t="inlineStr">
        <is>
          <t>◎</t>
        </is>
      </c>
      <c r="P190" s="13" t="n">
        <v>8</v>
      </c>
      <c r="Q190" s="12" t="inlineStr">
        <is>
          <t>参加者数</t>
        </is>
      </c>
      <c r="R190" s="14" t="n"/>
      <c r="S190" s="10" t="n"/>
      <c r="T190" s="10" t="n"/>
      <c r="U190" s="15" t="inlineStr">
        <is>
          <t>https://modn-tech.connpass.com/event/400414/</t>
        </is>
      </c>
      <c r="V190" s="10" t="n"/>
      <c r="W190" s="10" t="inlineStr">
        <is>
          <t>タイトル一致</t>
        </is>
      </c>
      <c r="X190" s="10" t="n"/>
    </row>
    <row r="191">
      <c r="A191" s="10" t="n">
        <v>190</v>
      </c>
      <c r="B191" s="24" t="n">
        <v>46230</v>
      </c>
      <c r="C191" s="24" t="n">
        <v>46230</v>
      </c>
      <c r="D191" s="10">
        <f>MONTH(B191)&amp;"月"</f>
        <v/>
      </c>
      <c r="E191" s="12" t="n">
        <v>1</v>
      </c>
      <c r="F191" s="10" t="n"/>
      <c r="G191" s="10" t="inlineStr">
        <is>
          <t>コンタクトセンター支援AIエージェント情報交換会（CCCAA）</t>
        </is>
      </c>
      <c r="H191" s="10" t="inlineStr">
        <is>
          <t>株式会社JALデジタル</t>
        </is>
      </c>
      <c r="I191" s="10" t="n"/>
      <c r="J191" s="10" t="inlineStr">
        <is>
          <t>個別調査（公式サイト・PR TIMES等）</t>
        </is>
      </c>
      <c r="K191" s="10" t="inlineStr">
        <is>
          <t>会場</t>
        </is>
      </c>
      <c r="L191" s="10" t="inlineStr">
        <is>
          <t>msb Tamachi 田町ステーションタワーN 13F</t>
        </is>
      </c>
      <c r="M191" s="10" t="inlineStr">
        <is>
          <t>営業・マーケ・CS</t>
        </is>
      </c>
      <c r="N191" s="10" t="inlineStr">
        <is>
          <t>AIエージェント</t>
        </is>
      </c>
      <c r="O191" s="12" t="inlineStr">
        <is>
          <t>◎</t>
        </is>
      </c>
      <c r="P191" s="13" t="n"/>
      <c r="Q191" s="12" t="inlineStr">
        <is>
          <t>不明</t>
        </is>
      </c>
      <c r="R191" s="14" t="n"/>
      <c r="S191" s="10" t="inlineStr">
        <is>
          <t>申込多数の場合は抽選</t>
        </is>
      </c>
      <c r="T191" s="10" t="inlineStr">
        <is>
          <t>インバウンド業務でAIエージェントを導入している企業同士が、導入・運用の課題を共有する情報交換会。</t>
        </is>
      </c>
      <c r="U191" s="15" t="inlineStr">
        <is>
          <t>https://www.jaldx.co.jp/news/9369.html</t>
        </is>
      </c>
      <c r="V191" s="10" t="n"/>
      <c r="W191" s="10" t="inlineStr">
        <is>
          <t>個別確認</t>
        </is>
      </c>
      <c r="X191" s="10" t="n"/>
    </row>
    <row r="192">
      <c r="A192" s="10" t="n">
        <v>191</v>
      </c>
      <c r="B192" s="24" t="n">
        <v>46231</v>
      </c>
      <c r="C192" s="24" t="n">
        <v>46231</v>
      </c>
      <c r="D192" s="10">
        <f>MONTH(B192)&amp;"月"</f>
        <v/>
      </c>
      <c r="E192" s="12" t="n">
        <v>1</v>
      </c>
      <c r="F192" s="10" t="n"/>
      <c r="G192" s="10" t="inlineStr">
        <is>
          <t>1時間でAIアシスタントをつくる！ビジネスマンのためのCodex活用セミナー【実践編】</t>
        </is>
      </c>
      <c r="H192" s="10" t="inlineStr">
        <is>
          <t>Polyscape</t>
        </is>
      </c>
      <c r="I192" s="10" t="n"/>
      <c r="J192" s="10" t="inlineStr">
        <is>
          <t>connpass</t>
        </is>
      </c>
      <c r="K192" s="10" t="inlineStr">
        <is>
          <t>オンライン</t>
        </is>
      </c>
      <c r="L192" s="10" t="inlineStr">
        <is>
          <t>オンライン</t>
        </is>
      </c>
      <c r="M192" s="10" t="inlineStr">
        <is>
          <t>生産性向上・業務効率化</t>
        </is>
      </c>
      <c r="N192" s="10" t="inlineStr">
        <is>
          <t>AIエージェント</t>
        </is>
      </c>
      <c r="O192" s="12" t="inlineStr">
        <is>
          <t>◎</t>
        </is>
      </c>
      <c r="P192" s="13" t="n">
        <v>29</v>
      </c>
      <c r="Q192" s="12" t="inlineStr">
        <is>
          <t>参加者数</t>
        </is>
      </c>
      <c r="R192" s="14" t="n"/>
      <c r="S192" s="10" t="n"/>
      <c r="T192" s="10" t="n"/>
      <c r="U192" s="15" t="inlineStr">
        <is>
          <t>https://polyscape.connpass.com/event/399872/</t>
        </is>
      </c>
      <c r="V192" s="10" t="n"/>
      <c r="W192" s="10" t="inlineStr">
        <is>
          <t>タイトル一致</t>
        </is>
      </c>
      <c r="X192" s="10" t="n"/>
    </row>
    <row r="193">
      <c r="A193" s="10" t="n">
        <v>192</v>
      </c>
      <c r="B193" s="24" t="n">
        <v>46231</v>
      </c>
      <c r="C193" s="24" t="n">
        <v>46231</v>
      </c>
      <c r="D193" s="10">
        <f>MONTH(B193)&amp;"月"</f>
        <v/>
      </c>
      <c r="E193" s="12" t="n">
        <v>1</v>
      </c>
      <c r="F193" s="10" t="n"/>
      <c r="G193" s="10" t="inlineStr">
        <is>
          <t>7/28(火)	【オンライン開催】AIO/LLMO対策セミナー　SEO対策から次のAI対策へ</t>
        </is>
      </c>
      <c r="H193" s="10" t="inlineStr">
        <is>
          <t>株式会社 バリューエージェント</t>
        </is>
      </c>
      <c r="I193" s="10" t="n"/>
      <c r="J193" s="10" t="inlineStr">
        <is>
          <t>TECH PLAY</t>
        </is>
      </c>
      <c r="K193" s="10" t="inlineStr">
        <is>
          <t>オンライン</t>
        </is>
      </c>
      <c r="L193" s="10" t="n"/>
      <c r="M193" s="10" t="inlineStr">
        <is>
          <t>営業・マーケ・CS</t>
        </is>
      </c>
      <c r="N193" s="10" t="inlineStr">
        <is>
          <t>AIエージェント</t>
        </is>
      </c>
      <c r="O193" s="12" t="inlineStr">
        <is>
          <t>○</t>
        </is>
      </c>
      <c r="P193" s="13" t="n">
        <v>2</v>
      </c>
      <c r="Q193" s="12" t="inlineStr">
        <is>
          <t>参加者数</t>
        </is>
      </c>
      <c r="R193" s="14" t="n">
        <v>20</v>
      </c>
      <c r="S193" s="10" t="n"/>
      <c r="T193" s="10" t="inlineStr">
        <is>
          <t>AIO/LLMO対策セミナー SEO対策から次のAI対策へ AIに関する知識をもっと上げたい AIを使ってのWEBマーケティングって何ができるの？と感じている AIの登場で、自社の集客がどうなるか不安がある WEBマーケティングに本格的に力を入れていきたい Webマーケティングのバリューエージェントでは、AI時代にプロがどのようにAIを活用しているかをお伝えするWEBマーケティングセミナーを開催することになりました。 AIを使った業務の</t>
        </is>
      </c>
      <c r="U193" s="15" t="inlineStr">
        <is>
          <t>https://techplay.jp/event/997971</t>
        </is>
      </c>
      <c r="V193" s="15" t="inlineStr">
        <is>
          <t>https://www.kokuchpro.com/event/b2624e237d36b1bd3ea00351befb8342/</t>
        </is>
      </c>
      <c r="W193" s="10" t="inlineStr">
        <is>
          <t>本文一致</t>
        </is>
      </c>
      <c r="X193" s="10" t="n"/>
    </row>
    <row r="194">
      <c r="A194" s="10" t="n">
        <v>193</v>
      </c>
      <c r="B194" s="24" t="n">
        <v>46231</v>
      </c>
      <c r="C194" s="24" t="n">
        <v>46291</v>
      </c>
      <c r="D194" s="10">
        <f>MONTH(B194)&amp;"月"</f>
        <v/>
      </c>
      <c r="E194" s="12" t="n">
        <v>2</v>
      </c>
      <c r="F194" s="10" t="inlineStr">
        <is>
          <t>07/28、09/26</t>
        </is>
      </c>
      <c r="G194" s="10" t="inlineStr">
        <is>
          <t>AI Agent Okinawa #9  オンライン開催</t>
        </is>
      </c>
      <c r="H194" s="10" t="inlineStr">
        <is>
          <t>AI Agent Okinawa</t>
        </is>
      </c>
      <c r="I194" s="10" t="n"/>
      <c r="J194" s="10" t="inlineStr">
        <is>
          <t>connpass</t>
        </is>
      </c>
      <c r="K194" s="10" t="inlineStr">
        <is>
          <t>オンライン</t>
        </is>
      </c>
      <c r="L194" s="10" t="inlineStr">
        <is>
          <t>(場所未定)</t>
        </is>
      </c>
      <c r="M194" s="10" t="inlineStr">
        <is>
          <t>技術・AI全般</t>
        </is>
      </c>
      <c r="N194" s="10" t="inlineStr">
        <is>
          <t>AIエージェント</t>
        </is>
      </c>
      <c r="O194" s="12" t="inlineStr">
        <is>
          <t>○</t>
        </is>
      </c>
      <c r="P194" s="13" t="n">
        <v>18</v>
      </c>
      <c r="Q194" s="12" t="inlineStr">
        <is>
          <t>参加者数</t>
        </is>
      </c>
      <c r="R194" s="14" t="n">
        <v>40</v>
      </c>
      <c r="S194" s="10" t="inlineStr">
        <is>
          <t>全2回の合計</t>
        </is>
      </c>
      <c r="T194" s="10" t="n"/>
      <c r="U194" s="15" t="inlineStr">
        <is>
          <t>https://ai-agent-okinawa.connpass.com/event/401141/</t>
        </is>
      </c>
      <c r="V194" s="10" t="n"/>
      <c r="W194" s="10" t="inlineStr">
        <is>
          <t>タイトル一致</t>
        </is>
      </c>
      <c r="X194" s="10" t="n"/>
    </row>
    <row r="195">
      <c r="A195" s="10" t="n">
        <v>194</v>
      </c>
      <c r="B195" s="24" t="n">
        <v>46231</v>
      </c>
      <c r="C195" s="24" t="n">
        <v>46231</v>
      </c>
      <c r="D195" s="10">
        <f>MONTH(B195)&amp;"月"</f>
        <v/>
      </c>
      <c r="E195" s="12" t="n">
        <v>1</v>
      </c>
      <c r="F195" s="10" t="n"/>
      <c r="G195" s="10" t="inlineStr">
        <is>
          <t>AIエージェント「運用」のリアル ― 現場で本当に起きた"想定外"と見えないガードレールのデモ【現地＆オンライン】</t>
        </is>
      </c>
      <c r="H195" s="10" t="inlineStr">
        <is>
          <t>株式会社datagusto</t>
        </is>
      </c>
      <c r="I195" s="10" t="n"/>
      <c r="J195" s="10" t="inlineStr">
        <is>
          <t>TECH PLAY</t>
        </is>
      </c>
      <c r="K195" s="10" t="inlineStr">
        <is>
          <t>ハイブリッド</t>
        </is>
      </c>
      <c r="L195" s="10" t="inlineStr">
        <is>
          <t>KERNEL HONGO 東京都文京区本郷４丁目１−４ Design Place α, 3F</t>
        </is>
      </c>
      <c r="M195" s="10" t="inlineStr">
        <is>
          <t>生産性向上・業務効率化</t>
        </is>
      </c>
      <c r="N195" s="10" t="inlineStr">
        <is>
          <t>AIエージェント</t>
        </is>
      </c>
      <c r="O195" s="12" t="inlineStr">
        <is>
          <t>◎</t>
        </is>
      </c>
      <c r="P195" s="13" t="n">
        <v>5</v>
      </c>
      <c r="Q195" s="12" t="inlineStr">
        <is>
          <t>申込者数</t>
        </is>
      </c>
      <c r="R195" s="14" t="n">
        <v>40</v>
      </c>
      <c r="S195" s="10" t="n"/>
      <c r="T195" s="10" t="inlineStr">
        <is>
          <t>運用中のAIエージェント。 その"裏側"で、実は何が起きているのか？ 思いどおりには動くとは限らないAIを、現場はどのように活用しているのか？ 当事者の声とライブデモでお届けします。 概要 2026年に入り、AIエージェントの開発事例は着々と増えています。 けれど、実際に業務で動かし続けると、多くの人が「AIエージェントは、思ったとおりに動くとは限らない」ことに気づきます。ゴールを決めると自分でやり方を考えるのがエージェント。このため、</t>
        </is>
      </c>
      <c r="U195" s="15" t="inlineStr">
        <is>
          <t>https://techplay.jp/event/998369</t>
        </is>
      </c>
      <c r="V195" s="10" t="n"/>
      <c r="W195" s="10" t="inlineStr">
        <is>
          <t>タイトル一致</t>
        </is>
      </c>
      <c r="X195" s="10" t="n"/>
    </row>
    <row r="196">
      <c r="A196" s="10" t="n">
        <v>195</v>
      </c>
      <c r="B196" s="24" t="n">
        <v>46231</v>
      </c>
      <c r="C196" s="24" t="n">
        <v>46231</v>
      </c>
      <c r="D196" s="10">
        <f>MONTH(B196)&amp;"月"</f>
        <v/>
      </c>
      <c r="E196" s="12" t="n">
        <v>1</v>
      </c>
      <c r="F196" s="10" t="n"/>
      <c r="G196" s="10" t="inlineStr">
        <is>
          <t>AIエージェント開発LT大会 ～作ってみた人も、見るだけ参加も歓迎！～</t>
        </is>
      </c>
      <c r="H196" s="10" t="inlineStr">
        <is>
          <t>データ分析・AI x データサイエンスコミュニティ</t>
        </is>
      </c>
      <c r="I196" s="10" t="n"/>
      <c r="J196" s="10" t="inlineStr">
        <is>
          <t>connpass</t>
        </is>
      </c>
      <c r="K196" s="10" t="inlineStr">
        <is>
          <t>会場</t>
        </is>
      </c>
      <c r="L196" s="10" t="inlineStr">
        <is>
          <t>〒541-0041 大阪府大阪市中央区北浜１丁目８−１６</t>
        </is>
      </c>
      <c r="M196" s="10" t="inlineStr">
        <is>
          <t>開発生産性</t>
        </is>
      </c>
      <c r="N196" s="10" t="inlineStr">
        <is>
          <t>AIエージェント</t>
        </is>
      </c>
      <c r="O196" s="12" t="inlineStr">
        <is>
          <t>○</t>
        </is>
      </c>
      <c r="P196" s="13" t="n">
        <v>19</v>
      </c>
      <c r="Q196" s="12" t="inlineStr">
        <is>
          <t>参加者数</t>
        </is>
      </c>
      <c r="R196" s="14" t="n">
        <v>30</v>
      </c>
      <c r="S196" s="10" t="n"/>
      <c r="T196" s="10" t="n"/>
      <c r="U196" s="15" t="inlineStr">
        <is>
          <t>https://datascience-mokumoku-kyobashi.connpass.com/event/398872/</t>
        </is>
      </c>
      <c r="V196" s="10" t="n"/>
      <c r="W196" s="10" t="inlineStr">
        <is>
          <t>タイトル一致</t>
        </is>
      </c>
      <c r="X196" s="10" t="n"/>
    </row>
    <row r="197">
      <c r="A197" s="10" t="n">
        <v>196</v>
      </c>
      <c r="B197" s="24" t="n">
        <v>46231</v>
      </c>
      <c r="C197" s="24" t="n">
        <v>46231</v>
      </c>
      <c r="D197" s="10">
        <f>MONTH(B197)&amp;"月"</f>
        <v/>
      </c>
      <c r="E197" s="12" t="n">
        <v>1</v>
      </c>
      <c r="F197" s="10" t="n"/>
      <c r="G197" s="10" t="inlineStr">
        <is>
          <t>Celonis Process Intelligence Day Tokyo 2026</t>
        </is>
      </c>
      <c r="H197" s="10" t="inlineStr">
        <is>
          <t>Celonis株式会社</t>
        </is>
      </c>
      <c r="I197" s="10" t="n"/>
      <c r="J197" s="10" t="inlineStr">
        <is>
          <t>ビジネス+IT</t>
        </is>
      </c>
      <c r="K197" s="10" t="inlineStr">
        <is>
          <t>offline</t>
        </is>
      </c>
      <c r="L197" s="10" t="inlineStr">
        <is>
          <t>東京都</t>
        </is>
      </c>
      <c r="M197" s="10" t="inlineStr">
        <is>
          <t>生産性向上・業務効率化</t>
        </is>
      </c>
      <c r="N197" s="10" t="inlineStr">
        <is>
          <t>AIエージェント</t>
        </is>
      </c>
      <c r="O197" s="12" t="inlineStr">
        <is>
          <t>○</t>
        </is>
      </c>
      <c r="P197" s="13" t="n"/>
      <c r="Q197" s="12" t="inlineStr">
        <is>
          <t>不明</t>
        </is>
      </c>
      <c r="R197" s="14" t="n"/>
      <c r="S197" s="10" t="n"/>
      <c r="T197" s="10" t="inlineStr">
        <is>
          <t>エンタープライズAIを本格的に実装・展開する時が、今まさに来ています。多くのAIプロジェクトが成果につながらない理由は、AIそのものの能力不足ではありません。AIエージェントが、実際にビジネスがどのように動いているか、つまり業務の実態を理解していないことにあります。 本イベントでは、Celonisのプロセスインテリジェンスが、どのようにリアルタイムな業務オペレーションのコンテキストを提供し、AIに「どこで」「何を」実行すべきかを示してい</t>
        </is>
      </c>
      <c r="U197" s="15" t="inlineStr">
        <is>
          <t>https://www.sbbit.jp/eventinfo/88907</t>
        </is>
      </c>
      <c r="V197" s="10" t="n"/>
      <c r="W197" s="10" t="inlineStr">
        <is>
          <t>本文一致</t>
        </is>
      </c>
      <c r="X197" s="10" t="n"/>
    </row>
    <row r="198">
      <c r="A198" s="10" t="n">
        <v>197</v>
      </c>
      <c r="B198" s="24" t="n">
        <v>46231</v>
      </c>
      <c r="C198" s="24" t="n">
        <v>46231</v>
      </c>
      <c r="D198" s="10">
        <f>MONTH(B198)&amp;"月"</f>
        <v/>
      </c>
      <c r="E198" s="12" t="n">
        <v>1</v>
      </c>
      <c r="F198" s="10" t="n"/>
      <c r="G198" s="10" t="inlineStr">
        <is>
          <t>ClaudeCode実践セミナー|業務標準化と人事評価制度で"属人化しない"事務所をつくる活用術</t>
        </is>
      </c>
      <c r="H198" s="10" t="inlineStr">
        <is>
          <t>給与アップ研究所セミナー事務局</t>
        </is>
      </c>
      <c r="I198" s="10" t="n"/>
      <c r="J198" s="10" t="inlineStr">
        <is>
          <t>こくちーずプロ</t>
        </is>
      </c>
      <c r="K198" s="10" t="inlineStr">
        <is>
          <t>オンライン</t>
        </is>
      </c>
      <c r="L198" s="10" t="inlineStr">
        <is>
          <t>オンライン 日本</t>
        </is>
      </c>
      <c r="M198" s="10" t="inlineStr">
        <is>
          <t>営業・マーケ・CS</t>
        </is>
      </c>
      <c r="N198" s="10" t="inlineStr">
        <is>
          <t>AIエージェント</t>
        </is>
      </c>
      <c r="O198" s="12" t="inlineStr">
        <is>
          <t>◎</t>
        </is>
      </c>
      <c r="P198" s="13" t="n">
        <v>1</v>
      </c>
      <c r="Q198" s="12" t="inlineStr">
        <is>
          <t>参加者数</t>
        </is>
      </c>
      <c r="R198" s="14" t="n">
        <v>100</v>
      </c>
      <c r="S198" s="10" t="n"/>
      <c r="T198" s="10" t="inlineStr">
        <is>
          <t>【税理士・会計事務所経営者・幹部向け】 ClaudeCode実践セミナー 業務標準化と人事評価制度で"属人化しない"事務所をつくる活用術 ━━━━━━━━━━━━━━━━━━ ■開催概要 ━━━━━━━━━━━━━━━━━━ 日時：2026年7月28日（火）13:00～14:00 形式：オンライン（Zoom） 参加費：無料 ━━━━━━━━━━━━━━━━━━ ■このようなお悩みはありませんか？ ━━━━━━━━━━━━━━━━━━ ・</t>
        </is>
      </c>
      <c r="U198" s="15" t="inlineStr">
        <is>
          <t>https://www.kokuchpro.com/event/642ddfba3a563108e7202fd1ab950050/</t>
        </is>
      </c>
      <c r="V198" s="10" t="n"/>
      <c r="W198" s="10" t="inlineStr">
        <is>
          <t>タイトル一致</t>
        </is>
      </c>
      <c r="X198" s="10" t="n"/>
    </row>
    <row r="199">
      <c r="A199" s="10" t="n">
        <v>198</v>
      </c>
      <c r="B199" s="24" t="n">
        <v>46231</v>
      </c>
      <c r="C199" s="24" t="n">
        <v>46231</v>
      </c>
      <c r="D199" s="10">
        <f>MONTH(B199)&amp;"月"</f>
        <v/>
      </c>
      <c r="E199" s="12" t="n">
        <v>1</v>
      </c>
      <c r="F199" s="10" t="n"/>
      <c r="G199" s="10" t="inlineStr">
        <is>
          <t>JAWS-UG千葉支部#43 AWS DevOps Agent 祭り</t>
        </is>
      </c>
      <c r="H199" s="10" t="inlineStr">
        <is>
          <t>JAWS-UG千葉支部</t>
        </is>
      </c>
      <c r="I199" s="10" t="n"/>
      <c r="J199" s="10" t="inlineStr">
        <is>
          <t>connpass</t>
        </is>
      </c>
      <c r="K199" s="10" t="inlineStr">
        <is>
          <t>会場</t>
        </is>
      </c>
      <c r="L199" s="10" t="inlineStr">
        <is>
          <t>東京都港区麻布台一丁目三番一号</t>
        </is>
      </c>
      <c r="M199" s="10" t="inlineStr">
        <is>
          <t>開発生産性</t>
        </is>
      </c>
      <c r="N199" s="10" t="inlineStr">
        <is>
          <t>AIエージェント</t>
        </is>
      </c>
      <c r="O199" s="12" t="inlineStr">
        <is>
          <t>○</t>
        </is>
      </c>
      <c r="P199" s="13" t="n">
        <v>174</v>
      </c>
      <c r="Q199" s="12" t="inlineStr">
        <is>
          <t>参加者数</t>
        </is>
      </c>
      <c r="R199" s="14" t="n"/>
      <c r="S199" s="10" t="n"/>
      <c r="T199" s="10" t="n"/>
      <c r="U199" s="15" t="inlineStr">
        <is>
          <t>https://jawsug-chiba.connpass.com/event/398349/</t>
        </is>
      </c>
      <c r="V199" s="10" t="n"/>
      <c r="W199" s="10" t="inlineStr">
        <is>
          <t>タイトル一致</t>
        </is>
      </c>
      <c r="X199" s="10" t="n"/>
    </row>
    <row r="200">
      <c r="A200" s="10" t="n">
        <v>199</v>
      </c>
      <c r="B200" s="24" t="n">
        <v>46231</v>
      </c>
      <c r="C200" s="24" t="n">
        <v>46231</v>
      </c>
      <c r="D200" s="10">
        <f>MONTH(B200)&amp;"月"</f>
        <v/>
      </c>
      <c r="E200" s="12" t="n">
        <v>1</v>
      </c>
      <c r="F200" s="10" t="n"/>
      <c r="G200" s="10" t="inlineStr">
        <is>
          <t>LLM Opsの実践  SaaSに組み込んだAI機能の品質・コスト・改善サイクル</t>
        </is>
      </c>
      <c r="H200" s="10" t="inlineStr">
        <is>
          <t>Findy/ファインディ</t>
        </is>
      </c>
      <c r="I200" s="10" t="n"/>
      <c r="J200" s="10" t="inlineStr">
        <is>
          <t>TECH PLAY</t>
        </is>
      </c>
      <c r="K200" s="10" t="inlineStr">
        <is>
          <t>会場</t>
        </is>
      </c>
      <c r="L200" s="10" t="inlineStr">
        <is>
          <t>フリー株式会社 大崎本社 19F アソビバ 東京都品川区大崎1丁目2番2号 アートヴィレッジ大崎セントラルタワー 19F freee 大崎本社 Asobiba</t>
        </is>
      </c>
      <c r="M200" s="10" t="inlineStr">
        <is>
          <t>開発生産性</t>
        </is>
      </c>
      <c r="N200" s="10" t="inlineStr">
        <is>
          <t>AIエージェント</t>
        </is>
      </c>
      <c r="O200" s="12" t="inlineStr">
        <is>
          <t>△</t>
        </is>
      </c>
      <c r="P200" s="13" t="n">
        <v>15</v>
      </c>
      <c r="Q200" s="12" t="inlineStr">
        <is>
          <t>申込者数</t>
        </is>
      </c>
      <c r="R200" s="14" t="n">
        <v>100</v>
      </c>
      <c r="S200" s="10" t="n"/>
      <c r="T200" s="10" t="inlineStr">
        <is>
          <t>📋 概要 SaaSに組み込まれたLLMは、従来のソフトウェアコンポーネントとは異なる運用課題を持っています。出力は確率的で、モデルは外部プロバイダに依存し、品質評価やコスト管理の方法もプロダクトごとに大きく変わります。LLM機能は「一度リリースしたら終わり」ではなく、継続的に観測・評価・改善しながら育てていく必要があります。 一方で、LLMOpsの実践知はまだ各社の中に閉じていることが多く、具体的な設計や運用の判断軸は共有されにくいのが</t>
        </is>
      </c>
      <c r="U200" s="15" t="inlineStr">
        <is>
          <t>https://techplay.jp/event/997143</t>
        </is>
      </c>
      <c r="V200" s="10" t="n"/>
      <c r="W200" s="10" t="inlineStr">
        <is>
          <t>本文一致</t>
        </is>
      </c>
      <c r="X200" s="10" t="n"/>
    </row>
    <row r="201">
      <c r="A201" s="10" t="n">
        <v>200</v>
      </c>
      <c r="B201" s="24" t="n">
        <v>46231</v>
      </c>
      <c r="C201" s="24" t="n">
        <v>46231</v>
      </c>
      <c r="D201" s="10">
        <f>MONTH(B201)&amp;"月"</f>
        <v/>
      </c>
      <c r="E201" s="12" t="n">
        <v>1</v>
      </c>
      <c r="F201" s="10" t="n"/>
      <c r="G201" s="10" t="inlineStr">
        <is>
          <t>Qlik TECH TALK セミナー：Qlik Answers X Predict Agentで実践する、会話型の機械学習 Qlik Predictのエージェント機能で、データ探索から予測実行まで</t>
        </is>
      </c>
      <c r="H201" s="10" t="inlineStr">
        <is>
          <t>Qlik &amp; Talend</t>
        </is>
      </c>
      <c r="I201" s="10" t="n"/>
      <c r="J201" s="10" t="inlineStr">
        <is>
          <t>TECH PLAY</t>
        </is>
      </c>
      <c r="K201" s="10" t="inlineStr">
        <is>
          <t>オンライン</t>
        </is>
      </c>
      <c r="L201" s="10" t="n"/>
      <c r="M201" s="10" t="inlineStr">
        <is>
          <t>営業・マーケ・CS</t>
        </is>
      </c>
      <c r="N201" s="10" t="inlineStr">
        <is>
          <t>AIエージェント</t>
        </is>
      </c>
      <c r="O201" s="12" t="inlineStr">
        <is>
          <t>◎</t>
        </is>
      </c>
      <c r="P201" s="13" t="n">
        <v>10</v>
      </c>
      <c r="Q201" s="12" t="inlineStr">
        <is>
          <t>申込者数</t>
        </is>
      </c>
      <c r="R201" s="14" t="n">
        <v>50</v>
      </c>
      <c r="S201" s="10" t="n"/>
      <c r="T201" s="10" t="inlineStr">
        <is>
          <t>Qlik TECH TALK セミナー：Qlik TECH TALK セミナー：Qlik Answers X Predict Agentで実践する、会話型の機械学習 Qlik Predictのエージェント機能で、データ探索から予測実行まで データから未来を予測する。 それは、これまで専門スキルを持つデータサイエンティストの仕事でした。 Qlik Answersに登場した「Predictエージェント」は、「このデータで顧客離反を予測して」</t>
        </is>
      </c>
      <c r="U201" s="15" t="inlineStr">
        <is>
          <t>https://techplay.jp/event/998197</t>
        </is>
      </c>
      <c r="V201" s="10" t="n"/>
      <c r="W201" s="10" t="inlineStr">
        <is>
          <t>タイトル一致</t>
        </is>
      </c>
      <c r="X201" s="10" t="n"/>
    </row>
    <row r="202">
      <c r="A202" s="10" t="n">
        <v>201</v>
      </c>
      <c r="B202" s="24" t="n">
        <v>46231</v>
      </c>
      <c r="C202" s="24" t="n">
        <v>46231</v>
      </c>
      <c r="D202" s="10">
        <f>MONTH(B202)&amp;"月"</f>
        <v/>
      </c>
      <c r="E202" s="12" t="n">
        <v>1</v>
      </c>
      <c r="F202" s="10" t="n"/>
      <c r="G202" s="10" t="inlineStr">
        <is>
          <t>SFから持ち帰ったAIエンジニアリングの現在地 〜AI Engineer World’s Fair 2026 Recap〜</t>
        </is>
      </c>
      <c r="H202" s="10" t="inlineStr">
        <is>
          <t>Findy/ファインディ</t>
        </is>
      </c>
      <c r="I202" s="10" t="n"/>
      <c r="J202" s="10" t="inlineStr">
        <is>
          <t>TECH PLAY</t>
        </is>
      </c>
      <c r="K202" s="10" t="inlineStr">
        <is>
          <t>会場</t>
        </is>
      </c>
      <c r="L202" s="10" t="inlineStr">
        <is>
          <t>Findy イベントスペース 東京都品川区大崎1-2-2 アートヴィレッジ大崎セントラルタワー 5階</t>
        </is>
      </c>
      <c r="M202" s="10" t="inlineStr">
        <is>
          <t>営業・マーケ・CS</t>
        </is>
      </c>
      <c r="N202" s="10" t="inlineStr">
        <is>
          <t>AIエージェント</t>
        </is>
      </c>
      <c r="O202" s="12" t="inlineStr">
        <is>
          <t>○</t>
        </is>
      </c>
      <c r="P202" s="13" t="n">
        <v>6</v>
      </c>
      <c r="Q202" s="12" t="inlineStr">
        <is>
          <t>申込者数</t>
        </is>
      </c>
      <c r="R202" s="14" t="n">
        <v>80</v>
      </c>
      <c r="S202" s="10" t="n"/>
      <c r="T202" s="10" t="inlineStr">
        <is>
          <t>✍️概要 本イベントは、『AI Engineer World’s Fair 2026』に参加されるr.kagayaさんとseyaさんが、日本のエンジニア向けにサンフランシスコでのAIエンジニアリングのトレンドを共有する報告会のようなイベントです！ サンフランシスコでの現地参加の温度感やエピソードに興味がある方はぜひお気軽にご参加ください！ 🕛タイムテーブル 時間 セッションタイトル スピーカー 19:00~19:02 オープニング 19</t>
        </is>
      </c>
      <c r="U202" s="15" t="inlineStr">
        <is>
          <t>https://techplay.jp/event/997318</t>
        </is>
      </c>
      <c r="V202" s="10" t="n"/>
      <c r="W202" s="10" t="inlineStr">
        <is>
          <t>本文一致</t>
        </is>
      </c>
      <c r="X202" s="10" t="n"/>
    </row>
    <row r="203">
      <c r="A203" s="10" t="n">
        <v>202</v>
      </c>
      <c r="B203" s="24" t="n">
        <v>46231</v>
      </c>
      <c r="C203" s="24" t="n">
        <v>46231</v>
      </c>
      <c r="D203" s="10">
        <f>MONTH(B203)&amp;"月"</f>
        <v/>
      </c>
      <c r="E203" s="12" t="n">
        <v>1</v>
      </c>
      <c r="F203" s="10" t="n"/>
      <c r="G203" s="10" t="inlineStr">
        <is>
          <t>「侵入技術への招待」 AIエージェントが招く新たな脅威 - 攻撃者の武器となるAIと狙われたAI -</t>
        </is>
      </c>
      <c r="H203" s="10" t="inlineStr">
        <is>
          <t>ファインディ／Findy</t>
        </is>
      </c>
      <c r="I203" s="10" t="n"/>
      <c r="J203" s="10" t="inlineStr">
        <is>
          <t>connpass</t>
        </is>
      </c>
      <c r="K203" s="10" t="inlineStr">
        <is>
          <t>オンライン</t>
        </is>
      </c>
      <c r="L203" s="10" t="inlineStr">
        <is>
          <t>オンライン</t>
        </is>
      </c>
      <c r="M203" s="10" t="inlineStr">
        <is>
          <t>技術・AI全般</t>
        </is>
      </c>
      <c r="N203" s="10" t="inlineStr">
        <is>
          <t>AIエージェント</t>
        </is>
      </c>
      <c r="O203" s="12" t="inlineStr">
        <is>
          <t>○</t>
        </is>
      </c>
      <c r="P203" s="13" t="n">
        <v>661</v>
      </c>
      <c r="Q203" s="12" t="inlineStr">
        <is>
          <t>参加者数</t>
        </is>
      </c>
      <c r="R203" s="14" t="n">
        <v>700</v>
      </c>
      <c r="S203" s="10" t="n"/>
      <c r="T203" s="10" t="n"/>
      <c r="U203" s="15" t="inlineStr">
        <is>
          <t>https://findy.connpass.com/event/398367/</t>
        </is>
      </c>
      <c r="V203" s="10" t="n"/>
      <c r="W203" s="10" t="inlineStr">
        <is>
          <t>タイトル一致</t>
        </is>
      </c>
      <c r="X203" s="10" t="n"/>
    </row>
    <row r="204">
      <c r="A204" s="10" t="n">
        <v>203</v>
      </c>
      <c r="B204" s="24" t="n">
        <v>46231</v>
      </c>
      <c r="C204" s="24" t="n">
        <v>46231</v>
      </c>
      <c r="D204" s="10">
        <f>MONTH(B204)&amp;"月"</f>
        <v/>
      </c>
      <c r="E204" s="12" t="n">
        <v>1</v>
      </c>
      <c r="F204" s="10" t="n"/>
      <c r="G204" s="10" t="inlineStr">
        <is>
          <t>【7/28(火)18:00】Claudeを導入しても思うような結果を出せないその理由と解決法</t>
        </is>
      </c>
      <c r="H204" s="10" t="inlineStr">
        <is>
          <t>AIビジネスフォーラム事務局</t>
        </is>
      </c>
      <c r="I204" s="10" t="n"/>
      <c r="J204" s="10" t="inlineStr">
        <is>
          <t>こくちーずプロ</t>
        </is>
      </c>
      <c r="K204" s="10" t="inlineStr">
        <is>
          <t>オンライン</t>
        </is>
      </c>
      <c r="L204" s="10" t="inlineStr">
        <is>
          <t>オンライン 日本</t>
        </is>
      </c>
      <c r="M204" s="10" t="inlineStr">
        <is>
          <t>営業・マーケ・CS</t>
        </is>
      </c>
      <c r="N204" s="10" t="inlineStr">
        <is>
          <t>AIエージェント</t>
        </is>
      </c>
      <c r="O204" s="12" t="inlineStr">
        <is>
          <t>○</t>
        </is>
      </c>
      <c r="P204" s="13" t="n">
        <v>0</v>
      </c>
      <c r="Q204" s="12" t="inlineStr">
        <is>
          <t>参加者数</t>
        </is>
      </c>
      <c r="R204" s="14" t="n">
        <v>30</v>
      </c>
      <c r="S204" s="10" t="n"/>
      <c r="T204" s="10" t="inlineStr">
        <is>
          <t>Claudeを導入しても思うように結果が出せない理由は？ その鍵はループエンジニアリングだ！ ループ開発（エージェント・ループ）の基本概念：人間が毎回プロンプトを入力するのではなく、AI自身が「思考→行動→観察→修正」のループ（反復）を自律的に回してタスクを完遂する仕組み（例：ReActプロンプト、AutoGPTなど）についての基礎解説をいたします。 今回は、「Claudeを導入しても思うような結果を出せないその理由と解決法」をメインテ</t>
        </is>
      </c>
      <c r="U204" s="15" t="inlineStr">
        <is>
          <t>https://www.kokuchpro.com/event/aac91b86475652b41da3da0e38a76864/</t>
        </is>
      </c>
      <c r="V204" s="10" t="n"/>
      <c r="W204" s="10" t="inlineStr">
        <is>
          <t>本文一致</t>
        </is>
      </c>
      <c r="X204" s="10" t="n"/>
    </row>
    <row r="205">
      <c r="A205" s="10" t="n">
        <v>204</v>
      </c>
      <c r="B205" s="24" t="n">
        <v>46231</v>
      </c>
      <c r="C205" s="24" t="n">
        <v>46231</v>
      </c>
      <c r="D205" s="10">
        <f>MONTH(B205)&amp;"月"</f>
        <v/>
      </c>
      <c r="E205" s="12" t="n">
        <v>1</v>
      </c>
      <c r="F205" s="10" t="n"/>
      <c r="G205" s="10" t="inlineStr">
        <is>
          <t>【Zenlab】Zendesk×Claude Code活用術〜AI時代のCSスタンダードはコレ〜</t>
        </is>
      </c>
      <c r="H205" s="10" t="inlineStr">
        <is>
          <t>Zenlab</t>
        </is>
      </c>
      <c r="I205" s="10" t="n"/>
      <c r="J205" s="10" t="inlineStr">
        <is>
          <t>connpass</t>
        </is>
      </c>
      <c r="K205" s="10" t="inlineStr">
        <is>
          <t>会場</t>
        </is>
      </c>
      <c r="L205" s="10" t="inlineStr">
        <is>
          <t>〒104-0031 東京都中央区京橋 2-2-1 京橋エドグラン20F</t>
        </is>
      </c>
      <c r="M205" s="10" t="inlineStr">
        <is>
          <t>開発生産性</t>
        </is>
      </c>
      <c r="N205" s="10" t="inlineStr">
        <is>
          <t>AIエージェント</t>
        </is>
      </c>
      <c r="O205" s="12" t="inlineStr">
        <is>
          <t>○</t>
        </is>
      </c>
      <c r="P205" s="13" t="n">
        <v>24</v>
      </c>
      <c r="Q205" s="12" t="inlineStr">
        <is>
          <t>参加者数</t>
        </is>
      </c>
      <c r="R205" s="14" t="n">
        <v>50</v>
      </c>
      <c r="S205" s="10" t="n"/>
      <c r="T205" s="10" t="n"/>
      <c r="U205" s="15" t="inlineStr">
        <is>
          <t>https://zenlab.connpass.com/event/398601/</t>
        </is>
      </c>
      <c r="V205" s="10" t="n"/>
      <c r="W205" s="10" t="inlineStr">
        <is>
          <t>タイトル一致</t>
        </is>
      </c>
      <c r="X205" s="10" t="n"/>
    </row>
    <row r="206">
      <c r="A206" s="10" t="n">
        <v>205</v>
      </c>
      <c r="B206" s="24" t="n">
        <v>46231</v>
      </c>
      <c r="C206" s="24" t="n">
        <v>46231</v>
      </c>
      <c r="D206" s="10">
        <f>MONTH(B206)&amp;"月"</f>
        <v/>
      </c>
      <c r="E206" s="12" t="n">
        <v>1</v>
      </c>
      <c r="F206" s="10" t="n"/>
      <c r="G206" s="10" t="inlineStr">
        <is>
          <t>【オンライン・無料カンファレンス】AIエージェント時代の音声コミュニケーション戦略 ～顧客体験最適化とコンプライアンス強化の両立～</t>
        </is>
      </c>
      <c r="H206" s="10" t="inlineStr">
        <is>
          <t>株式会社wevnal</t>
        </is>
      </c>
      <c r="I206" s="10" t="n"/>
      <c r="J206" s="10" t="inlineStr">
        <is>
          <t>TECH PLAY</t>
        </is>
      </c>
      <c r="K206" s="10" t="inlineStr">
        <is>
          <t>オンライン</t>
        </is>
      </c>
      <c r="L206" s="10" t="n"/>
      <c r="M206" s="10" t="inlineStr">
        <is>
          <t>営業・マーケ・CS</t>
        </is>
      </c>
      <c r="N206" s="10" t="inlineStr">
        <is>
          <t>AIエージェント</t>
        </is>
      </c>
      <c r="O206" s="12" t="inlineStr">
        <is>
          <t>◎</t>
        </is>
      </c>
      <c r="P206" s="13" t="n">
        <v>1</v>
      </c>
      <c r="Q206" s="12" t="inlineStr">
        <is>
          <t>申込者数</t>
        </is>
      </c>
      <c r="R206" s="14" t="n">
        <v>20</v>
      </c>
      <c r="S206" s="10" t="n"/>
      <c r="T206" s="10" t="inlineStr">
        <is>
          <t>開催概要 営業・接客・コールセンターなどの現場では、商談記録の属人化や対応品質のばらつき、不適切対応や不正行為、カスタマーハラスメントへの備えが重要な課題となっています。とりわけ対面・電話でのコミュニケーションは「記録が残りにくい」という特性から、証跡管理や業務改善が難しい領域とされてきました。 近年はAI音声技術の進化により、会話の文字起こし・要約にとどまらず、感情や意図を含めた分析やリアルタイム活用が可能となり、現場コミュニケーショ</t>
        </is>
      </c>
      <c r="U206" s="15" t="inlineStr">
        <is>
          <t>https://techplay.jp/event/998555</t>
        </is>
      </c>
      <c r="V206" s="10" t="n"/>
      <c r="W206" s="10" t="inlineStr">
        <is>
          <t>タイトル一致</t>
        </is>
      </c>
      <c r="X206" s="10" t="n"/>
    </row>
    <row r="207">
      <c r="A207" s="10" t="n">
        <v>206</v>
      </c>
      <c r="B207" s="24" t="n">
        <v>46231</v>
      </c>
      <c r="C207" s="24" t="n">
        <v>46231</v>
      </c>
      <c r="D207" s="10">
        <f>MONTH(B207)&amp;"月"</f>
        <v/>
      </c>
      <c r="E207" s="12" t="n">
        <v>1</v>
      </c>
      <c r="F207" s="10" t="n"/>
      <c r="G207" s="10" t="inlineStr">
        <is>
          <t>【ライブデモ】AIが直接会計ソフトを操作！マネーフォワード×MCPによる「次世代の記帳」体感イベント</t>
        </is>
      </c>
      <c r="H207" s="10" t="inlineStr">
        <is>
          <t>AI・DXゆるシェア作業会</t>
        </is>
      </c>
      <c r="I207" s="10" t="n"/>
      <c r="J207" s="10" t="inlineStr">
        <is>
          <t>connpass</t>
        </is>
      </c>
      <c r="K207" s="10" t="inlineStr">
        <is>
          <t>会場</t>
        </is>
      </c>
      <c r="L207" s="10" t="inlineStr">
        <is>
          <t>大阪府大阪市北区本庄東1丁目18-8 ベルハイツ1 Ⅰ-1階</t>
        </is>
      </c>
      <c r="M207" s="10" t="inlineStr">
        <is>
          <t>生産性向上・業務効率化</t>
        </is>
      </c>
      <c r="N207" s="10" t="inlineStr">
        <is>
          <t>MCP</t>
        </is>
      </c>
      <c r="O207" s="12" t="inlineStr">
        <is>
          <t>◎</t>
        </is>
      </c>
      <c r="P207" s="13" t="n">
        <v>1</v>
      </c>
      <c r="Q207" s="12" t="inlineStr">
        <is>
          <t>参加者数</t>
        </is>
      </c>
      <c r="R207" s="14" t="n">
        <v>4</v>
      </c>
      <c r="S207" s="10" t="n"/>
      <c r="T207" s="10" t="n"/>
      <c r="U207" s="15" t="inlineStr">
        <is>
          <t>https://yurusharekai.connpass.com/event/400860/</t>
        </is>
      </c>
      <c r="V207" s="10" t="n"/>
      <c r="W207" s="10" t="inlineStr">
        <is>
          <t>タイトル一致</t>
        </is>
      </c>
      <c r="X207" s="10" t="n"/>
    </row>
    <row r="208">
      <c r="A208" s="10" t="n">
        <v>207</v>
      </c>
      <c r="B208" s="24" t="n">
        <v>46231</v>
      </c>
      <c r="C208" s="24" t="n">
        <v>46231</v>
      </c>
      <c r="D208" s="10">
        <f>MONTH(B208)&amp;"月"</f>
        <v/>
      </c>
      <c r="E208" s="12" t="n">
        <v>1</v>
      </c>
      <c r="F208" s="10" t="n"/>
      <c r="G208" s="10" t="inlineStr">
        <is>
          <t>トークンコストへの向き合い方 ― 新時代の開発コストへの対応を学ぶ会</t>
        </is>
      </c>
      <c r="H208" s="10" t="inlineStr">
        <is>
          <t>Forkwell（フォークウェル）</t>
        </is>
      </c>
      <c r="I208" s="10" t="n"/>
      <c r="J208" s="10" t="inlineStr">
        <is>
          <t>TECH PLAY</t>
        </is>
      </c>
      <c r="K208" s="10" t="inlineStr">
        <is>
          <t>オンライン</t>
        </is>
      </c>
      <c r="L208" s="10" t="n"/>
      <c r="M208" s="10" t="inlineStr">
        <is>
          <t>開発生産性</t>
        </is>
      </c>
      <c r="N208" s="10" t="inlineStr">
        <is>
          <t>AIエージェント</t>
        </is>
      </c>
      <c r="O208" s="12" t="inlineStr">
        <is>
          <t>△</t>
        </is>
      </c>
      <c r="P208" s="13" t="n">
        <v>134</v>
      </c>
      <c r="Q208" s="12" t="inlineStr">
        <is>
          <t>申込者数</t>
        </is>
      </c>
      <c r="R208" s="14" t="n">
        <v>1000</v>
      </c>
      <c r="S208" s="10" t="n"/>
      <c r="T208" s="10" t="inlineStr">
        <is>
          <t>開催概要 ーー「AIを使えば使うほど、開発は便利になる。でも、使えば使うほど、コストも静かに膨らんでいく。」 速く作ること、便利にすること。生成AIはそれを当たり前にしました。しかしその裏側で、トークン消費やエージェントの実行コストという、これまでになかった変数が開発・運用コストに組み込まれ始めています。 LLMを組み込んだプロダクトやAIエージェントの活用が広がるなか、「トークンコスト」は従来のインフラコストとは性質の異なる、新しいコ</t>
        </is>
      </c>
      <c r="U208" s="15" t="inlineStr">
        <is>
          <t>https://techplay.jp/event/998006</t>
        </is>
      </c>
      <c r="V208" s="10" t="n"/>
      <c r="W208" s="10" t="inlineStr">
        <is>
          <t>本文一致</t>
        </is>
      </c>
      <c r="X208" s="10" t="n"/>
    </row>
    <row r="209">
      <c r="A209" s="10" t="n">
        <v>208</v>
      </c>
      <c r="B209" s="24" t="n">
        <v>46231</v>
      </c>
      <c r="C209" s="24" t="n">
        <v>46231</v>
      </c>
      <c r="D209" s="10">
        <f>MONTH(B209)&amp;"月"</f>
        <v/>
      </c>
      <c r="E209" s="12" t="n">
        <v>1</v>
      </c>
      <c r="F209" s="10" t="n"/>
      <c r="G209" s="10" t="inlineStr">
        <is>
          <t>世界は「AIエージェント自走」へ、なぜ日本企業のAI活用は失速するのか？</t>
        </is>
      </c>
      <c r="H209" s="10" t="inlineStr">
        <is>
          <t>テックタッチ株式会社</t>
        </is>
      </c>
      <c r="I209" s="10" t="n"/>
      <c r="J209" s="10" t="inlineStr">
        <is>
          <t>個別調査（公式サイト・PR TIMES等）</t>
        </is>
      </c>
      <c r="K209" s="10" t="inlineStr">
        <is>
          <t>オンライン</t>
        </is>
      </c>
      <c r="L209" s="10" t="inlineStr">
        <is>
          <t>EventHub</t>
        </is>
      </c>
      <c r="M209" s="10" t="inlineStr">
        <is>
          <t>生産性向上・業務効率化</t>
        </is>
      </c>
      <c r="N209" s="10" t="inlineStr">
        <is>
          <t>AIエージェント</t>
        </is>
      </c>
      <c r="O209" s="12" t="inlineStr">
        <is>
          <t>◎</t>
        </is>
      </c>
      <c r="P209" s="13" t="n">
        <v>100</v>
      </c>
      <c r="Q209" s="12" t="inlineStr">
        <is>
          <t>定員</t>
        </is>
      </c>
      <c r="R209" s="14" t="n">
        <v>100</v>
      </c>
      <c r="S209" s="10" t="n"/>
      <c r="T209" s="10" t="inlineStr">
        <is>
          <t>Transform 2026の現地レポートをもとに海外のAI実装トレンドを紹介し、AIエージェント時代のガバナンスと組織実装を解説する。</t>
        </is>
      </c>
      <c r="U209" s="15" t="inlineStr">
        <is>
          <t>https://prtimes.jp/main/html/rd/p/000000442.000048939.html</t>
        </is>
      </c>
      <c r="V209" s="10" t="n"/>
      <c r="W209" s="10" t="inlineStr">
        <is>
          <t>個別確認</t>
        </is>
      </c>
      <c r="X209" s="10" t="n"/>
    </row>
    <row r="210">
      <c r="A210" s="10" t="n">
        <v>209</v>
      </c>
      <c r="B210" s="24" t="n">
        <v>46231</v>
      </c>
      <c r="C210" s="24" t="n">
        <v>46231</v>
      </c>
      <c r="D210" s="10">
        <f>MONTH(B210)&amp;"月"</f>
        <v/>
      </c>
      <c r="E210" s="12" t="n">
        <v>1</v>
      </c>
      <c r="F210" s="10" t="n"/>
      <c r="G210" s="10" t="inlineStr">
        <is>
          <t>人材紹介会社の商談化率を2倍にする ─ AIが“今動く企業”を検知する掘り起こしオペレーション再設計</t>
        </is>
      </c>
      <c r="H210" s="10" t="inlineStr">
        <is>
          <t>SalesNowウェビナー事務局</t>
        </is>
      </c>
      <c r="I210" s="10" t="n"/>
      <c r="J210" s="10" t="inlineStr">
        <is>
          <t>こくちーずプロ</t>
        </is>
      </c>
      <c r="K210" s="10" t="inlineStr">
        <is>
          <t>オンライン</t>
        </is>
      </c>
      <c r="L210" s="10" t="inlineStr">
        <is>
          <t>オンライン 日本</t>
        </is>
      </c>
      <c r="M210" s="10" t="inlineStr">
        <is>
          <t>営業・マーケ・CS</t>
        </is>
      </c>
      <c r="N210" s="10" t="inlineStr">
        <is>
          <t>AIエージェント</t>
        </is>
      </c>
      <c r="O210" s="12" t="inlineStr">
        <is>
          <t>○</t>
        </is>
      </c>
      <c r="P210" s="13" t="n"/>
      <c r="Q210" s="12" t="inlineStr">
        <is>
          <t>不明</t>
        </is>
      </c>
      <c r="R210" s="14" t="n"/>
      <c r="S210" s="10" t="n"/>
      <c r="T210" s="10" t="inlineStr">
        <is>
          <t>ウェビナー概要 「新しいリストを買い足しても、商談化率がなかなか上がらない」——そう感じている人材紹介の経営者・営業責任者の方は、少なくありません。 実は、商談を増やす鍵は、新規を追い続けることよりも、すでに手元にある“ハウスリスト”をどう掘り起こすかにあります。ところが、その多くはSFAに眠ったまま、宝の持ち腐れになっていることが多いです。 掘り起こそうにも「その企業が今、採用で動いているのか」が分からず、今まさに採用を始めた企業を競</t>
        </is>
      </c>
      <c r="U210" s="15" t="inlineStr">
        <is>
          <t>https://www.kokuchpro.com/event/8d8a42e1c7a2bc187241f0741d554e20/</t>
        </is>
      </c>
      <c r="V210" s="10" t="n"/>
      <c r="W210" s="10" t="inlineStr">
        <is>
          <t>本文一致</t>
        </is>
      </c>
      <c r="X210" s="10" t="n"/>
    </row>
    <row r="211">
      <c r="A211" s="10" t="n">
        <v>210</v>
      </c>
      <c r="B211" s="24" t="n">
        <v>46231</v>
      </c>
      <c r="C211" s="24" t="n">
        <v>46231</v>
      </c>
      <c r="D211" s="10">
        <f>MONTH(B211)&amp;"月"</f>
        <v/>
      </c>
      <c r="E211" s="12" t="n">
        <v>1</v>
      </c>
      <c r="F211" s="10" t="n"/>
      <c r="G211" s="10" t="inlineStr">
        <is>
          <t>日テレAI-HRが汎用AIエージェント活用をテーマにした無料ウェビナーを開催</t>
        </is>
      </c>
      <c r="H211" s="10" t="inlineStr">
        <is>
          <t>株式会社日テレHR総合研究所</t>
        </is>
      </c>
      <c r="I211" s="10" t="n"/>
      <c r="J211" s="10" t="inlineStr">
        <is>
          <t>PR TIMES</t>
        </is>
      </c>
      <c r="K211" s="10" t="inlineStr">
        <is>
          <t>online</t>
        </is>
      </c>
      <c r="L211" s="10" t="inlineStr">
        <is>
          <t>オンライン（Zoomウェビナー）</t>
        </is>
      </c>
      <c r="M211" s="10" t="inlineStr">
        <is>
          <t>生産性向上・業務効率化</t>
        </is>
      </c>
      <c r="N211" s="10" t="inlineStr">
        <is>
          <t>AIエージェント</t>
        </is>
      </c>
      <c r="O211" s="12" t="inlineStr">
        <is>
          <t>◎</t>
        </is>
      </c>
      <c r="P211" s="13" t="n"/>
      <c r="Q211" s="12" t="inlineStr">
        <is>
          <t>不明</t>
        </is>
      </c>
      <c r="R211" s="14" t="n"/>
      <c r="S211" s="10" t="n"/>
      <c r="T211" s="10" t="inlineStr">
        <is>
          <t>株式会社日テレHR総合研究所（本社：東京都港区、代表取締役社長：中村博行）が運営する日テレAI-HRが、汎用AIエージェントの業務活用をテーマにした無料ウェビナー「汎用AIエージェントは日常業務をどう変えるのか ― 実演で学ぶ、仕事での使い方と活用のリアル ―」を、2026年7月28日（火）18:00より開催します。 ◾️ウェビナーお申し込みはこちら https://ai.ntv-hr.com/webinar/ai-webinar06/</t>
        </is>
      </c>
      <c r="U211" s="15" t="inlineStr">
        <is>
          <t>https://prtimes.jp/main/html/rd/p/000000034.000167191.html</t>
        </is>
      </c>
      <c r="V211" s="10" t="n"/>
      <c r="W211" s="10" t="inlineStr">
        <is>
          <t>タイトル一致</t>
        </is>
      </c>
      <c r="X211" s="10" t="n"/>
    </row>
    <row r="212">
      <c r="A212" s="10" t="n">
        <v>211</v>
      </c>
      <c r="B212" s="24" t="n">
        <v>46231</v>
      </c>
      <c r="C212" s="24" t="n">
        <v>46231</v>
      </c>
      <c r="D212" s="10">
        <f>MONTH(B212)&amp;"月"</f>
        <v/>
      </c>
      <c r="E212" s="12" t="n">
        <v>1</v>
      </c>
      <c r="F212" s="10" t="n"/>
      <c r="G212" s="10" t="inlineStr">
        <is>
          <t>日経メッセ　プレミアム・カンファレンス・シリーズ AIエージェント時代の音声コミュニケーション戦略 ～顧客体験最適化とコンプライアンス強化の両立～</t>
        </is>
      </c>
      <c r="H212" s="10" t="inlineStr">
        <is>
          <t>日本経済新聞社</t>
        </is>
      </c>
      <c r="I212" s="10" t="n"/>
      <c r="J212" s="10" t="inlineStr">
        <is>
          <t>日経イベント</t>
        </is>
      </c>
      <c r="K212" s="10" t="inlineStr">
        <is>
          <t>オンライン</t>
        </is>
      </c>
      <c r="L212" s="10" t="inlineStr">
        <is>
          <t>オンライン</t>
        </is>
      </c>
      <c r="M212" s="10" t="inlineStr">
        <is>
          <t>営業・マーケ・CS</t>
        </is>
      </c>
      <c r="N212" s="10" t="inlineStr">
        <is>
          <t>AIエージェント</t>
        </is>
      </c>
      <c r="O212" s="12" t="inlineStr">
        <is>
          <t>◎</t>
        </is>
      </c>
      <c r="P212" s="13" t="n"/>
      <c r="Q212" s="12" t="inlineStr">
        <is>
          <t>不明</t>
        </is>
      </c>
      <c r="R212" s="14" t="n"/>
      <c r="S212" s="10" t="n"/>
      <c r="T212" s="10" t="inlineStr">
        <is>
          <t>【アーカイブ配信】日経メッセ プレミアム・カンファレンス・シリーズ AIエージェント時代の音声コミュニケーション戦... | NEONセミナールーム ※7月28日に開催された日経メッセ プレミアム・カンファレンス・シリーズのアーカイブ配信です。 営業・接客・コールセンターなどの現場では、商談記録の属人化や対応品質のばらつき、不適切対応や不正行為、カスタマーハラスメントへの備えが重要な課題となっています。とりわけ対面・電話でのコミュニケー</t>
        </is>
      </c>
      <c r="U212" s="15" t="inlineStr">
        <is>
          <t>https://events.nikkei.co.jp/82909/</t>
        </is>
      </c>
      <c r="V212" s="10" t="n"/>
      <c r="W212" s="10" t="inlineStr">
        <is>
          <t>タイトル一致</t>
        </is>
      </c>
      <c r="X212" s="10" t="n"/>
    </row>
    <row r="213">
      <c r="A213" s="10" t="n">
        <v>212</v>
      </c>
      <c r="B213" s="24" t="n">
        <v>46231</v>
      </c>
      <c r="C213" s="24" t="n">
        <v>46254</v>
      </c>
      <c r="D213" s="10">
        <f>MONTH(B213)&amp;"月"</f>
        <v/>
      </c>
      <c r="E213" s="12" t="n">
        <v>2</v>
      </c>
      <c r="F213" s="10" t="inlineStr">
        <is>
          <t>07/28、08/20</t>
        </is>
      </c>
      <c r="G213" s="10" t="inlineStr">
        <is>
          <t>生成AI時代のエンタープライズ検索基盤『Glean』とは 〜全社データを”使える知識”に変えるGlean活用戦略〜</t>
        </is>
      </c>
      <c r="H213" s="10" t="inlineStr">
        <is>
          <t>cloudace</t>
        </is>
      </c>
      <c r="I213" s="10" t="n"/>
      <c r="J213" s="10" t="inlineStr">
        <is>
          <t>Doorkeeper</t>
        </is>
      </c>
      <c r="K213" s="10" t="inlineStr">
        <is>
          <t>不明</t>
        </is>
      </c>
      <c r="L213" s="10" t="n"/>
      <c r="M213" s="10" t="inlineStr">
        <is>
          <t>営業・マーケ・CS</t>
        </is>
      </c>
      <c r="N213" s="10" t="inlineStr">
        <is>
          <t>AIエージェント</t>
        </is>
      </c>
      <c r="O213" s="12" t="inlineStr">
        <is>
          <t>○</t>
        </is>
      </c>
      <c r="P213" s="13" t="n">
        <v>0</v>
      </c>
      <c r="Q213" s="12" t="inlineStr">
        <is>
          <t>参加者数</t>
        </is>
      </c>
      <c r="R213" s="14" t="n">
        <v>60</v>
      </c>
      <c r="S213" s="10" t="inlineStr">
        <is>
          <t>全2回の合計</t>
        </is>
      </c>
      <c r="T213" s="10" t="inlineStr">
        <is>
          <t xml:space="preserve"> 【重要】本セミナーはdoorkeeperだけではお申し込み完了となりません。下記リンク先よりクラウドエースのwebサイトにてお申し込みをお願いいたします。 お申し込みはこちら https://cloud-ace.jp/event/260728/?utm_source=doorkeeper&amp;utm_medium=referral 本セミナーでは、社内に点在するナレッジを業務で活用しやすくする、次世代Work AI「Glean」について解</t>
        </is>
      </c>
      <c r="U213" s="15" t="inlineStr">
        <is>
          <t>https://cloudace.doorkeeper.jp/events/198053</t>
        </is>
      </c>
      <c r="V213" s="10" t="n"/>
      <c r="W213" s="10" t="inlineStr">
        <is>
          <t>本文一致</t>
        </is>
      </c>
      <c r="X213" s="10" t="n"/>
    </row>
    <row r="214">
      <c r="A214" s="10" t="n">
        <v>213</v>
      </c>
      <c r="B214" s="24" t="n">
        <v>46231</v>
      </c>
      <c r="C214" s="24" t="n">
        <v>46294</v>
      </c>
      <c r="D214" s="10">
        <f>MONTH(B214)&amp;"月"</f>
        <v/>
      </c>
      <c r="E214" s="12" t="n">
        <v>3</v>
      </c>
      <c r="F214" s="10" t="inlineStr">
        <is>
          <t>07/28、08/11、09/29</t>
        </is>
      </c>
      <c r="G214" s="10" t="inlineStr">
        <is>
          <t>第66回 MLOps/LLMOps/AgentOps 勉強会</t>
        </is>
      </c>
      <c r="H214" s="10" t="inlineStr">
        <is>
          <t>MLOps/LLMOps/AgentOps 勉強会</t>
        </is>
      </c>
      <c r="I214" s="10" t="n"/>
      <c r="J214" s="10" t="inlineStr">
        <is>
          <t>connpass</t>
        </is>
      </c>
      <c r="K214" s="10" t="inlineStr">
        <is>
          <t>オンライン</t>
        </is>
      </c>
      <c r="L214" s="10" t="inlineStr">
        <is>
          <t>オンライン</t>
        </is>
      </c>
      <c r="M214" s="10" t="inlineStr">
        <is>
          <t>開発生産性</t>
        </is>
      </c>
      <c r="N214" s="10" t="inlineStr">
        <is>
          <t>AIエージェント</t>
        </is>
      </c>
      <c r="O214" s="12" t="inlineStr">
        <is>
          <t>○</t>
        </is>
      </c>
      <c r="P214" s="13" t="n">
        <v>477</v>
      </c>
      <c r="Q214" s="12" t="inlineStr">
        <is>
          <t>参加者数</t>
        </is>
      </c>
      <c r="R214" s="14" t="n">
        <v>3000</v>
      </c>
      <c r="S214" s="10" t="inlineStr">
        <is>
          <t>全3回の合計</t>
        </is>
      </c>
      <c r="T214" s="10" t="n"/>
      <c r="U214" s="15" t="inlineStr">
        <is>
          <t>https://mlops.connpass.com/event/400451/</t>
        </is>
      </c>
      <c r="V214" s="10" t="n"/>
      <c r="W214" s="10" t="inlineStr">
        <is>
          <t>タイトル一致</t>
        </is>
      </c>
      <c r="X214" s="10" t="n"/>
    </row>
    <row r="215">
      <c r="A215" s="10" t="n">
        <v>214</v>
      </c>
      <c r="B215" s="24" t="n">
        <v>46231</v>
      </c>
      <c r="C215" s="24" t="n">
        <v>46231</v>
      </c>
      <c r="D215" s="10">
        <f>MONTH(B215)&amp;"月"</f>
        <v/>
      </c>
      <c r="E215" s="12" t="n">
        <v>1</v>
      </c>
      <c r="F215" s="10" t="n"/>
      <c r="G215" s="10" t="inlineStr">
        <is>
          <t>製造業 経営企画サミット2026「AX(AI変革)で変わる経営判断の在り方」</t>
        </is>
      </c>
      <c r="H215" s="10" t="inlineStr">
        <is>
          <t>NEC</t>
        </is>
      </c>
      <c r="I215" s="10" t="inlineStr">
        <is>
          <t>元AGC副社長 宮地氏が基調講演</t>
        </is>
      </c>
      <c r="J215" s="10" t="inlineStr">
        <is>
          <t>個別調査（公式サイト・PR TIMES等）</t>
        </is>
      </c>
      <c r="K215" s="10" t="inlineStr">
        <is>
          <t>オンライン</t>
        </is>
      </c>
      <c r="L215" s="10" t="n"/>
      <c r="M215" s="10" t="inlineStr">
        <is>
          <t>生産管理・製造・SCM</t>
        </is>
      </c>
      <c r="N215" s="10" t="inlineStr">
        <is>
          <t>AIエージェント（AX）</t>
        </is>
      </c>
      <c r="O215" s="12" t="inlineStr">
        <is>
          <t>◎</t>
        </is>
      </c>
      <c r="P215" s="13" t="n"/>
      <c r="Q215" s="12" t="inlineStr">
        <is>
          <t>不明</t>
        </is>
      </c>
      <c r="R215" s="14" t="n"/>
      <c r="S215" s="10" t="n"/>
      <c r="T215" s="10" t="inlineStr">
        <is>
          <t>AI Native Companyへの道のりと経営企画部門の役割を扱う。NECの製造業AX推進の事例を紹介する。</t>
        </is>
      </c>
      <c r="U215" s="15" t="inlineStr">
        <is>
          <t>https://jpn.nec.com/event/260728seizo-cox/index.html</t>
        </is>
      </c>
      <c r="V215" s="10" t="n"/>
      <c r="W215" s="10" t="inlineStr">
        <is>
          <t>個別確認</t>
        </is>
      </c>
      <c r="X215" s="10" t="inlineStr">
        <is>
          <t>ページ本文は取得できず（403）、検索要約で確認した</t>
        </is>
      </c>
    </row>
    <row r="216">
      <c r="A216" s="10" t="n">
        <v>215</v>
      </c>
      <c r="B216" s="24" t="n">
        <v>46231</v>
      </c>
      <c r="C216" s="24" t="n">
        <v>46231</v>
      </c>
      <c r="D216" s="10">
        <f>MONTH(B216)&amp;"月"</f>
        <v/>
      </c>
      <c r="E216" s="12" t="n">
        <v>1</v>
      </c>
      <c r="F216" s="10" t="n"/>
      <c r="G216" s="10" t="inlineStr">
        <is>
          <t>製造業におけるAIエージェント活用！RAG/ScalarDBで支える部品選定支援システム</t>
        </is>
      </c>
      <c r="H216" s="10" t="inlineStr">
        <is>
          <t>Scalar</t>
        </is>
      </c>
      <c r="I216" s="10" t="n"/>
      <c r="J216" s="10" t="inlineStr">
        <is>
          <t>connpass</t>
        </is>
      </c>
      <c r="K216" s="10" t="inlineStr">
        <is>
          <t>オンライン</t>
        </is>
      </c>
      <c r="L216" s="10" t="inlineStr">
        <is>
          <t>オンライン</t>
        </is>
      </c>
      <c r="M216" s="10" t="inlineStr">
        <is>
          <t>生産管理・製造・SCM</t>
        </is>
      </c>
      <c r="N216" s="10" t="inlineStr">
        <is>
          <t>AIエージェント</t>
        </is>
      </c>
      <c r="O216" s="12" t="inlineStr">
        <is>
          <t>◎</t>
        </is>
      </c>
      <c r="P216" s="13" t="n">
        <v>30</v>
      </c>
      <c r="Q216" s="12" t="inlineStr">
        <is>
          <t>参加者数</t>
        </is>
      </c>
      <c r="R216" s="14" t="n">
        <v>100</v>
      </c>
      <c r="S216" s="10" t="n"/>
      <c r="T216" s="10" t="n"/>
      <c r="U216" s="15" t="inlineStr">
        <is>
          <t>https://scalar.connpass.com/event/400004/</t>
        </is>
      </c>
      <c r="V216" s="10" t="n"/>
      <c r="W216" s="10" t="inlineStr">
        <is>
          <t>タイトル一致</t>
        </is>
      </c>
      <c r="X216" s="10" t="n"/>
    </row>
    <row r="217">
      <c r="A217" s="10" t="n">
        <v>216</v>
      </c>
      <c r="B217" s="24" t="n">
        <v>46232</v>
      </c>
      <c r="C217" s="24" t="n">
        <v>46232</v>
      </c>
      <c r="D217" s="10">
        <f>MONTH(B217)&amp;"月"</f>
        <v/>
      </c>
      <c r="E217" s="12" t="n">
        <v>1</v>
      </c>
      <c r="F217" s="10" t="n"/>
      <c r="G217" s="10" t="inlineStr">
        <is>
          <t>7/29(水)16:00- 【大好評セミナーを再配信！】汎用AIでは届かない「本丸業務」を自動化する ～KICONIA WORKS流・「特化型AIエージェント」開発と要件定義の極意～</t>
        </is>
      </c>
      <c r="H217" s="10" t="inlineStr">
        <is>
          <t>skillupai</t>
        </is>
      </c>
      <c r="I217" s="10" t="n"/>
      <c r="J217" s="10" t="inlineStr">
        <is>
          <t>Doorkeeper</t>
        </is>
      </c>
      <c r="K217" s="10" t="inlineStr">
        <is>
          <t>オンライン</t>
        </is>
      </c>
      <c r="L217" s="10" t="n"/>
      <c r="M217" s="10" t="inlineStr">
        <is>
          <t>生産性向上・業務効率化</t>
        </is>
      </c>
      <c r="N217" s="10" t="inlineStr">
        <is>
          <t>AIエージェント</t>
        </is>
      </c>
      <c r="O217" s="12" t="inlineStr">
        <is>
          <t>◎</t>
        </is>
      </c>
      <c r="P217" s="13" t="n">
        <v>0</v>
      </c>
      <c r="Q217" s="12" t="inlineStr">
        <is>
          <t>参加者数</t>
        </is>
      </c>
      <c r="R217" s="14" t="n">
        <v>30</v>
      </c>
      <c r="S217" s="10" t="n"/>
      <c r="T217" s="10" t="inlineStr">
        <is>
          <t xml:space="preserve"> ■ プログラム概要 2026年4月に配信され、大好評だったセミナーを再配信します。 多くの企業が生成AIの導入に乗り出す一方で、「汎用的なAIツールを導入したものの、自社特有の複雑な業務に適合しない」「プロンプト調整だけでは限界があり、現場の『本丸業務』に活用しきれていない」といった壁に直面するケースが増加しています。 この停滞を打破する鍵は、標準的なSaaSの枠を超え、自社の業務プロセスに深く入り込む「特化型AIエージェント」のカス</t>
        </is>
      </c>
      <c r="U217" s="15" t="inlineStr">
        <is>
          <t>https://skillupai.doorkeeper.jp/events/197997</t>
        </is>
      </c>
      <c r="V217" s="10" t="n"/>
      <c r="W217" s="10" t="inlineStr">
        <is>
          <t>タイトル一致</t>
        </is>
      </c>
      <c r="X217" s="10" t="n"/>
    </row>
    <row r="218">
      <c r="A218" s="10" t="n">
        <v>217</v>
      </c>
      <c r="B218" s="24" t="n">
        <v>46232</v>
      </c>
      <c r="C218" s="24" t="n">
        <v>46232</v>
      </c>
      <c r="D218" s="10">
        <f>MONTH(B218)&amp;"月"</f>
        <v/>
      </c>
      <c r="E218" s="12" t="n">
        <v>1</v>
      </c>
      <c r="F218" s="10" t="n"/>
      <c r="G218" s="10" t="inlineStr">
        <is>
          <t>AIを導入したのに、なぜ現場で使われないのか？ ～PoC止まり・定着しないAI活用から脱却する 業務設計と運用定着の進め方～</t>
        </is>
      </c>
      <c r="H218" s="10" t="inlineStr">
        <is>
          <t>株式会社テンダ 株式会社Almondo</t>
        </is>
      </c>
      <c r="I218" s="10" t="inlineStr">
        <is>
          <t>株式会社テンダ 株式会社Almondo</t>
        </is>
      </c>
      <c r="J218" s="10" t="inlineStr">
        <is>
          <t>Doorkeeper</t>
        </is>
      </c>
      <c r="K218" s="10" t="inlineStr">
        <is>
          <t>不明</t>
        </is>
      </c>
      <c r="L218" s="10" t="n"/>
      <c r="M218" s="10" t="inlineStr">
        <is>
          <t>生産性向上・業務効率化</t>
        </is>
      </c>
      <c r="N218" s="10" t="inlineStr">
        <is>
          <t>AIエージェント</t>
        </is>
      </c>
      <c r="O218" s="12" t="inlineStr">
        <is>
          <t>○</t>
        </is>
      </c>
      <c r="P218" s="13" t="n">
        <v>0</v>
      </c>
      <c r="Q218" s="12" t="inlineStr">
        <is>
          <t>参加者数</t>
        </is>
      </c>
      <c r="R218" s="14" t="n"/>
      <c r="S218" s="10" t="n"/>
      <c r="T218"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AIツールを導入したのに、なぜ成果につながらないのか 生成AIやAIエージェントへの期待が高まる中、多くの企業でAI活用の取り組みが進められています。しかし実際には、「AIツールを導入したものの現場で使</t>
        </is>
      </c>
      <c r="U218" s="15" t="inlineStr">
        <is>
          <t>https://majisemi-technology.doorkeeper.jp/events/198025</t>
        </is>
      </c>
      <c r="V218" s="10" t="n"/>
      <c r="W218" s="10" t="inlineStr">
        <is>
          <t>本文一致</t>
        </is>
      </c>
      <c r="X218" s="10" t="n"/>
    </row>
    <row r="219">
      <c r="A219" s="10" t="n">
        <v>218</v>
      </c>
      <c r="B219" s="24" t="n">
        <v>46232</v>
      </c>
      <c r="C219" s="24" t="n">
        <v>46232</v>
      </c>
      <c r="D219" s="10">
        <f>MONTH(B219)&amp;"月"</f>
        <v/>
      </c>
      <c r="E219" s="12" t="n">
        <v>1</v>
      </c>
      <c r="F219" s="10" t="n"/>
      <c r="G219" s="10" t="inlineStr">
        <is>
          <t>AIエージェントサミットSummer2026</t>
        </is>
      </c>
      <c r="H219" s="10" t="inlineStr">
        <is>
          <t>株式会社アイスマイリー</t>
        </is>
      </c>
      <c r="I219" s="10" t="inlineStr">
        <is>
          <t>ストックマーク・PKSHA・ミライのゲンバ・発注ナビなど11社</t>
        </is>
      </c>
      <c r="J219" s="10" t="inlineStr">
        <is>
          <t>個別調査（公式サイト・PR TIMES等）</t>
        </is>
      </c>
      <c r="K219" s="10" t="inlineStr">
        <is>
          <t>オンライン</t>
        </is>
      </c>
      <c r="L219" s="10" t="n"/>
      <c r="M219" s="10" t="inlineStr">
        <is>
          <t>生産性向上・業務効率化</t>
        </is>
      </c>
      <c r="N219" s="10" t="inlineStr">
        <is>
          <t>AIエージェント</t>
        </is>
      </c>
      <c r="O219" s="12" t="inlineStr">
        <is>
          <t>◎</t>
        </is>
      </c>
      <c r="P219" s="13" t="n">
        <v>11</v>
      </c>
      <c r="Q219" s="12" t="inlineStr">
        <is>
          <t>申込者数</t>
        </is>
      </c>
      <c r="R219" s="14" t="n"/>
      <c r="S219" s="10" t="n"/>
      <c r="T219" s="10" t="inlineStr">
        <is>
          <t>自律型AIの最新動向と、生成AIの枠を超えた業務自動化を11社が解説する。マーケの効率化や社内DXも扱う。</t>
        </is>
      </c>
      <c r="U219" s="15" t="inlineStr">
        <is>
          <t>https://aismiley.co.jp/company_news/20260729webinar/</t>
        </is>
      </c>
      <c r="V219" s="15" t="inlineStr">
        <is>
          <t>https://gais.jp/ai-agent-summit-summer2026/</t>
        </is>
      </c>
      <c r="W219" s="10" t="inlineStr">
        <is>
          <t>個別確認</t>
        </is>
      </c>
      <c r="X219" s="10" t="n"/>
    </row>
    <row r="220">
      <c r="A220" s="10" t="n">
        <v>219</v>
      </c>
      <c r="B220" s="24" t="n">
        <v>46232</v>
      </c>
      <c r="C220" s="24" t="n">
        <v>46232</v>
      </c>
      <c r="D220" s="10">
        <f>MONTH(B220)&amp;"月"</f>
        <v/>
      </c>
      <c r="E220" s="12" t="n">
        <v>1</v>
      </c>
      <c r="F220" s="10" t="n"/>
      <c r="G220" s="10" t="inlineStr">
        <is>
          <t>AI活用実践マネジメント研修</t>
        </is>
      </c>
      <c r="H220" s="10" t="inlineStr">
        <is>
          <t>関西経営管理協会</t>
        </is>
      </c>
      <c r="I220" s="10" t="n"/>
      <c r="J220" s="10" t="inlineStr">
        <is>
          <t>こくちーずプロ</t>
        </is>
      </c>
      <c r="K220" s="10" t="inlineStr">
        <is>
          <t>オフライン（会場）</t>
        </is>
      </c>
      <c r="L220" s="10" t="inlineStr">
        <is>
          <t>中央電気倶楽部 大阪府大阪市北区堂島浜2-1-25</t>
        </is>
      </c>
      <c r="M220" s="10" t="inlineStr">
        <is>
          <t>生産性向上・業務効率化</t>
        </is>
      </c>
      <c r="N220" s="10" t="inlineStr">
        <is>
          <t>AIエージェント</t>
        </is>
      </c>
      <c r="O220" s="12" t="inlineStr">
        <is>
          <t>○</t>
        </is>
      </c>
      <c r="P220" s="13" t="n">
        <v>0</v>
      </c>
      <c r="Q220" s="12" t="inlineStr">
        <is>
          <t>参加者数</t>
        </is>
      </c>
      <c r="R220" s="14" t="n">
        <v>10</v>
      </c>
      <c r="S220" s="10" t="n"/>
      <c r="T220" s="10" t="inlineStr">
        <is>
          <t>詳細・お申し込みはコチラから！ ●毎日1650人の労働力が減少する時代、AIと「共働」できない企業は生き残れない！ ●AIを一部の社員の「武器」ではなく、全社員で使いこなす「会社の文化」とするためには？ こんな企業にお勧めです ◆DXを推進したいが、具体的にどの業務にどのAIをどう導入すればよいか手順がわからない経営者・管理者の方 ◆ChatGPTなどの生成AIを導入してみたものの、一部の人しか使えておらず属人化してしまっている企業 ◆</t>
        </is>
      </c>
      <c r="U220" s="15" t="inlineStr">
        <is>
          <t>https://www.kokuchpro.com/event/bd8a8161611562ded6d6da219d100aad/</t>
        </is>
      </c>
      <c r="V220" s="10" t="n"/>
      <c r="W220" s="10" t="inlineStr">
        <is>
          <t>本文一致</t>
        </is>
      </c>
      <c r="X220" s="10" t="n"/>
    </row>
    <row r="221">
      <c r="A221" s="10" t="n">
        <v>220</v>
      </c>
      <c r="B221" s="24" t="n">
        <v>46232</v>
      </c>
      <c r="C221" s="24" t="n">
        <v>46232</v>
      </c>
      <c r="D221" s="10">
        <f>MONTH(B221)&amp;"月"</f>
        <v/>
      </c>
      <c r="E221" s="12" t="n">
        <v>1</v>
      </c>
      <c r="F221" s="10" t="n"/>
      <c r="G221" s="10" t="inlineStr">
        <is>
          <t>ClaudeCode実践セミナー|ClaudeCode実践セミナー|現場効率化と人事評価制度で"人手不足でも回る"会社をつくる活用術</t>
        </is>
      </c>
      <c r="H221" s="10" t="inlineStr">
        <is>
          <t>給与アップ研究所セミナー事務局</t>
        </is>
      </c>
      <c r="I221" s="10" t="n"/>
      <c r="J221" s="10" t="inlineStr">
        <is>
          <t>こくちーずプロ</t>
        </is>
      </c>
      <c r="K221" s="10" t="inlineStr">
        <is>
          <t>オンライン</t>
        </is>
      </c>
      <c r="L221" s="10" t="inlineStr">
        <is>
          <t>オンライン 日本</t>
        </is>
      </c>
      <c r="M221" s="10" t="inlineStr">
        <is>
          <t>営業・マーケ・CS</t>
        </is>
      </c>
      <c r="N221" s="10" t="inlineStr">
        <is>
          <t>AIエージェント</t>
        </is>
      </c>
      <c r="O221" s="12" t="inlineStr">
        <is>
          <t>◎</t>
        </is>
      </c>
      <c r="P221" s="13" t="n">
        <v>1</v>
      </c>
      <c r="Q221" s="12" t="inlineStr">
        <is>
          <t>参加者数</t>
        </is>
      </c>
      <c r="R221" s="14" t="n">
        <v>100</v>
      </c>
      <c r="S221" s="10" t="n"/>
      <c r="T221" s="10" t="inlineStr">
        <is>
          <t xml:space="preserve">【建設業経営者・現場責任者向け】 ClaudeCode実践セミナー 現場効率化と人事評価制度で"人手不足でも回る"会社をつくる活用術 ━━━━━━━━━━━━━━━━━━ ■開催概要 ━━━━━━━━━━━━━━━━━━ 日時 ：2026年7月29日（水）12:00～13:00 形式 ：オンライン（Zoom） 参加費 ：無料 ━━━━━━━━━━━━━━━━━━ ■このようなお悩みはありませんか？ ━━━━━━━━━━━━━━━━━━ </t>
        </is>
      </c>
      <c r="U221" s="15" t="inlineStr">
        <is>
          <t>https://www.kokuchpro.com/event/5547d9fca6b4575f9401f7a39010d93b/</t>
        </is>
      </c>
      <c r="V221" s="10" t="n"/>
      <c r="W221" s="10" t="inlineStr">
        <is>
          <t>タイトル一致</t>
        </is>
      </c>
      <c r="X221" s="10" t="n"/>
    </row>
    <row r="222">
      <c r="A222" s="10" t="n">
        <v>221</v>
      </c>
      <c r="B222" s="24" t="n">
        <v>46232</v>
      </c>
      <c r="C222" s="24" t="n">
        <v>46233</v>
      </c>
      <c r="D222" s="10">
        <f>MONTH(B222)&amp;"月"</f>
        <v/>
      </c>
      <c r="E222" s="12" t="n">
        <v>1</v>
      </c>
      <c r="F222" s="10" t="n"/>
      <c r="G222" s="10" t="inlineStr">
        <is>
          <t>ITインフラSummit 2026 Summer〜AIエージェント時代に不可欠なITインフラの条件とは〜</t>
        </is>
      </c>
      <c r="H222" s="10" t="inlineStr">
        <is>
          <t>日経クロステック（日経BP）</t>
        </is>
      </c>
      <c r="I222" s="10" t="n"/>
      <c r="J222" s="10" t="inlineStr">
        <is>
          <t>個別調査（公式サイト・PR TIMES等）</t>
        </is>
      </c>
      <c r="K222" s="10" t="inlineStr">
        <is>
          <t>オンライン</t>
        </is>
      </c>
      <c r="L222" s="10" t="n"/>
      <c r="M222" s="10" t="inlineStr">
        <is>
          <t>生産性向上・業務効率化</t>
        </is>
      </c>
      <c r="N222" s="10" t="inlineStr">
        <is>
          <t>両方</t>
        </is>
      </c>
      <c r="O222" s="12" t="inlineStr">
        <is>
          <t>◎</t>
        </is>
      </c>
      <c r="P222" s="13" t="n"/>
      <c r="Q222" s="12" t="inlineStr">
        <is>
          <t>不明</t>
        </is>
      </c>
      <c r="R222" s="14" t="n"/>
      <c r="S222" s="10" t="inlineStr">
        <is>
          <t>先着順</t>
        </is>
      </c>
      <c r="T222" s="10" t="inlineStr">
        <is>
          <t>AIエージェントを動かすためのデータ基盤、APIマネジメント、セキュリティを解説する。MCPはクラウド連携の技術として扱われる。</t>
        </is>
      </c>
      <c r="U222" s="15" t="inlineStr">
        <is>
          <t>https://events.nikkeibp.co.jp/event/2026/nxt0729infra/</t>
        </is>
      </c>
      <c r="V222" s="10" t="n"/>
      <c r="W222" s="10" t="inlineStr">
        <is>
          <t>個別確認</t>
        </is>
      </c>
      <c r="X222" s="10" t="inlineStr">
        <is>
          <t>IT部門向け</t>
        </is>
      </c>
    </row>
    <row r="223">
      <c r="A223" s="10" t="n">
        <v>222</v>
      </c>
      <c r="B223" s="24" t="n">
        <v>46232</v>
      </c>
      <c r="C223" s="24" t="n">
        <v>46232</v>
      </c>
      <c r="D223" s="10">
        <f>MONTH(B223)&amp;"月"</f>
        <v/>
      </c>
      <c r="E223" s="12" t="n">
        <v>1</v>
      </c>
      <c r="F223" s="10" t="n"/>
      <c r="G223" s="10" t="inlineStr">
        <is>
          <t>SAP NOW AI Tour TOKYO</t>
        </is>
      </c>
      <c r="H223" s="10" t="inlineStr">
        <is>
          <t>SAPジャパン株式会社</t>
        </is>
      </c>
      <c r="I223" s="10" t="n"/>
      <c r="J223" s="10" t="inlineStr">
        <is>
          <t>ビジネス+IT</t>
        </is>
      </c>
      <c r="K223" s="10" t="inlineStr">
        <is>
          <t>offline</t>
        </is>
      </c>
      <c r="L223" s="10" t="inlineStr">
        <is>
          <t>東京都</t>
        </is>
      </c>
      <c r="M223" s="10" t="inlineStr">
        <is>
          <t>生産性向上・業務効率化</t>
        </is>
      </c>
      <c r="N223" s="10" t="inlineStr">
        <is>
          <t>AIエージェント</t>
        </is>
      </c>
      <c r="O223" s="12" t="inlineStr">
        <is>
          <t>○</t>
        </is>
      </c>
      <c r="P223" s="13" t="n"/>
      <c r="Q223" s="12" t="inlineStr">
        <is>
          <t>不明</t>
        </is>
      </c>
      <c r="R223" s="14" t="n"/>
      <c r="S223" s="10" t="n"/>
      <c r="T223" s="10" t="inlineStr">
        <is>
          <t>外部環境が急速に変化する中、企業には部門最適ではなく全体最適で競争力を高める視点が求められています。SAP NOW AI Tour 2026 は、SAP Business Suite を基盤に、AI エージェント「Joule」が切り拓く次の経営と業務の姿をご紹介するイベントです。主役は SAP ではなく、次に選ばれる企業となるための進化を目指す皆様です。Bring out your best! ― 企業の力を、次の次元へ。ぜひ会場でご体</t>
        </is>
      </c>
      <c r="U223" s="15" t="inlineStr">
        <is>
          <t>https://www.sbbit.jp/eventinfo/89001</t>
        </is>
      </c>
      <c r="V223" s="10" t="n"/>
      <c r="W223" s="10" t="inlineStr">
        <is>
          <t>本文一致</t>
        </is>
      </c>
      <c r="X223" s="10" t="n"/>
    </row>
    <row r="224">
      <c r="A224" s="10" t="n">
        <v>223</v>
      </c>
      <c r="B224" s="24" t="n">
        <v>46232</v>
      </c>
      <c r="C224" s="24" t="n">
        <v>46232</v>
      </c>
      <c r="D224" s="10">
        <f>MONTH(B224)&amp;"月"</f>
        <v/>
      </c>
      <c r="E224" s="12" t="n">
        <v>1</v>
      </c>
      <c r="F224" s="10" t="n"/>
      <c r="G224" s="10" t="inlineStr">
        <is>
          <t>Skillsでなくす！定形業務へのClaude Code活用</t>
        </is>
      </c>
      <c r="H224" s="10" t="inlineStr">
        <is>
          <t>Solvio｜生成AI活用支援</t>
        </is>
      </c>
      <c r="I224" s="10" t="n"/>
      <c r="J224" s="10" t="inlineStr">
        <is>
          <t>connpass</t>
        </is>
      </c>
      <c r="K224" s="10" t="inlineStr">
        <is>
          <t>オンライン</t>
        </is>
      </c>
      <c r="L224" s="10" t="inlineStr">
        <is>
          <t>オンライン</t>
        </is>
      </c>
      <c r="M224" s="10" t="inlineStr">
        <is>
          <t>生産性向上・業務効率化</t>
        </is>
      </c>
      <c r="N224" s="10" t="inlineStr">
        <is>
          <t>AIエージェント</t>
        </is>
      </c>
      <c r="O224" s="12" t="inlineStr">
        <is>
          <t>◎</t>
        </is>
      </c>
      <c r="P224" s="13" t="n">
        <v>25</v>
      </c>
      <c r="Q224" s="12" t="inlineStr">
        <is>
          <t>参加者数</t>
        </is>
      </c>
      <c r="R224" s="14" t="n">
        <v>100</v>
      </c>
      <c r="S224" s="10" t="n"/>
      <c r="T224" s="10" t="n"/>
      <c r="U224" s="15" t="inlineStr">
        <is>
          <t>https://solvio.connpass.com/event/400965/</t>
        </is>
      </c>
      <c r="V224" s="10" t="n"/>
      <c r="W224" s="10" t="inlineStr">
        <is>
          <t>タイトル一致</t>
        </is>
      </c>
      <c r="X224" s="10" t="n"/>
    </row>
    <row r="225">
      <c r="A225" s="10" t="n">
        <v>224</v>
      </c>
      <c r="B225" s="24" t="n">
        <v>46232</v>
      </c>
      <c r="C225" s="24" t="n">
        <v>46232</v>
      </c>
      <c r="D225" s="10">
        <f>MONTH(B225)&amp;"月"</f>
        <v/>
      </c>
      <c r="E225" s="12" t="n">
        <v>1</v>
      </c>
      <c r="F225" s="10" t="n"/>
      <c r="G225" s="10" t="inlineStr">
        <is>
          <t>【Dify活用無料ウェビナー】Difyで整理する、既製AIツールのできること・できないこと</t>
        </is>
      </c>
      <c r="H225" s="10" t="inlineStr">
        <is>
          <t>バイタリフィ｜ウェビナー情報【ベトナムでのオフショア開発、AI（人工知能）事業】</t>
        </is>
      </c>
      <c r="I225" s="10" t="n"/>
      <c r="J225" s="10" t="inlineStr">
        <is>
          <t>TECH PLAY</t>
        </is>
      </c>
      <c r="K225" s="10" t="inlineStr">
        <is>
          <t>オンライン</t>
        </is>
      </c>
      <c r="L225" s="10" t="n"/>
      <c r="M225" s="10" t="inlineStr">
        <is>
          <t>生産性向上・業務効率化</t>
        </is>
      </c>
      <c r="N225" s="10" t="inlineStr">
        <is>
          <t>AIエージェント</t>
        </is>
      </c>
      <c r="O225" s="12" t="inlineStr">
        <is>
          <t>◎</t>
        </is>
      </c>
      <c r="P225" s="13" t="n">
        <v>3</v>
      </c>
      <c r="Q225" s="12" t="inlineStr">
        <is>
          <t>申込者数</t>
        </is>
      </c>
      <c r="R225" s="14" t="n">
        <v>50</v>
      </c>
      <c r="S225" s="10" t="n"/>
      <c r="T225" s="10" t="inlineStr">
        <is>
          <t>概要 生成AIツールの導入は急速に進んでいます。 しかし、「Copilotは既にあるが、期待したほど使われていない」、「Geminiで一部は効率化できたが、肝心の業務には手が届かない」そんな“導入したその先”の物足りなさを感じていませんか。 本ウェビナーでは、既製AIツールの「できること・できないこと」と、そこに立ちはだかる3つの壁（コスト・精度・カスタマイズ）をRAG観点をメインに明らかにします。 そのうえで、オープンソースのAIアプ</t>
        </is>
      </c>
      <c r="U225" s="15" t="inlineStr">
        <is>
          <t>https://techplay.jp/event/998368</t>
        </is>
      </c>
      <c r="V225" s="10" t="n"/>
      <c r="W225" s="10" t="inlineStr">
        <is>
          <t>タイトル一致</t>
        </is>
      </c>
      <c r="X225" s="10" t="n"/>
    </row>
    <row r="226">
      <c r="A226" s="10" t="n">
        <v>225</v>
      </c>
      <c r="B226" s="24" t="n">
        <v>46232</v>
      </c>
      <c r="C226" s="24" t="n">
        <v>46232</v>
      </c>
      <c r="D226" s="10">
        <f>MONTH(B226)&amp;"月"</f>
        <v/>
      </c>
      <c r="E226" s="12" t="n">
        <v>1</v>
      </c>
      <c r="F226" s="10" t="n"/>
      <c r="G226" s="10" t="inlineStr">
        <is>
          <t>【Dos攻撃対策】最新のAIが発見した脆弱性 ～HTTP/2 Bomb 攻撃とその検知～</t>
        </is>
      </c>
      <c r="H226" s="10" t="inlineStr">
        <is>
          <t>アルプス システム インテグレーション株式会社</t>
        </is>
      </c>
      <c r="I226" s="10" t="inlineStr">
        <is>
          <t>マジセミ株式会社</t>
        </is>
      </c>
      <c r="J226" s="10" t="inlineStr">
        <is>
          <t>Doorkeeper</t>
        </is>
      </c>
      <c r="K226" s="10" t="inlineStr">
        <is>
          <t>オンライン</t>
        </is>
      </c>
      <c r="L226" s="10" t="inlineStr">
        <is>
          <t>Webセミナー（URLは主催企業からメールでお知らせします） オンライン</t>
        </is>
      </c>
      <c r="M226" s="10" t="inlineStr">
        <is>
          <t>営業・マーケ・CS</t>
        </is>
      </c>
      <c r="N226" s="10" t="inlineStr">
        <is>
          <t>AIエージェント</t>
        </is>
      </c>
      <c r="O226" s="12" t="inlineStr">
        <is>
          <t>○</t>
        </is>
      </c>
      <c r="P226" s="13" t="n">
        <v>0</v>
      </c>
      <c r="Q226" s="12" t="inlineStr">
        <is>
          <t>参加者数</t>
        </is>
      </c>
      <c r="R226" s="14" t="n"/>
      <c r="S226" s="10" t="n"/>
      <c r="T226" s="10" t="inlineStr">
        <is>
          <t xml:space="preserve"> 本セミナーはWebセミナーです 参加方法（URL）は主催企業より直接メールにてご連絡いたします。 「eventhub.jp」「osslabo.com」「majisemi.com」からのメールが迷惑メールとならないよう、メールの設定をご確認下さい。 本セミナーは、10:00～23:59のお好きな時間にご視聴いただけます。 概要 昨今、生成AIの急速な進化によって、AIが未知の脆弱性を発見し、瞬時に攻撃手法を組み立てる時代が現実のものとな</t>
        </is>
      </c>
      <c r="U226" s="15" t="inlineStr">
        <is>
          <t>https://majisemi-security.doorkeeper.jp/events/198139</t>
        </is>
      </c>
      <c r="V226" s="10" t="n"/>
      <c r="W226" s="10" t="inlineStr">
        <is>
          <t>本文一致</t>
        </is>
      </c>
      <c r="X226" s="10" t="n"/>
    </row>
    <row r="227">
      <c r="A227" s="10" t="n">
        <v>226</v>
      </c>
      <c r="B227" s="24" t="n">
        <v>46232</v>
      </c>
      <c r="C227" s="24" t="n">
        <v>46232</v>
      </c>
      <c r="D227" s="10">
        <f>MONTH(B227)&amp;"月"</f>
        <v/>
      </c>
      <c r="E227" s="12" t="n">
        <v>1</v>
      </c>
      <c r="F227" s="10" t="n"/>
      <c r="G227" s="10" t="inlineStr">
        <is>
          <t>【Studio plume主催】Manusで加速させるビジネス画像戦略!AI画像生成実践講座</t>
        </is>
      </c>
      <c r="H227" s="10" t="inlineStr">
        <is>
          <t>株式会社Femme Creatives</t>
        </is>
      </c>
      <c r="I227" s="10" t="n"/>
      <c r="J227" s="10" t="inlineStr">
        <is>
          <t>こくちーずプロ</t>
        </is>
      </c>
      <c r="K227" s="10" t="inlineStr">
        <is>
          <t>オンライン</t>
        </is>
      </c>
      <c r="L227" s="10" t="inlineStr">
        <is>
          <t>オンライン 日本</t>
        </is>
      </c>
      <c r="M227" s="10" t="inlineStr">
        <is>
          <t>生産性向上・業務効率化</t>
        </is>
      </c>
      <c r="N227" s="10" t="inlineStr">
        <is>
          <t>AIエージェント</t>
        </is>
      </c>
      <c r="O227" s="12" t="inlineStr">
        <is>
          <t>◎</t>
        </is>
      </c>
      <c r="P227" s="13" t="n">
        <v>3</v>
      </c>
      <c r="Q227" s="12" t="inlineStr">
        <is>
          <t>参加者数</t>
        </is>
      </c>
      <c r="R227" s="14" t="n">
        <v>30</v>
      </c>
      <c r="S227" s="10" t="n"/>
      <c r="T227" s="10" t="inlineStr">
        <is>
          <t xml:space="preserve">「AIで画像を作ってみたいけれど、思い通りの画像ができない…」 「自分のビジネス（SNS、パンフレット、広告など）にどう活かせばいいかわからない…」 そんなお悩みを持つ方に向けた、 AI画像生成実践講座 を開催いたします！ 今回は、目標を伝えると自律的に作業を実行するAIエージェント「Manus」を活用し、思い通りの画像を生成するための具体的なワークフローを学びます。初心者の方でも安心してご参加いただける内容です。 ■ 開催概要 項目 </t>
        </is>
      </c>
      <c r="U227" s="15" t="inlineStr">
        <is>
          <t>https://www.kokuchpro.com/event/9c7c3edf4ceb4ddd42df93774e27be83/</t>
        </is>
      </c>
      <c r="V227" s="10" t="n"/>
      <c r="W227" s="10" t="inlineStr">
        <is>
          <t>タイトル一致</t>
        </is>
      </c>
      <c r="X227" s="10" t="n"/>
    </row>
    <row r="228">
      <c r="A228" s="10" t="n">
        <v>227</v>
      </c>
      <c r="B228" s="24" t="n">
        <v>46232</v>
      </c>
      <c r="C228" s="24" t="n">
        <v>46234</v>
      </c>
      <c r="D228" s="10">
        <f>MONTH(B228)&amp;"月"</f>
        <v/>
      </c>
      <c r="E228" s="12" t="n">
        <v>3</v>
      </c>
      <c r="F228" s="10" t="inlineStr">
        <is>
          <t>07/29、07/30、07/31</t>
        </is>
      </c>
      <c r="G228" s="10" t="inlineStr">
        <is>
          <t>イプロスAI 2026 夏 ｜AIイベント詳細（展示会・セミナー・講演会）</t>
        </is>
      </c>
      <c r="H228" s="10" t="inlineStr">
        <is>
          <t>株式会社イプロス</t>
        </is>
      </c>
      <c r="I228" s="10" t="n"/>
      <c r="J228" s="10" t="inlineStr">
        <is>
          <t>AIsmiley</t>
        </is>
      </c>
      <c r="K228" s="10" t="inlineStr">
        <is>
          <t>会場（展示会/イベント）</t>
        </is>
      </c>
      <c r="L228" s="10" t="inlineStr">
        <is>
          <t>有明GYM-EX（ジメックス）</t>
        </is>
      </c>
      <c r="M228" s="10" t="inlineStr">
        <is>
          <t>生産管理・製造・SCM</t>
        </is>
      </c>
      <c r="N228" s="10" t="inlineStr">
        <is>
          <t>AIエージェント</t>
        </is>
      </c>
      <c r="O228" s="12" t="inlineStr">
        <is>
          <t>○</t>
        </is>
      </c>
      <c r="P228" s="13" t="n"/>
      <c r="Q228" s="12" t="inlineStr">
        <is>
          <t>不明</t>
        </is>
      </c>
      <c r="R228" s="14" t="n"/>
      <c r="S228" s="10" t="inlineStr">
        <is>
          <t>全3回の合計</t>
        </is>
      </c>
      <c r="T228" s="10" t="inlineStr">
        <is>
          <t>「イプロスAI 2026 夏」は、“明日から使えるAIが見つかる展示会”として開催する展示会です。 「第1回 AI/DX 経営課題の解決展」「第2回 AI/DX 営業・マーケティング展」の2展示会で構成され、生成AIやAIエージェントをはじめ、営業DX、業務自動化、データ活用、バックオフィスDX、製造業DXなど、企業の課題解決につながる最新AI・DXソリューションが集結します。 AIを導入したい。業務をもっと効率化したい。営業やマーケテ</t>
        </is>
      </c>
      <c r="U228" s="15" t="inlineStr">
        <is>
          <t>https://aismiley.co.jp/event_detail/iprosai-summer-20260729/</t>
        </is>
      </c>
      <c r="V228" s="10" t="n"/>
      <c r="W228" s="10" t="inlineStr">
        <is>
          <t>本文一致</t>
        </is>
      </c>
      <c r="X228" s="10" t="n"/>
    </row>
    <row r="229">
      <c r="A229" s="10" t="n">
        <v>228</v>
      </c>
      <c r="B229" s="24" t="n">
        <v>46232</v>
      </c>
      <c r="C229" s="24" t="n">
        <v>46234</v>
      </c>
      <c r="D229" s="10">
        <f>MONTH(B229)&amp;"月"</f>
        <v/>
      </c>
      <c r="E229" s="12" t="n">
        <v>1</v>
      </c>
      <c r="F229" s="10" t="n"/>
      <c r="G229" s="10" t="inlineStr">
        <is>
          <t>イプロスAI 2026 夏（講演：富士通「自社で実証。AIエージェントがもたらす別次元の業務変革」）</t>
        </is>
      </c>
      <c r="H229" s="10" t="inlineStr">
        <is>
          <t>イプロス</t>
        </is>
      </c>
      <c r="I229" s="10" t="n"/>
      <c r="J229" s="10" t="inlineStr">
        <is>
          <t>個別調査（公式サイト・PR TIMES等）</t>
        </is>
      </c>
      <c r="K229" s="10" t="inlineStr">
        <is>
          <t>会場</t>
        </is>
      </c>
      <c r="L229" s="10" t="inlineStr">
        <is>
          <t>有明GYM-EX</t>
        </is>
      </c>
      <c r="M229" s="10" t="inlineStr">
        <is>
          <t>生産管理・製造・SCM</t>
        </is>
      </c>
      <c r="N229" s="10" t="inlineStr">
        <is>
          <t>AIエージェント</t>
        </is>
      </c>
      <c r="O229" s="12" t="inlineStr">
        <is>
          <t>◎</t>
        </is>
      </c>
      <c r="P229" s="13" t="n">
        <v>10000</v>
      </c>
      <c r="Q229" s="12" t="inlineStr">
        <is>
          <t>予定来場者数</t>
        </is>
      </c>
      <c r="R229" s="14" t="n"/>
      <c r="S229" s="10" t="inlineStr">
        <is>
          <t>実績値は未確認。予定値は検索要約から取得した</t>
        </is>
      </c>
      <c r="T229" s="10" t="inlineStr">
        <is>
          <t>製造業DXを含むAIソリューションの展示会。7/29の富士通の講演は満員となった。</t>
        </is>
      </c>
      <c r="U229" s="15" t="inlineStr">
        <is>
          <t>https://ex.ipros.jp/expo/iprosai/</t>
        </is>
      </c>
      <c r="V229" s="15" t="inlineStr">
        <is>
          <t>https://prtimes.jp/main/html/rd/p/000000144.000001332.html</t>
        </is>
      </c>
      <c r="W229" s="10" t="inlineStr">
        <is>
          <t>個別確認</t>
        </is>
      </c>
      <c r="X229" s="10" t="n"/>
    </row>
    <row r="230">
      <c r="A230" s="10" t="n">
        <v>229</v>
      </c>
      <c r="B230" s="24" t="n">
        <v>46232</v>
      </c>
      <c r="C230" s="24" t="n">
        <v>46232</v>
      </c>
      <c r="D230" s="10">
        <f>MONTH(B230)&amp;"月"</f>
        <v/>
      </c>
      <c r="E230" s="12" t="n">
        <v>1</v>
      </c>
      <c r="F230" s="10" t="n"/>
      <c r="G230" s="10" t="inlineStr">
        <is>
          <t>エグゼクティブ・エクスチェンジ： エージェント型AIとエンタープライズ・リーダーシップの未来</t>
        </is>
      </c>
      <c r="H230" s="10" t="inlineStr">
        <is>
          <t>（記載なし）</t>
        </is>
      </c>
      <c r="I230" s="10" t="inlineStr">
        <is>
          <t>マジセミ株式会社</t>
        </is>
      </c>
      <c r="J230" s="10" t="inlineStr">
        <is>
          <t>Doorkeeper</t>
        </is>
      </c>
      <c r="K230" s="10" t="inlineStr">
        <is>
          <t>オンライン</t>
        </is>
      </c>
      <c r="L230" s="10" t="inlineStr">
        <is>
          <t>Webセミナー（URLは主催企業からメールでお知らせします） オンライン</t>
        </is>
      </c>
      <c r="M230" s="10" t="inlineStr">
        <is>
          <t>生産性向上・業務効率化</t>
        </is>
      </c>
      <c r="N230" s="10" t="inlineStr">
        <is>
          <t>AIエージェント</t>
        </is>
      </c>
      <c r="O230" s="12" t="inlineStr">
        <is>
          <t>◎</t>
        </is>
      </c>
      <c r="P230" s="13" t="n">
        <v>0</v>
      </c>
      <c r="Q230" s="12" t="inlineStr">
        <is>
          <t>参加者数</t>
        </is>
      </c>
      <c r="R230" s="14" t="n"/>
      <c r="S230" s="10" t="n"/>
      <c r="T230" s="10" t="inlineStr">
        <is>
          <t xml:space="preserve"> 本セミナーはWebセミナーです 参加方法（URL）は主催企業より直接メールにてご連絡いたします。 「event.nutanix.com」「osslabo.com」「majisemi.com」からのメールが迷惑メールとならないよう、メールの設定をご確認ください。 Nutanix主催の「エグゼクティブ・エクスチェンジ」にぜひご参加ください。 本プログラムは、企業向けテクノロジーの次なる展望を模索するCIOおよびIT部門経営幹部やご担当者の</t>
        </is>
      </c>
      <c r="U230" s="15" t="inlineStr">
        <is>
          <t>https://osslabo.doorkeeper.jp/events/198182</t>
        </is>
      </c>
      <c r="V230" s="10" t="n"/>
      <c r="W230" s="10" t="inlineStr">
        <is>
          <t>タイトル一致</t>
        </is>
      </c>
      <c r="X230" s="10" t="n"/>
    </row>
    <row r="231">
      <c r="A231" s="10" t="n">
        <v>230</v>
      </c>
      <c r="B231" s="24" t="n">
        <v>46232</v>
      </c>
      <c r="C231" s="24" t="n">
        <v>46232</v>
      </c>
      <c r="D231" s="10">
        <f>MONTH(B231)&amp;"月"</f>
        <v/>
      </c>
      <c r="E231" s="12" t="n">
        <v>1</v>
      </c>
      <c r="F231" s="10" t="n"/>
      <c r="G231" s="10" t="inlineStr">
        <is>
          <t>コマース＆マーケティングのAI活用戦略  AI Commerce Forum Tokyo 2026</t>
        </is>
      </c>
      <c r="H231" s="10" t="inlineStr">
        <is>
          <t>パーフェクト株式会社 [共催] SparkLabs Taiwan</t>
        </is>
      </c>
      <c r="I231" s="10" t="n"/>
      <c r="J231" s="10" t="inlineStr">
        <is>
          <t>EventRegist</t>
        </is>
      </c>
      <c r="K231" s="10" t="inlineStr">
        <is>
          <t>会場</t>
        </is>
      </c>
      <c r="L231" s="10" t="inlineStr">
        <is>
          <t>東京都港区産業振興センター11階 東京都 港区芝 五丁目36番4号 札の辻スクエア 11F</t>
        </is>
      </c>
      <c r="M231" s="10" t="inlineStr">
        <is>
          <t>営業・マーケ・CS</t>
        </is>
      </c>
      <c r="N231" s="10" t="inlineStr">
        <is>
          <t>AIエージェント</t>
        </is>
      </c>
      <c r="O231" s="12" t="inlineStr">
        <is>
          <t>○</t>
        </is>
      </c>
      <c r="P231" s="13" t="n"/>
      <c r="Q231" s="12" t="inlineStr">
        <is>
          <t>不明</t>
        </is>
      </c>
      <c r="R231" s="14" t="n"/>
      <c r="S231" s="10" t="n"/>
      <c r="T231" s="10" t="inlineStr">
        <is>
          <t xml:space="preserve"> AIは「バズワード」から「ビジネス実装」のフェーズへ突入！ 「AI Commerce Forum Tokyo 2026」では、共催パートナーとして台湾と日本を結ぶアジア有数のAI特化型アクセラレーター兼ベンチャーキャピタル「SparkLabs Taiwan」を迎え、コマース・マーケティング領域におけるAI活用の最前線に迫ります。 当日は、ベンチャーキャピタル、ブランド、リテール、広告・制作代理店、インテグレーターなど、さまざまな業界の</t>
        </is>
      </c>
      <c r="U231" s="15" t="inlineStr">
        <is>
          <t>https://eventregist.com/e/AIForum2026</t>
        </is>
      </c>
      <c r="V231" s="10" t="n"/>
      <c r="W231" s="10" t="inlineStr">
        <is>
          <t>本文一致</t>
        </is>
      </c>
      <c r="X231" s="10" t="n"/>
    </row>
    <row r="232">
      <c r="A232" s="10" t="n">
        <v>231</v>
      </c>
      <c r="B232" s="24" t="n">
        <v>46232</v>
      </c>
      <c r="C232" s="24" t="n">
        <v>46253</v>
      </c>
      <c r="D232" s="10">
        <f>MONTH(B232)&amp;"月"</f>
        <v/>
      </c>
      <c r="E232" s="12" t="n">
        <v>2</v>
      </c>
      <c r="F232" s="10" t="inlineStr">
        <is>
          <t>07/29、08/19</t>
        </is>
      </c>
      <c r="G232" s="10" t="inlineStr">
        <is>
          <t>最先端PoCの現場からアナリストが語る、AIエージェント構築の泥臭いリアル〜「繋ぐだけ」ではAIは嘘をつく。データ分析を民主化する「データ整備術」〜</t>
        </is>
      </c>
      <c r="H232" s="10" t="inlineStr">
        <is>
          <t>MONSTARLAB</t>
        </is>
      </c>
      <c r="I232" s="10" t="n"/>
      <c r="J232" s="10" t="inlineStr">
        <is>
          <t>TECH PLAY</t>
        </is>
      </c>
      <c r="K232" s="10" t="inlineStr">
        <is>
          <t>オンライン</t>
        </is>
      </c>
      <c r="L232" s="10" t="n"/>
      <c r="M232" s="10" t="inlineStr">
        <is>
          <t>生産性向上・業務効率化</t>
        </is>
      </c>
      <c r="N232" s="10" t="inlineStr">
        <is>
          <t>両方</t>
        </is>
      </c>
      <c r="O232" s="12" t="inlineStr">
        <is>
          <t>◎</t>
        </is>
      </c>
      <c r="P232" s="13" t="n">
        <v>17</v>
      </c>
      <c r="Q232" s="12" t="inlineStr">
        <is>
          <t>申込者数</t>
        </is>
      </c>
      <c r="R232" s="14" t="n">
        <v>200</v>
      </c>
      <c r="S232" s="10" t="inlineStr">
        <is>
          <t>全2回の合計</t>
        </is>
      </c>
      <c r="T232" s="10" t="inlineStr">
        <is>
          <t>最先端PoCの現場からアナリストが語る、AIエージェント構築の泥臭いリアル〜「繋ぐだけ」ではAIは嘘をつく。データ分析を民主化する「データ整備術」〜 本企画の背景 生成AIを社内データに繋ぐ——それ自体は、もう難しくありません。 MCPをはじめとする技術の登場で、エンジニアでなくても社内データベースにAIをつなげる時代になりました。これが「アクセスの民主化」です。 ところが、いざ現場で使い始めた企業の多くが、次の壁にぶつかります。 「A</t>
        </is>
      </c>
      <c r="U232" s="15" t="inlineStr">
        <is>
          <t>https://techplay.jp/event/998205</t>
        </is>
      </c>
      <c r="V232" s="10" t="n"/>
      <c r="W232" s="10" t="inlineStr">
        <is>
          <t>タイトル一致</t>
        </is>
      </c>
      <c r="X232" s="10" t="n"/>
    </row>
    <row r="233">
      <c r="A233" s="10" t="n">
        <v>232</v>
      </c>
      <c r="B233" s="24" t="n">
        <v>46233</v>
      </c>
      <c r="C233" s="24" t="n">
        <v>46233</v>
      </c>
      <c r="D233" s="10">
        <f>MONTH(B233)&amp;"月"</f>
        <v/>
      </c>
      <c r="E233" s="12" t="n">
        <v>1</v>
      </c>
      <c r="F233" s="10" t="n"/>
      <c r="G233" s="10" t="inlineStr">
        <is>
          <t>AIが自社のTableauを操作する世界へ：Tableau MCP超入門</t>
        </is>
      </c>
      <c r="H233" s="10" t="inlineStr">
        <is>
          <t>アゼスト / Azest</t>
        </is>
      </c>
      <c r="I233" s="10" t="n"/>
      <c r="J233" s="10" t="inlineStr">
        <is>
          <t>connpass</t>
        </is>
      </c>
      <c r="K233" s="10" t="inlineStr">
        <is>
          <t>オンライン</t>
        </is>
      </c>
      <c r="L233" s="10" t="inlineStr">
        <is>
          <t>オンライン</t>
        </is>
      </c>
      <c r="M233" s="10" t="inlineStr">
        <is>
          <t>技術・AI全般</t>
        </is>
      </c>
      <c r="N233" s="10" t="inlineStr">
        <is>
          <t>MCP</t>
        </is>
      </c>
      <c r="O233" s="12" t="inlineStr">
        <is>
          <t>○</t>
        </is>
      </c>
      <c r="P233" s="13" t="n">
        <v>75</v>
      </c>
      <c r="Q233" s="12" t="inlineStr">
        <is>
          <t>参加者数</t>
        </is>
      </c>
      <c r="R233" s="14" t="n">
        <v>100</v>
      </c>
      <c r="S233" s="10" t="n"/>
      <c r="T233" s="10" t="n"/>
      <c r="U233" s="15" t="inlineStr">
        <is>
          <t>https://azest.connpass.com/event/400048/</t>
        </is>
      </c>
      <c r="V233" s="10" t="n"/>
      <c r="W233" s="10" t="inlineStr">
        <is>
          <t>タイトル一致</t>
        </is>
      </c>
      <c r="X233" s="10" t="n"/>
    </row>
    <row r="234">
      <c r="A234" s="10" t="n">
        <v>233</v>
      </c>
      <c r="B234" s="24" t="n">
        <v>46233</v>
      </c>
      <c r="C234" s="24" t="n">
        <v>46233</v>
      </c>
      <c r="D234" s="10">
        <f>MONTH(B234)&amp;"月"</f>
        <v/>
      </c>
      <c r="E234" s="12" t="n">
        <v>1</v>
      </c>
      <c r="F234" s="10" t="n"/>
      <c r="G234" s="10" t="inlineStr">
        <is>
          <t>AIを導入したのになぜ成果が出ないのか？</t>
        </is>
      </c>
      <c r="H234" s="10" t="inlineStr">
        <is>
          <t>SBモバイルサービス株式会社</t>
        </is>
      </c>
      <c r="I234" s="10" t="n"/>
      <c r="J234" s="10" t="inlineStr">
        <is>
          <t>TECH PLAY</t>
        </is>
      </c>
      <c r="K234" s="10" t="inlineStr">
        <is>
          <t>オンライン</t>
        </is>
      </c>
      <c r="L234" s="10" t="n"/>
      <c r="M234" s="10" t="inlineStr">
        <is>
          <t>生産性向上・業務効率化</t>
        </is>
      </c>
      <c r="N234" s="10" t="inlineStr">
        <is>
          <t>AIエージェント</t>
        </is>
      </c>
      <c r="O234" s="12" t="inlineStr">
        <is>
          <t>○</t>
        </is>
      </c>
      <c r="P234" s="13" t="n">
        <v>9</v>
      </c>
      <c r="Q234" s="12" t="inlineStr">
        <is>
          <t>申込者数</t>
        </is>
      </c>
      <c r="R234" s="14" t="n">
        <v>20</v>
      </c>
      <c r="S234" s="10" t="n"/>
      <c r="T234" s="10" t="inlineStr">
        <is>
          <t>AIを導入したのに、なぜ成果が出ないのか？ ～AI活用が定着する企業と定着しない企業の違い～ ソフトバンクグループ企業 × AI・DXコンサルティング会社による共同開催！ SBモバイルサービス株式会社とDXコンサルティングジャパン株式会社が共同開催する、経営者・DX推進責任者向けセミナーです。 AI導入後に多くの企業が抱える課題をもとに、 AIを成果につなげるための考え方から、最新生成AIの活用方法まで実演を交えて解説します。 こんなお</t>
        </is>
      </c>
      <c r="U234" s="15" t="inlineStr">
        <is>
          <t>https://techplay.jp/event/997689</t>
        </is>
      </c>
      <c r="V234" s="10" t="n"/>
      <c r="W234" s="10" t="inlineStr">
        <is>
          <t>本文一致</t>
        </is>
      </c>
      <c r="X234" s="10" t="n"/>
    </row>
    <row r="235">
      <c r="A235" s="10" t="n">
        <v>234</v>
      </c>
      <c r="B235" s="24" t="n">
        <v>46233</v>
      </c>
      <c r="C235" s="24" t="n">
        <v>46233</v>
      </c>
      <c r="D235" s="10">
        <f>MONTH(B235)&amp;"月"</f>
        <v/>
      </c>
      <c r="E235" s="12" t="n">
        <v>1</v>
      </c>
      <c r="F235" s="10" t="n"/>
      <c r="G235" s="10" t="inlineStr">
        <is>
          <t>AIエージェントマニアNight #4 〜AIエージェント×セールス〜</t>
        </is>
      </c>
      <c r="H235" s="10" t="inlineStr">
        <is>
          <t>マネーフォワード</t>
        </is>
      </c>
      <c r="I235" s="10" t="n"/>
      <c r="J235" s="10" t="inlineStr">
        <is>
          <t>connpass</t>
        </is>
      </c>
      <c r="K235" s="10" t="inlineStr">
        <is>
          <t>会場</t>
        </is>
      </c>
      <c r="L235" s="10" t="inlineStr">
        <is>
          <t>東京都港区芝浦3-1-21 msb Tamachi 田町ステーションタワーS 21F</t>
        </is>
      </c>
      <c r="M235" s="10" t="inlineStr">
        <is>
          <t>営業・マーケ・CS</t>
        </is>
      </c>
      <c r="N235" s="10" t="inlineStr">
        <is>
          <t>AIエージェント</t>
        </is>
      </c>
      <c r="O235" s="12" t="inlineStr">
        <is>
          <t>◎</t>
        </is>
      </c>
      <c r="P235" s="13" t="n">
        <v>48</v>
      </c>
      <c r="Q235" s="12" t="inlineStr">
        <is>
          <t>参加者数</t>
        </is>
      </c>
      <c r="R235" s="14" t="n">
        <v>90</v>
      </c>
      <c r="S235" s="10" t="n"/>
      <c r="T235" s="10" t="n"/>
      <c r="U235" s="15" t="inlineStr">
        <is>
          <t>https://moneyforward.connpass.com/event/396660/</t>
        </is>
      </c>
      <c r="V235" s="10" t="n"/>
      <c r="W235" s="10" t="inlineStr">
        <is>
          <t>タイトル一致</t>
        </is>
      </c>
      <c r="X235" s="10" t="n"/>
    </row>
    <row r="236">
      <c r="A236" s="10" t="n">
        <v>235</v>
      </c>
      <c r="B236" s="24" t="n">
        <v>46233</v>
      </c>
      <c r="C236" s="24" t="n">
        <v>46234</v>
      </c>
      <c r="D236" s="10">
        <f>MONTH(B236)&amp;"月"</f>
        <v/>
      </c>
      <c r="E236" s="12" t="n">
        <v>1</v>
      </c>
      <c r="F236" s="10" t="n"/>
      <c r="G236" s="10" t="inlineStr">
        <is>
          <t>AI駆動開発カンファレンス 2026夏</t>
        </is>
      </c>
      <c r="H236" s="10" t="inlineStr">
        <is>
          <t>AI駆動開発カンファレンス実行委員会</t>
        </is>
      </c>
      <c r="I236" s="10" t="n"/>
      <c r="J236" s="10" t="inlineStr">
        <is>
          <t>個別調査（公式サイト・PR TIMES等）</t>
        </is>
      </c>
      <c r="K236" s="10" t="inlineStr">
        <is>
          <t>ハイブリッド</t>
        </is>
      </c>
      <c r="L236" s="10" t="inlineStr">
        <is>
          <t>日本マイクロソフト品川オフィス＋YouTube Live</t>
        </is>
      </c>
      <c r="M236" s="10" t="inlineStr">
        <is>
          <t>開発生産性</t>
        </is>
      </c>
      <c r="N236" s="10" t="inlineStr">
        <is>
          <t>AIエージェント</t>
        </is>
      </c>
      <c r="O236" s="12" t="inlineStr">
        <is>
          <t>○</t>
        </is>
      </c>
      <c r="P236" s="13" t="n">
        <v>3860</v>
      </c>
      <c r="Q236" s="12" t="inlineStr">
        <is>
          <t>申込数</t>
        </is>
      </c>
      <c r="R236" s="14" t="n"/>
      <c r="S236" s="10" t="inlineStr">
        <is>
          <t>オンライン申込3,560名（定員4,500名）と会場300名（満席）の合計。connpassの表示</t>
        </is>
      </c>
      <c r="T236" s="10" t="inlineStr">
        <is>
          <t>GitHub CopilotやCursorなどのコーディングエージェントを使い、開発ライフサイクル全体をAIで進める方法を扱うカンファレンス。</t>
        </is>
      </c>
      <c r="U236" s="15" t="inlineStr">
        <is>
          <t>https://aid.connpass.com/event/392229/</t>
        </is>
      </c>
      <c r="V236" s="15" t="inlineStr">
        <is>
          <t>https://aid.connpass.com/event/392230/</t>
        </is>
      </c>
      <c r="W236" s="10" t="inlineStr">
        <is>
          <t>個別確認</t>
        </is>
      </c>
      <c r="X236" s="10" t="inlineStr">
        <is>
          <t>開発者向け</t>
        </is>
      </c>
    </row>
    <row r="237">
      <c r="A237" s="10" t="n">
        <v>236</v>
      </c>
      <c r="B237" s="24" t="n">
        <v>46233</v>
      </c>
      <c r="C237" s="24" t="n">
        <v>46234</v>
      </c>
      <c r="D237" s="10">
        <f>MONTH(B237)&amp;"月"</f>
        <v/>
      </c>
      <c r="E237" s="12" t="n">
        <v>1</v>
      </c>
      <c r="F237" s="10" t="n"/>
      <c r="G237" s="10" t="inlineStr">
        <is>
          <t>Google Cloud Next Tokyo 26</t>
        </is>
      </c>
      <c r="H237" s="10" t="inlineStr">
        <is>
          <t>グーグル・クラウド・ジャパン</t>
        </is>
      </c>
      <c r="I237" s="10" t="n"/>
      <c r="J237" s="10" t="inlineStr">
        <is>
          <t>個別調査（公式サイト・PR TIMES等）</t>
        </is>
      </c>
      <c r="K237" s="10" t="inlineStr">
        <is>
          <t>会場</t>
        </is>
      </c>
      <c r="L237" s="10" t="inlineStr">
        <is>
          <t>東京ビッグサイト南展示棟</t>
        </is>
      </c>
      <c r="M237" s="10" t="inlineStr">
        <is>
          <t>大型カンファレンス・展示会</t>
        </is>
      </c>
      <c r="N237" s="10" t="inlineStr">
        <is>
          <t>AIエージェント</t>
        </is>
      </c>
      <c r="O237" s="12" t="inlineStr">
        <is>
          <t>◎</t>
        </is>
      </c>
      <c r="P237" s="13" t="n"/>
      <c r="Q237" s="12" t="inlineStr">
        <is>
          <t>不明</t>
        </is>
      </c>
      <c r="R237" s="14" t="n"/>
      <c r="S237" s="10" t="n"/>
      <c r="T237" s="10" t="inlineStr">
        <is>
          <t>基調講演のテーマは「AIエージェントは検証から本番運用へ」。SOMPOが作った1万体超のAIエージェントなどを紹介した。セッション数は200以上。</t>
        </is>
      </c>
      <c r="U237" s="15" t="inlineStr">
        <is>
          <t>https://xtech.nikkei.com/atcl/nxt/news/24/03322/</t>
        </is>
      </c>
      <c r="V237" s="10" t="n"/>
      <c r="W237" s="10" t="inlineStr">
        <is>
          <t>個別確認</t>
        </is>
      </c>
      <c r="X237" s="10" t="n"/>
    </row>
    <row r="238">
      <c r="A238" s="10" t="n">
        <v>237</v>
      </c>
      <c r="B238" s="24" t="n">
        <v>46233</v>
      </c>
      <c r="C238" s="24" t="n">
        <v>46233</v>
      </c>
      <c r="D238" s="10">
        <f>MONTH(B238)&amp;"月"</f>
        <v/>
      </c>
      <c r="E238" s="12" t="n">
        <v>1</v>
      </c>
      <c r="F238" s="10" t="n"/>
      <c r="G238" s="10" t="inlineStr">
        <is>
          <t>Google Workspace Studioで実現する、 "AIが働く"業務自動化 最前線</t>
        </is>
      </c>
      <c r="H238" s="10" t="inlineStr">
        <is>
          <t>beyond</t>
        </is>
      </c>
      <c r="I238" s="10" t="n"/>
      <c r="J238" s="10" t="inlineStr">
        <is>
          <t>Doorkeeper</t>
        </is>
      </c>
      <c r="K238" s="10" t="inlineStr">
        <is>
          <t>不明</t>
        </is>
      </c>
      <c r="L238" s="10" t="n"/>
      <c r="M238" s="10" t="inlineStr">
        <is>
          <t>生産性向上・業務効率化</t>
        </is>
      </c>
      <c r="N238" s="10" t="inlineStr">
        <is>
          <t>AIエージェント</t>
        </is>
      </c>
      <c r="O238" s="12" t="inlineStr">
        <is>
          <t>○</t>
        </is>
      </c>
      <c r="P238" s="13" t="n">
        <v>4</v>
      </c>
      <c r="Q238" s="12" t="inlineStr">
        <is>
          <t>参加者数</t>
        </is>
      </c>
      <c r="R238" s="14" t="n"/>
      <c r="S238" s="10" t="n"/>
      <c r="T238" s="10" t="inlineStr">
        <is>
          <t xml:space="preserve"> ■セミナー概要 『生成AIの導入は進んでいるが、「使いこなし」で差がついている』 生成AIを業務で活用している企業が増える一方で、「効果的な活用方法がわからない」ために活用が進まないといった課題を抱える企業も多く存在しています。「導入するかどうか」ではなく「どの業務に、どう組み込むか」が すでに勝敗を分ける段階に入っています。 今回は、Google Workspaceの機能としてリリースされ、少し前に日本語表示にも対応になった 「Go</t>
        </is>
      </c>
      <c r="U238" s="15" t="inlineStr">
        <is>
          <t>https://beyond.doorkeeper.jp/events/198332</t>
        </is>
      </c>
      <c r="V238" s="10" t="n"/>
      <c r="W238" s="10" t="inlineStr">
        <is>
          <t>本文一致</t>
        </is>
      </c>
      <c r="X238" s="10" t="n"/>
    </row>
    <row r="239">
      <c r="A239" s="10" t="n">
        <v>238</v>
      </c>
      <c r="B239" s="24" t="n">
        <v>46233</v>
      </c>
      <c r="C239" s="24" t="n">
        <v>46233</v>
      </c>
      <c r="D239" s="10">
        <f>MONTH(B239)&amp;"月"</f>
        <v/>
      </c>
      <c r="E239" s="12" t="n">
        <v>1</v>
      </c>
      <c r="F239" s="10" t="n"/>
      <c r="G239" s="10" t="inlineStr">
        <is>
          <t>MCP徹底解説！Auth0×MCPで実現するAI Agent Ready</t>
        </is>
      </c>
      <c r="H239" s="10" t="inlineStr">
        <is>
          <t>株式会社マクニカ</t>
        </is>
      </c>
      <c r="I239" s="10" t="n"/>
      <c r="J239" s="10" t="inlineStr">
        <is>
          <t>ZDNET Japan イベント</t>
        </is>
      </c>
      <c r="K239" s="10" t="inlineStr">
        <is>
          <t>オンライン</t>
        </is>
      </c>
      <c r="L239" s="10" t="inlineStr">
        <is>
          <t>WEB</t>
        </is>
      </c>
      <c r="M239" s="10" t="inlineStr">
        <is>
          <t>生産性向上・業務効率化</t>
        </is>
      </c>
      <c r="N239" s="10" t="inlineStr">
        <is>
          <t>両方</t>
        </is>
      </c>
      <c r="O239" s="12" t="inlineStr">
        <is>
          <t>◎</t>
        </is>
      </c>
      <c r="P239" s="13" t="n"/>
      <c r="Q239" s="12" t="inlineStr">
        <is>
          <t>不明</t>
        </is>
      </c>
      <c r="R239" s="14" t="n"/>
      <c r="S239" s="10" t="n"/>
      <c r="T239" s="10" t="inlineStr">
        <is>
          <t>開催場所： WEB 開催日： 2026-07-30 AIエージェントの台頭により、ユーザーとサービスの関わり方は大きく変わりつつあります。 人はAIエージェントを介して外部ツールやデータへアクセスし、業務を遂行する時代が始まっています。 一方で、「誰が」「何に」「どこまでアクセスできるのか」を適切に管理することが、これまで以上に重要になっています。 その裏側で重要となるのが、安全かつシームレスな認証・認可の仕組みです。 本セミナーでは、</t>
        </is>
      </c>
      <c r="U239" s="15" t="inlineStr">
        <is>
          <t>https://japan.zdnet.com/event_info/30015006/</t>
        </is>
      </c>
      <c r="V239" s="10" t="n"/>
      <c r="W239" s="10" t="inlineStr">
        <is>
          <t>タイトル一致</t>
        </is>
      </c>
      <c r="X239" s="10" t="n"/>
    </row>
    <row r="240">
      <c r="A240" s="10" t="n">
        <v>239</v>
      </c>
      <c r="B240" s="24" t="n">
        <v>46233</v>
      </c>
      <c r="C240" s="24" t="n">
        <v>46273</v>
      </c>
      <c r="D240" s="10">
        <f>MONTH(B240)&amp;"月"</f>
        <v/>
      </c>
      <c r="E240" s="12" t="n">
        <v>1</v>
      </c>
      <c r="F240" s="10" t="n"/>
      <c r="G240" s="10" t="inlineStr">
        <is>
          <t>【博報堂】エース社員の"暗黙知"をチームの武器に～属人化から脱却し、誰でも成果を出せる「AI Ready」な組織へ～</t>
        </is>
      </c>
      <c r="H240" s="10" t="inlineStr">
        <is>
          <t>博報堂 BIZ GARAGE</t>
        </is>
      </c>
      <c r="I240" s="10" t="n"/>
      <c r="J240" s="10" t="inlineStr">
        <is>
          <t>Peatix</t>
        </is>
      </c>
      <c r="K240" s="10" t="inlineStr">
        <is>
          <t>オンライン</t>
        </is>
      </c>
      <c r="L240" s="10" t="n"/>
      <c r="M240" s="10" t="inlineStr">
        <is>
          <t>技術・AI全般</t>
        </is>
      </c>
      <c r="N240" s="10" t="inlineStr">
        <is>
          <t>AIエージェント</t>
        </is>
      </c>
      <c r="O240" s="12" t="inlineStr">
        <is>
          <t>△</t>
        </is>
      </c>
      <c r="P240" s="13" t="n"/>
      <c r="Q240" s="12" t="inlineStr">
        <is>
          <t>不明</t>
        </is>
      </c>
      <c r="R240" s="14" t="n"/>
      <c r="S240" s="10" t="n"/>
      <c r="T240" s="10" t="inlineStr">
        <is>
          <t>複数回開催: 2026年7月30日15:00-16:00、2026年9月8日(火)11:00-12:00（9月回申込締切9/3 15:00）無料LIVE配信・見逃し配信あり。エース社員の暗黙知をAIエージェント化</t>
        </is>
      </c>
      <c r="U240" s="15" t="inlineStr">
        <is>
          <t>https://peatix.com/event/5083577</t>
        </is>
      </c>
      <c r="V240" s="10" t="n"/>
      <c r="W240" s="10" t="inlineStr">
        <is>
          <t>本文一致</t>
        </is>
      </c>
      <c r="X240" s="10" t="n"/>
    </row>
    <row r="241">
      <c r="A241" s="10" t="n">
        <v>240</v>
      </c>
      <c r="B241" s="24" t="n">
        <v>46233</v>
      </c>
      <c r="C241" s="24" t="n">
        <v>46263</v>
      </c>
      <c r="D241" s="10">
        <f>MONTH(B241)&amp;"月"</f>
        <v/>
      </c>
      <c r="E241" s="12" t="n">
        <v>2</v>
      </c>
      <c r="F241" s="10" t="inlineStr">
        <is>
          <t>07/30、08/29</t>
        </is>
      </c>
      <c r="G241" s="10" t="inlineStr">
        <is>
          <t>【第6回】【初心者/中級者歓迎】Claude Codeもくもく会 @渋谷</t>
        </is>
      </c>
      <c r="H241" s="10" t="inlineStr">
        <is>
          <t>もくもくセキュリティAI会</t>
        </is>
      </c>
      <c r="I241" s="10" t="n"/>
      <c r="J241" s="10" t="inlineStr">
        <is>
          <t>connpass</t>
        </is>
      </c>
      <c r="K241" s="10" t="inlineStr">
        <is>
          <t>会場</t>
        </is>
      </c>
      <c r="L241" s="10" t="inlineStr">
        <is>
          <t>〒150-0002 東京都渋谷区渋谷2丁目14-13 岡崎ビル708</t>
        </is>
      </c>
      <c r="M241" s="10" t="inlineStr">
        <is>
          <t>開発生産性</t>
        </is>
      </c>
      <c r="N241" s="10" t="inlineStr">
        <is>
          <t>AIエージェント</t>
        </is>
      </c>
      <c r="O241" s="12" t="inlineStr">
        <is>
          <t>○</t>
        </is>
      </c>
      <c r="P241" s="13" t="n">
        <v>8</v>
      </c>
      <c r="Q241" s="12" t="inlineStr">
        <is>
          <t>参加者数</t>
        </is>
      </c>
      <c r="R241" s="14" t="n">
        <v>30</v>
      </c>
      <c r="S241" s="10" t="inlineStr">
        <is>
          <t>全2回の合計</t>
        </is>
      </c>
      <c r="T241" s="10" t="n"/>
      <c r="U241" s="15" t="inlineStr">
        <is>
          <t>https://mokumoku-infra-ai.connpass.com/event/401810/</t>
        </is>
      </c>
      <c r="V241" s="10" t="n"/>
      <c r="W241" s="10" t="inlineStr">
        <is>
          <t>タイトル一致</t>
        </is>
      </c>
      <c r="X241" s="10" t="n"/>
    </row>
    <row r="242">
      <c r="A242" s="10" t="n">
        <v>241</v>
      </c>
      <c r="B242" s="24" t="n">
        <v>46233</v>
      </c>
      <c r="C242" s="24" t="n">
        <v>46233</v>
      </c>
      <c r="D242" s="10">
        <f>MONTH(B242)&amp;"月"</f>
        <v/>
      </c>
      <c r="E242" s="12" t="n">
        <v>1</v>
      </c>
      <c r="F242" s="10" t="n"/>
      <c r="G242" s="10" t="inlineStr">
        <is>
          <t>アクロニスオンラインイベント、「Acronis Accelerate：自律型ITへのロードマップ」</t>
        </is>
      </c>
      <c r="H242" s="10" t="inlineStr">
        <is>
          <t>アクロニス・ジャパン株式会社</t>
        </is>
      </c>
      <c r="I242" s="10" t="n"/>
      <c r="J242" s="10" t="inlineStr">
        <is>
          <t>ZDNET Japan イベント</t>
        </is>
      </c>
      <c r="K242" s="10" t="inlineStr">
        <is>
          <t>オンライン</t>
        </is>
      </c>
      <c r="L242" s="10" t="inlineStr">
        <is>
          <t>WEB</t>
        </is>
      </c>
      <c r="M242" s="10" t="inlineStr">
        <is>
          <t>生産性向上・業務効率化</t>
        </is>
      </c>
      <c r="N242" s="10" t="inlineStr">
        <is>
          <t>AIエージェント</t>
        </is>
      </c>
      <c r="O242" s="12" t="inlineStr">
        <is>
          <t>◎</t>
        </is>
      </c>
      <c r="P242" s="13" t="n"/>
      <c r="Q242" s="12" t="inlineStr">
        <is>
          <t>不明</t>
        </is>
      </c>
      <c r="R242" s="14" t="n"/>
      <c r="S242" s="10" t="n"/>
      <c r="T242" s="10" t="inlineStr">
        <is>
          <t>生成AIの活用が進む中、企業のIT運用やマネージドサービス市場は、自律化を前提とした大きな転換期を迎えています。本イベントでは、アクロニスCEOのヤン＝ヤープ（JJ）・ヤーガーをはじめとするアクロニス経営陣やグローバルIT業界を代表するリーダーらが登壇し、AIネイティブなプラットフォームを基盤とした自律型IT（Autonomous IT）の実現に向けた戦略や、サイバーセキュリティと運用管理の統合を支える今後の製品ロードマップ、自社AIサ</t>
        </is>
      </c>
      <c r="U242" s="15" t="inlineStr">
        <is>
          <t>https://japan.zdnet.com/event_info/30015004/</t>
        </is>
      </c>
      <c r="V242" s="10" t="n"/>
      <c r="W242" s="10" t="inlineStr">
        <is>
          <t>タイトル一致</t>
        </is>
      </c>
      <c r="X242" s="10" t="n"/>
    </row>
    <row r="243">
      <c r="A243" s="10" t="n">
        <v>242</v>
      </c>
      <c r="B243" s="24" t="n">
        <v>46233</v>
      </c>
      <c r="C243" s="24" t="n">
        <v>46263</v>
      </c>
      <c r="D243" s="10">
        <f>MONTH(B243)&amp;"月"</f>
        <v/>
      </c>
      <c r="E243" s="12" t="n">
        <v>2</v>
      </c>
      <c r="F243" s="10" t="inlineStr">
        <is>
          <t>07/30、08/29</t>
        </is>
      </c>
      <c r="G243" s="10" t="inlineStr">
        <is>
          <t>生成AIエージェント 業務効率化のコツ、全公開 「作業はAIへ、判断は人へ」。この2か月で学んだこと、すべてお話しします</t>
        </is>
      </c>
      <c r="H243" s="10" t="inlineStr">
        <is>
          <t>ランマッチ</t>
        </is>
      </c>
      <c r="I243" s="10" t="n"/>
      <c r="J243" s="10" t="inlineStr">
        <is>
          <t>こくちーずプロ</t>
        </is>
      </c>
      <c r="K243" s="10" t="inlineStr">
        <is>
          <t>オンライン</t>
        </is>
      </c>
      <c r="L243" s="10" t="inlineStr">
        <is>
          <t>オンライン 日本</t>
        </is>
      </c>
      <c r="M243" s="10" t="inlineStr">
        <is>
          <t>生産性向上・業務効率化</t>
        </is>
      </c>
      <c r="N243" s="10" t="inlineStr">
        <is>
          <t>AIエージェント</t>
        </is>
      </c>
      <c r="O243" s="12" t="inlineStr">
        <is>
          <t>◎</t>
        </is>
      </c>
      <c r="P243" s="13" t="n">
        <v>0</v>
      </c>
      <c r="Q243" s="12" t="inlineStr">
        <is>
          <t>参加者数</t>
        </is>
      </c>
      <c r="R243" s="14" t="n">
        <v>20</v>
      </c>
      <c r="S243" s="10" t="inlineStr">
        <is>
          <t>全2回の合計</t>
        </is>
      </c>
      <c r="T243" s="10" t="inlineStr">
        <is>
          <t>生成AIエージェント 業務効率化のコツ、全公開 「作業はAIへ、判断は人へ」。この2か月で学んだこと、すべてお話しします 新しい働き方では、プロモーションも営業も、企業や個人へのコンサル・コーチング・アドバイスも、基本は『自分ひとり』で回していくことになります。正直、大変です。 でも今は、生成AIエージェントという強力な相棒がいます。私自身この2か月ほど本気で学び、日々の仕事がガラリと変わりました。この回では、提案書のたたき台づくり、議</t>
        </is>
      </c>
      <c r="U243" s="15" t="inlineStr">
        <is>
          <t>https://www.kokuchpro.com/event/5bf8d52b0d847f6dec45bef3fbcc10fa/</t>
        </is>
      </c>
      <c r="V243" s="10" t="n"/>
      <c r="W243" s="10" t="inlineStr">
        <is>
          <t>タイトル一致</t>
        </is>
      </c>
      <c r="X243" s="10" t="n"/>
    </row>
    <row r="244">
      <c r="A244" s="10" t="n">
        <v>243</v>
      </c>
      <c r="B244" s="24" t="n">
        <v>46233</v>
      </c>
      <c r="C244" s="24" t="n">
        <v>46268</v>
      </c>
      <c r="D244" s="10">
        <f>MONTH(B244)&amp;"月"</f>
        <v/>
      </c>
      <c r="E244" s="12" t="n">
        <v>2</v>
      </c>
      <c r="F244" s="10" t="inlineStr">
        <is>
          <t>07/30、09/03</t>
        </is>
      </c>
      <c r="G244" s="10" t="inlineStr">
        <is>
          <t>１時間でAI秘書をつくる！ビジネスマンのためのClaude Code活用セミナー【実践編】</t>
        </is>
      </c>
      <c r="H244" s="10" t="inlineStr">
        <is>
          <t>Polyscape</t>
        </is>
      </c>
      <c r="I244" s="10" t="n"/>
      <c r="J244" s="10" t="inlineStr">
        <is>
          <t>connpass</t>
        </is>
      </c>
      <c r="K244" s="10" t="inlineStr">
        <is>
          <t>オンライン</t>
        </is>
      </c>
      <c r="L244" s="10" t="inlineStr">
        <is>
          <t>オンライン</t>
        </is>
      </c>
      <c r="M244" s="10" t="inlineStr">
        <is>
          <t>生産性向上・業務効率化</t>
        </is>
      </c>
      <c r="N244" s="10" t="inlineStr">
        <is>
          <t>AIエージェント</t>
        </is>
      </c>
      <c r="O244" s="12" t="inlineStr">
        <is>
          <t>◎</t>
        </is>
      </c>
      <c r="P244" s="13" t="n">
        <v>53</v>
      </c>
      <c r="Q244" s="12" t="inlineStr">
        <is>
          <t>参加者数</t>
        </is>
      </c>
      <c r="R244" s="14" t="n"/>
      <c r="S244" s="10" t="inlineStr">
        <is>
          <t>全2回の合計</t>
        </is>
      </c>
      <c r="T244" s="10" t="n"/>
      <c r="U244" s="15" t="inlineStr">
        <is>
          <t>https://polyscape.connpass.com/event/398438/</t>
        </is>
      </c>
      <c r="V244" s="10" t="n"/>
      <c r="W244" s="10" t="inlineStr">
        <is>
          <t>タイトル一致</t>
        </is>
      </c>
      <c r="X244" s="10" t="n"/>
    </row>
    <row r="245">
      <c r="A245" s="10" t="n">
        <v>244</v>
      </c>
      <c r="B245" s="24" t="n">
        <v>46234</v>
      </c>
      <c r="C245" s="24" t="n">
        <v>46234</v>
      </c>
      <c r="D245" s="10">
        <f>MONTH(B245)&amp;"月"</f>
        <v/>
      </c>
      <c r="E245" s="12" t="n">
        <v>1</v>
      </c>
      <c r="F245" s="10" t="n"/>
      <c r="G245" s="10" t="inlineStr">
        <is>
          <t>AIエージェント導入加速のため必要な“備え”とは ～Ciscoと描く「見えないリスク」の可視化と対策～</t>
        </is>
      </c>
      <c r="H245" s="10" t="inlineStr">
        <is>
          <t>株式会社マクニカ</t>
        </is>
      </c>
      <c r="I245" s="10" t="n"/>
      <c r="J245" s="10" t="inlineStr">
        <is>
          <t>ZDNET Japan イベント</t>
        </is>
      </c>
      <c r="K245" s="10" t="inlineStr">
        <is>
          <t>オンライン</t>
        </is>
      </c>
      <c r="L245" s="10" t="inlineStr">
        <is>
          <t>WEB</t>
        </is>
      </c>
      <c r="M245" s="10" t="inlineStr">
        <is>
          <t>生産性向上・業務効率化</t>
        </is>
      </c>
      <c r="N245" s="10" t="inlineStr">
        <is>
          <t>AIエージェント</t>
        </is>
      </c>
      <c r="O245" s="12" t="inlineStr">
        <is>
          <t>◎</t>
        </is>
      </c>
      <c r="P245" s="13" t="n"/>
      <c r="Q245" s="12" t="inlineStr">
        <is>
          <t>不明</t>
        </is>
      </c>
      <c r="R245" s="14" t="n"/>
      <c r="S245" s="10" t="n"/>
      <c r="T245" s="10" t="inlineStr">
        <is>
          <t>開催場所： WEB 開催日： 2026-07-31 生成AIの活用が急速に進展し、AIエージェントが自律的に業務を遂行する時代が到来しています。AIエージェントは企業の推進力にもなる一方で、下記に代表される可視化・セキュリティ・品質・コストなどの新たな課題も顕在化しています。 ・シャドーAI ・エージェントの暴走（意図しないアクセスによるデータ流出など） ・経路・ID・権限など守るべき対象の拡大と比例する運用負荷 ・AIエージェントの回</t>
        </is>
      </c>
      <c r="U245" s="15" t="inlineStr">
        <is>
          <t>https://japan.zdnet.com/event_info/30015008/</t>
        </is>
      </c>
      <c r="V245" s="10" t="n"/>
      <c r="W245" s="10" t="inlineStr">
        <is>
          <t>タイトル一致</t>
        </is>
      </c>
      <c r="X245" s="10" t="n"/>
    </row>
    <row r="246">
      <c r="A246" s="10" t="n">
        <v>245</v>
      </c>
      <c r="B246" s="24" t="n">
        <v>46234</v>
      </c>
      <c r="C246" s="24" t="n">
        <v>46234</v>
      </c>
      <c r="D246" s="10">
        <f>MONTH(B246)&amp;"月"</f>
        <v/>
      </c>
      <c r="E246" s="12" t="n">
        <v>1</v>
      </c>
      <c r="F246" s="10" t="n"/>
      <c r="G246" s="10" t="inlineStr">
        <is>
          <t>Microsoft Agent Frameworkの宣言型エージェントとワークフロー</t>
        </is>
      </c>
      <c r="H246" s="10" t="inlineStr">
        <is>
          <t>WeDX Talks</t>
        </is>
      </c>
      <c r="I246" s="10" t="n"/>
      <c r="J246" s="10" t="inlineStr">
        <is>
          <t>connpass</t>
        </is>
      </c>
      <c r="K246" s="10" t="inlineStr">
        <is>
          <t>オンライン</t>
        </is>
      </c>
      <c r="L246" s="10" t="inlineStr">
        <is>
          <t>オンライン</t>
        </is>
      </c>
      <c r="M246" s="10" t="inlineStr">
        <is>
          <t>生産性向上・業務効率化</t>
        </is>
      </c>
      <c r="N246" s="10" t="inlineStr">
        <is>
          <t>AIエージェント</t>
        </is>
      </c>
      <c r="O246" s="12" t="inlineStr">
        <is>
          <t>◎</t>
        </is>
      </c>
      <c r="P246" s="13" t="n">
        <v>16</v>
      </c>
      <c r="Q246" s="12" t="inlineStr">
        <is>
          <t>参加者数</t>
        </is>
      </c>
      <c r="R246" s="14" t="n">
        <v>35</v>
      </c>
      <c r="S246" s="10" t="n"/>
      <c r="T246" s="10" t="n"/>
      <c r="U246" s="15" t="inlineStr">
        <is>
          <t>https://wedxtalks.connpass.com/event/401566/</t>
        </is>
      </c>
      <c r="V246" s="10" t="n"/>
      <c r="W246" s="10" t="inlineStr">
        <is>
          <t>タイトル一致</t>
        </is>
      </c>
      <c r="X246" s="10" t="n"/>
    </row>
    <row r="247">
      <c r="A247" s="10" t="n">
        <v>246</v>
      </c>
      <c r="B247" s="24" t="n">
        <v>46234</v>
      </c>
      <c r="C247" s="24" t="n">
        <v>46234</v>
      </c>
      <c r="D247" s="10">
        <f>MONTH(B247)&amp;"月"</f>
        <v/>
      </c>
      <c r="E247" s="12" t="n">
        <v>1</v>
      </c>
      <c r="F247" s="10" t="n"/>
      <c r="G247" s="10" t="inlineStr">
        <is>
          <t>VS AI ― 攻撃するAIから守るプロダクトセキュリティ</t>
        </is>
      </c>
      <c r="H247" s="10" t="inlineStr">
        <is>
          <t>Forkwell（フォークウェル）</t>
        </is>
      </c>
      <c r="I247" s="10" t="n"/>
      <c r="J247" s="10" t="inlineStr">
        <is>
          <t>TECH PLAY</t>
        </is>
      </c>
      <c r="K247" s="10" t="inlineStr">
        <is>
          <t>オンライン</t>
        </is>
      </c>
      <c r="L247" s="10" t="n"/>
      <c r="M247" s="10" t="inlineStr">
        <is>
          <t>開発生産性</t>
        </is>
      </c>
      <c r="N247" s="10" t="inlineStr">
        <is>
          <t>AIエージェント</t>
        </is>
      </c>
      <c r="O247" s="12" t="inlineStr">
        <is>
          <t>△</t>
        </is>
      </c>
      <c r="P247" s="13" t="n">
        <v>18</v>
      </c>
      <c r="Q247" s="12" t="inlineStr">
        <is>
          <t>申込者数</t>
        </is>
      </c>
      <c r="R247" s="14" t="n">
        <v>1000</v>
      </c>
      <c r="S247" s="10" t="n"/>
      <c r="T247" s="10" t="inlineStr">
        <is>
          <t>開催概要 ーー「AIが、こちらを狙ってくる。― そう錯覚するくらい、攻撃は速く、賢くなった。」 引き金を引くのは、最終的には人間です。けれど、その手に握られた道具は、もはや別物になりつつあります。生成AIやAIエージェントは、脆弱性の発見、攻撃コードの生成、フィッシングの精緻化といった、かつては高度なスキルを要した行為を、誰でも・高速に・大量に行える環境を生み出しつつある。まるでAIそのものが牙を剥いてくるかのように、攻撃の量と質が同時</t>
        </is>
      </c>
      <c r="U247" s="15" t="inlineStr">
        <is>
          <t>https://techplay.jp/event/998004</t>
        </is>
      </c>
      <c r="V247" s="10" t="n"/>
      <c r="W247" s="10" t="inlineStr">
        <is>
          <t>本文一致</t>
        </is>
      </c>
      <c r="X247" s="10" t="n"/>
    </row>
    <row r="248">
      <c r="A248" s="10" t="n">
        <v>247</v>
      </c>
      <c r="B248" s="24" t="n">
        <v>46234</v>
      </c>
      <c r="C248" s="24" t="n">
        <v>46234</v>
      </c>
      <c r="D248" s="10">
        <f>MONTH(B248)&amp;"月"</f>
        <v/>
      </c>
      <c r="E248" s="12" t="n">
        <v>1</v>
      </c>
      <c r="F248" s="10" t="n"/>
      <c r="G248" s="10" t="inlineStr">
        <is>
          <t>【アーカイブ配信中】AIエージェントが変える情シスの役割 〜開発効率化の先にあるガバナンスの再定義〜</t>
        </is>
      </c>
      <c r="H248" s="10" t="inlineStr">
        <is>
          <t>シスクル</t>
        </is>
      </c>
      <c r="I248" s="10" t="n"/>
      <c r="J248" s="10" t="inlineStr">
        <is>
          <t>TECH PLAY</t>
        </is>
      </c>
      <c r="K248" s="10" t="inlineStr">
        <is>
          <t>オンライン</t>
        </is>
      </c>
      <c r="L248" s="10" t="n"/>
      <c r="M248" s="10" t="inlineStr">
        <is>
          <t>生産性向上・業務効率化</t>
        </is>
      </c>
      <c r="N248" s="10" t="inlineStr">
        <is>
          <t>AIエージェント</t>
        </is>
      </c>
      <c r="O248" s="12" t="inlineStr">
        <is>
          <t>◎</t>
        </is>
      </c>
      <c r="P248" s="13" t="n"/>
      <c r="Q248" s="12" t="inlineStr">
        <is>
          <t>非公開</t>
        </is>
      </c>
      <c r="R248" s="14" t="n">
        <v>50</v>
      </c>
      <c r="S248" s="10" t="n"/>
      <c r="T248" s="10" t="inlineStr">
        <is>
          <t>イベント詳細 生成AIやAIエージェントの普及により、IT部門の開発効率は飛躍的に向上しました。しかし今、一歩先を行く成長企業で起きているのは、「非エンジニアも自らコードを書き、業務を自動化する」という新たなパラダイムシフトです。 誰もが手軽にAIを用いて”市民開発”を行えるようになると、現場では一体何が起こるのでしょうか。従来のSaaSやiPaaSに頼っていた時代には想定されていなかった「次なる管理課題」が、情シスを直撃し始めています</t>
        </is>
      </c>
      <c r="U248" s="15" t="inlineStr">
        <is>
          <t>https://techplay.jp/event/997906</t>
        </is>
      </c>
      <c r="V248" s="10" t="n"/>
      <c r="W248" s="10" t="inlineStr">
        <is>
          <t>タイトル一致</t>
        </is>
      </c>
      <c r="X248" s="10" t="n"/>
    </row>
    <row r="249">
      <c r="A249" s="10" t="n">
        <v>248</v>
      </c>
      <c r="B249" s="24" t="n">
        <v>46234</v>
      </c>
      <c r="C249" s="24" t="n">
        <v>46234</v>
      </c>
      <c r="D249" s="10">
        <f>MONTH(B249)&amp;"月"</f>
        <v/>
      </c>
      <c r="E249" s="12" t="n">
        <v>1</v>
      </c>
      <c r="F249" s="10" t="n"/>
      <c r="G249" s="10" t="inlineStr">
        <is>
          <t>【エキスパート講座】【好評につき再演】非エンジニアのためのChatGPTワーク/Codex業務自動化・実践講座 Part2（2日間講座）</t>
        </is>
      </c>
      <c r="H249" s="10" t="inlineStr">
        <is>
          <t>一般社団法人ウェブ解析士協会 講座企画運営部（担当：沖本一生）</t>
        </is>
      </c>
      <c r="I249" s="10" t="n"/>
      <c r="J249" s="10" t="inlineStr">
        <is>
          <t>Doorkeeper</t>
        </is>
      </c>
      <c r="K249" s="10" t="inlineStr">
        <is>
          <t>不明</t>
        </is>
      </c>
      <c r="L249" s="10" t="n"/>
      <c r="M249" s="10" t="inlineStr">
        <is>
          <t>生産性向上・業務効率化</t>
        </is>
      </c>
      <c r="N249" s="10" t="inlineStr">
        <is>
          <t>AIエージェント</t>
        </is>
      </c>
      <c r="O249" s="12" t="inlineStr">
        <is>
          <t>◎</t>
        </is>
      </c>
      <c r="P249" s="13" t="n">
        <v>3</v>
      </c>
      <c r="Q249" s="12" t="inlineStr">
        <is>
          <t>参加者数</t>
        </is>
      </c>
      <c r="R249" s="14" t="n"/>
      <c r="S249" s="10" t="n"/>
      <c r="T249" s="10" t="inlineStr">
        <is>
          <t xml:space="preserve"> 講座概要 こちらの講座は、7/31（金）9:00～10:30、8/7（金）9:00～10:30 の２日間講座となります。 本講座は、AIを「チャット（対話）」として使う段階から卒業し、自律的に動く「エージェント（実行）」として使いこなすための実践型プログラムです。 最新のCodexを優秀なデジタルアシスタントとして迎え入れ、スライド作成、データ分析、コンテンツの量産、さらにはWebサイトの構築までを「自然言語の指示（プロンプト）」だけ</t>
        </is>
      </c>
      <c r="U249" s="15" t="inlineStr">
        <is>
          <t>https://web-mining.doorkeeper.jp/events/198326</t>
        </is>
      </c>
      <c r="V249" s="10" t="n"/>
      <c r="W249" s="10" t="inlineStr">
        <is>
          <t>タイトル一致</t>
        </is>
      </c>
      <c r="X249" s="10" t="n"/>
    </row>
    <row r="250">
      <c r="A250" s="10" t="n">
        <v>249</v>
      </c>
      <c r="B250" s="24" t="n">
        <v>46234</v>
      </c>
      <c r="C250" s="24" t="n">
        <v>46234</v>
      </c>
      <c r="D250" s="10">
        <f>MONTH(B250)&amp;"月"</f>
        <v/>
      </c>
      <c r="E250" s="12" t="n">
        <v>1</v>
      </c>
      <c r="F250" s="10" t="n"/>
      <c r="G250" s="10" t="inlineStr">
        <is>
          <t>【三宮】コーディングエージェントを使った開発テクニック Meet UP</t>
        </is>
      </c>
      <c r="H250" s="10" t="inlineStr">
        <is>
          <t>COPLI-NEXT</t>
        </is>
      </c>
      <c r="I250" s="10" t="n"/>
      <c r="J250" s="10" t="inlineStr">
        <is>
          <t>connpass</t>
        </is>
      </c>
      <c r="K250" s="10" t="inlineStr">
        <is>
          <t>会場</t>
        </is>
      </c>
      <c r="L250" s="10" t="inlineStr">
        <is>
          <t>兵庫県神戸市中央区​小野柄通７丁目１番１号​ 日本生命三宮駅前ビル11F</t>
        </is>
      </c>
      <c r="M250" s="10" t="inlineStr">
        <is>
          <t>開発生産性</t>
        </is>
      </c>
      <c r="N250" s="10" t="inlineStr">
        <is>
          <t>AIエージェント</t>
        </is>
      </c>
      <c r="O250" s="12" t="inlineStr">
        <is>
          <t>○</t>
        </is>
      </c>
      <c r="P250" s="13" t="n"/>
      <c r="Q250" s="12" t="inlineStr">
        <is>
          <t>不明</t>
        </is>
      </c>
      <c r="R250" s="14" t="n"/>
      <c r="S250" s="10" t="n"/>
      <c r="T250" s="10" t="n"/>
      <c r="U250" s="15" t="inlineStr">
        <is>
          <t>https://copli-next.connpass.com/event/398527/</t>
        </is>
      </c>
      <c r="V250" s="10" t="n"/>
      <c r="W250" s="10" t="inlineStr">
        <is>
          <t>タイトル一致</t>
        </is>
      </c>
      <c r="X250" s="10" t="n"/>
    </row>
    <row r="251">
      <c r="A251" s="10" t="n">
        <v>250</v>
      </c>
      <c r="B251" s="24" t="n">
        <v>46234</v>
      </c>
      <c r="C251" s="24" t="n">
        <v>46248</v>
      </c>
      <c r="D251" s="10">
        <f>MONTH(B251)&amp;"月"</f>
        <v/>
      </c>
      <c r="E251" s="12" t="n">
        <v>1</v>
      </c>
      <c r="F251" s="10" t="n"/>
      <c r="G251" s="10" t="inlineStr">
        <is>
          <t>【開催中】24セッション36名によるAIエージェント活用事例を徹底解剖 | AI Agent Day 2026 Summer</t>
        </is>
      </c>
      <c r="H251" s="10" t="inlineStr">
        <is>
          <t>AICX協会</t>
        </is>
      </c>
      <c r="I251" s="10" t="n"/>
      <c r="J251" s="10" t="inlineStr">
        <is>
          <t>Peatix</t>
        </is>
      </c>
      <c r="K251" s="10" t="inlineStr">
        <is>
          <t>オンライン</t>
        </is>
      </c>
      <c r="L251" s="10" t="n"/>
      <c r="M251" s="10" t="inlineStr">
        <is>
          <t>技術・AI全般</t>
        </is>
      </c>
      <c r="N251" s="10" t="inlineStr">
        <is>
          <t>AIエージェント</t>
        </is>
      </c>
      <c r="O251" s="12" t="inlineStr">
        <is>
          <t>○</t>
        </is>
      </c>
      <c r="P251" s="13" t="n"/>
      <c r="Q251" s="12" t="inlineStr">
        <is>
          <t>不明</t>
        </is>
      </c>
      <c r="R251" s="14" t="n"/>
      <c r="S251" s="10" t="n"/>
      <c r="T251" s="10" t="inlineStr">
        <is>
          <t>7/31-8/14 開催、アーカイブあり。24セッション36名、累計視聴登録12,000名</t>
        </is>
      </c>
      <c r="U251" s="15" t="inlineStr">
        <is>
          <t>https://peatix.com/event/4982007</t>
        </is>
      </c>
      <c r="V251" s="10" t="n"/>
      <c r="W251" s="10" t="inlineStr">
        <is>
          <t>タイトル一致</t>
        </is>
      </c>
      <c r="X251" s="10" t="n"/>
    </row>
    <row r="252">
      <c r="A252" s="10" t="n">
        <v>251</v>
      </c>
      <c r="B252" s="24" t="n">
        <v>46234</v>
      </c>
      <c r="C252" s="24" t="n">
        <v>46234</v>
      </c>
      <c r="D252" s="10">
        <f>MONTH(B252)&amp;"月"</f>
        <v/>
      </c>
      <c r="E252" s="12" t="n">
        <v>1</v>
      </c>
      <c r="F252" s="10" t="n"/>
      <c r="G252" s="10" t="inlineStr">
        <is>
          <t>情報処理学会 連続セミナー2026第5回：「AI駆動ソフトウェア開発最前線」(7月31日) 配布資料とアーカイブ配信</t>
        </is>
      </c>
      <c r="H252" s="10" t="inlineStr">
        <is>
          <t>情報処理学会</t>
        </is>
      </c>
      <c r="I252" s="10" t="n"/>
      <c r="J252" s="10" t="inlineStr">
        <is>
          <t>Peatix</t>
        </is>
      </c>
      <c r="K252" s="10" t="inlineStr">
        <is>
          <t>オンライン(アーカイブ)</t>
        </is>
      </c>
      <c r="L252" s="10" t="n"/>
      <c r="M252" s="10" t="inlineStr">
        <is>
          <t>開発生産性</t>
        </is>
      </c>
      <c r="N252" s="10" t="inlineStr">
        <is>
          <t>AIエージェント</t>
        </is>
      </c>
      <c r="O252" s="12" t="inlineStr">
        <is>
          <t>△</t>
        </is>
      </c>
      <c r="P252" s="13" t="n"/>
      <c r="Q252" s="12" t="inlineStr">
        <is>
          <t>不明</t>
        </is>
      </c>
      <c r="R252" s="14" t="n"/>
      <c r="S252" s="10" t="n"/>
      <c r="T252" s="10" t="inlineStr">
        <is>
          <t>タイトルに7月31日、配布資料とアーカイブ配信</t>
        </is>
      </c>
      <c r="U252" s="15" t="inlineStr">
        <is>
          <t>https://peatix.com/event/4987590</t>
        </is>
      </c>
      <c r="V252" s="10" t="n"/>
      <c r="W252" s="10" t="inlineStr">
        <is>
          <t>本文一致</t>
        </is>
      </c>
      <c r="X252" s="10" t="n"/>
    </row>
    <row r="253">
      <c r="A253" s="10" t="n">
        <v>252</v>
      </c>
      <c r="B253" s="24" t="n">
        <v>46235</v>
      </c>
      <c r="C253" s="24" t="n">
        <v>46290</v>
      </c>
      <c r="D253" s="10">
        <f>MONTH(B253)&amp;"月"</f>
        <v/>
      </c>
      <c r="E253" s="12" t="n">
        <v>3</v>
      </c>
      <c r="F253" s="10" t="inlineStr">
        <is>
          <t>08/01、09/11、09/25</t>
        </is>
      </c>
      <c r="G253" s="10" t="inlineStr">
        <is>
          <t>【人生・ビジネスが飛躍する】AI-エージェント "Claude Code" ゼロから学べる超入門編</t>
        </is>
      </c>
      <c r="H253" s="10" t="inlineStr">
        <is>
          <t>アンカーズ事務局</t>
        </is>
      </c>
      <c r="I253" s="10" t="n"/>
      <c r="J253" s="10" t="inlineStr">
        <is>
          <t>こくちーずプロ</t>
        </is>
      </c>
      <c r="K253" s="10" t="inlineStr">
        <is>
          <t>オンライン</t>
        </is>
      </c>
      <c r="L253" s="10" t="inlineStr">
        <is>
          <t>オンライン 日本</t>
        </is>
      </c>
      <c r="M253" s="10" t="inlineStr">
        <is>
          <t>生産性向上・業務効率化</t>
        </is>
      </c>
      <c r="N253" s="10" t="inlineStr">
        <is>
          <t>AIエージェント</t>
        </is>
      </c>
      <c r="O253" s="12" t="inlineStr">
        <is>
          <t>◎</t>
        </is>
      </c>
      <c r="P253" s="13" t="n">
        <v>5</v>
      </c>
      <c r="Q253" s="12" t="inlineStr">
        <is>
          <t>参加者数</t>
        </is>
      </c>
      <c r="R253" s="14" t="n">
        <v>30</v>
      </c>
      <c r="S253" s="10" t="inlineStr">
        <is>
          <t>全3回の合計</t>
        </is>
      </c>
      <c r="T253" s="10" t="inlineStr">
        <is>
          <t>── 「むずかしそう」と思った、その感覚のまま来てください。 「プログラミングは、自分には関係ない」 「AIって聞くけど、結局エンジニア向けの話でしょ？」 「Claude Code、名前は聞いたことあるけど……よくわからない」 それで、まったく大丈夫です。 このセミナーは、そこからのスタートを前提にしています。 パソコンの操作に自信がなくても。 技術的な知識がゼロでも。 「自分にできるわけがない」と半信半疑でも。 AIエージェント「Cl</t>
        </is>
      </c>
      <c r="U253" s="15" t="inlineStr">
        <is>
          <t>https://www.kokuchpro.com/event/16a61b71a30d40413dd74fd9028baa29/3852134/</t>
        </is>
      </c>
      <c r="V253" s="10" t="n"/>
      <c r="W253" s="10" t="inlineStr">
        <is>
          <t>タイトル一致</t>
        </is>
      </c>
      <c r="X253" s="10" t="n"/>
    </row>
    <row r="254">
      <c r="A254" s="10" t="n">
        <v>253</v>
      </c>
      <c r="B254" s="24" t="n">
        <v>46236</v>
      </c>
      <c r="C254" s="24" t="n">
        <v>46236</v>
      </c>
      <c r="D254" s="10">
        <f>MONTH(B254)&amp;"月"</f>
        <v/>
      </c>
      <c r="E254" s="12" t="n">
        <v>1</v>
      </c>
      <c r="F254" s="10" t="n"/>
      <c r="G254" s="10" t="inlineStr">
        <is>
          <t>【法人研修・生成AI活用】AIチャットからの次のステップ！AIエージェント実践型ワークショップ「Claude Cowork 入門 1Day Sprint」を新規開講</t>
        </is>
      </c>
      <c r="H254" s="10" t="inlineStr">
        <is>
          <t>株式会社Aoba-BBT</t>
        </is>
      </c>
      <c r="I254" s="10" t="n"/>
      <c r="J254" s="10" t="inlineStr">
        <is>
          <t>PR TIMES</t>
        </is>
      </c>
      <c r="K254" s="10" t="inlineStr">
        <is>
          <t>online</t>
        </is>
      </c>
      <c r="L254" s="10" t="inlineStr">
        <is>
          <t>オンライン（Zoom）</t>
        </is>
      </c>
      <c r="M254" s="10" t="inlineStr">
        <is>
          <t>開発生産性</t>
        </is>
      </c>
      <c r="N254" s="10" t="inlineStr">
        <is>
          <t>AIエージェント</t>
        </is>
      </c>
      <c r="O254" s="12" t="inlineStr">
        <is>
          <t>○</t>
        </is>
      </c>
      <c r="P254" s="13" t="n"/>
      <c r="Q254" s="12" t="inlineStr">
        <is>
          <t>定員</t>
        </is>
      </c>
      <c r="R254" s="14" t="n">
        <v>100</v>
      </c>
      <c r="S254" s="10" t="n"/>
      <c r="T254" s="10" t="inlineStr">
        <is>
          <t>株式会社Aoba-BBT（所在地：東京都千代田区、代表取締役：柴田巌、以下「Aoba-BBT」）は、生成AIの活用を一歩進め、AIエージェントを実務で使いこなすための実践型ワークショップ「Claude Cowork 入門 1Day Sprint」を新たに開講します。2026年8月2日（日）にオンライン（Zoom）で開催し、プログラミング不要で、AIエージェントの設計・構築を一日で体得することを目指します。 お申込みはこちら：https:</t>
        </is>
      </c>
      <c r="U254" s="15" t="inlineStr">
        <is>
          <t>https://prtimes.jp/main/html/rd/p/000000434.000059894.html</t>
        </is>
      </c>
      <c r="V254" s="10" t="n"/>
      <c r="W254" s="10" t="inlineStr">
        <is>
          <t>タイトル一致</t>
        </is>
      </c>
      <c r="X254" s="10" t="n"/>
    </row>
    <row r="255">
      <c r="A255" s="10" t="n">
        <v>254</v>
      </c>
      <c r="B255" s="24" t="n">
        <v>46236</v>
      </c>
      <c r="C255" s="24" t="n">
        <v>46236</v>
      </c>
      <c r="D255" s="10">
        <f>MONTH(B255)&amp;"月"</f>
        <v/>
      </c>
      <c r="E255" s="12" t="n">
        <v>1</v>
      </c>
      <c r="F255" s="10" t="n"/>
      <c r="G255" s="10" t="inlineStr">
        <is>
          <t>満足度96.3%！Claude Code勉強会 @STATION Ai 名古屋</t>
        </is>
      </c>
      <c r="H255" s="10" t="inlineStr">
        <is>
          <t>anzi_kosaka</t>
        </is>
      </c>
      <c r="I255" s="10" t="n"/>
      <c r="J255" s="10" t="inlineStr">
        <is>
          <t>connpass</t>
        </is>
      </c>
      <c r="K255" s="10" t="inlineStr">
        <is>
          <t>会場</t>
        </is>
      </c>
      <c r="L255" s="10" t="inlineStr">
        <is>
          <t>愛知県名古屋市昭和区鶴舞1丁目2番32号</t>
        </is>
      </c>
      <c r="M255" s="10" t="inlineStr">
        <is>
          <t>開発生産性</t>
        </is>
      </c>
      <c r="N255" s="10" t="inlineStr">
        <is>
          <t>AIエージェント</t>
        </is>
      </c>
      <c r="O255" s="12" t="inlineStr">
        <is>
          <t>○</t>
        </is>
      </c>
      <c r="P255" s="13" t="n">
        <v>2</v>
      </c>
      <c r="Q255" s="12" t="inlineStr">
        <is>
          <t>参加者数</t>
        </is>
      </c>
      <c r="R255" s="14" t="n">
        <v>60</v>
      </c>
      <c r="S255" s="10" t="n"/>
      <c r="T255" s="10" t="n"/>
      <c r="U255" s="15" t="inlineStr">
        <is>
          <t>https://connpass.com/event/400828/</t>
        </is>
      </c>
      <c r="V255" s="10" t="n"/>
      <c r="W255" s="10" t="inlineStr">
        <is>
          <t>タイトル一致</t>
        </is>
      </c>
      <c r="X255" s="10" t="n"/>
    </row>
    <row r="256">
      <c r="A256" s="10" t="n">
        <v>255</v>
      </c>
      <c r="B256" s="24" t="n">
        <v>46237</v>
      </c>
      <c r="C256" s="24" t="n">
        <v>46237</v>
      </c>
      <c r="D256" s="10">
        <f>MONTH(B256)&amp;"月"</f>
        <v/>
      </c>
      <c r="E256" s="12" t="n">
        <v>1</v>
      </c>
      <c r="F256" s="10" t="n"/>
      <c r="G256" s="10" t="inlineStr">
        <is>
          <t>AIエージェントで知財業務はここまで変わる！「IP Samurai MCPサーバー」無料オンラインセミナーを8月3日に開催！</t>
        </is>
      </c>
      <c r="H256" s="10" t="inlineStr">
        <is>
          <t>株式会社AI Samurai</t>
        </is>
      </c>
      <c r="I256" s="10" t="n"/>
      <c r="J256" s="10" t="inlineStr">
        <is>
          <t>PR TIMES</t>
        </is>
      </c>
      <c r="K256" s="10" t="inlineStr">
        <is>
          <t>online</t>
        </is>
      </c>
      <c r="L256" s="10" t="inlineStr">
        <is>
          <t>オンライン開催（Teams）</t>
        </is>
      </c>
      <c r="M256" s="10" t="inlineStr">
        <is>
          <t>生産性向上・業務効率化</t>
        </is>
      </c>
      <c r="N256" s="10" t="inlineStr">
        <is>
          <t>両方</t>
        </is>
      </c>
      <c r="O256" s="12" t="inlineStr">
        <is>
          <t>◎</t>
        </is>
      </c>
      <c r="P256" s="13" t="n"/>
      <c r="Q256" s="12" t="inlineStr">
        <is>
          <t>不明</t>
        </is>
      </c>
      <c r="R256" s="14" t="n"/>
      <c r="S256" s="10" t="n"/>
      <c r="T256" s="10" t="inlineStr">
        <is>
          <t>株式会社AI Samurai（本社：東京都千代田区、代表取締役：白坂 一）は、2026年7月2日に提供開始を発表した「IP Samurai MCPサーバー」の無料オンライン体験セミナーを、2026年8月3日（月）17:00～18:00に開催いたします。 通常は5万円（税別）で対面開催している体験セミナー・実践講座の内容の一部を、今回特別にオンラインにて無償でご体験いただけます。 ■ 開催の背景 当社は、MCP（Model Context</t>
        </is>
      </c>
      <c r="U256" s="15" t="inlineStr">
        <is>
          <t>https://prtimes.jp/main/html/rd/p/000000303.000021559.html</t>
        </is>
      </c>
      <c r="V256" s="10" t="n"/>
      <c r="W256" s="10" t="inlineStr">
        <is>
          <t>タイトル一致</t>
        </is>
      </c>
      <c r="X256" s="10" t="n"/>
    </row>
    <row r="257">
      <c r="A257" s="10" t="n">
        <v>256</v>
      </c>
      <c r="B257" s="24" t="n">
        <v>46237</v>
      </c>
      <c r="C257" s="24" t="n">
        <v>46237</v>
      </c>
      <c r="D257" s="10">
        <f>MONTH(B257)&amp;"月"</f>
        <v/>
      </c>
      <c r="E257" s="12" t="n">
        <v>1</v>
      </c>
      <c r="F257" s="10" t="n"/>
      <c r="G257" s="10" t="inlineStr">
        <is>
          <t>【初心者向け】AI駆動開発を学ぶ - AI駆動開発の流れとClaude Codeの基本操作</t>
        </is>
      </c>
      <c r="H257" s="10" t="inlineStr">
        <is>
          <t>シンギュラリティ・ラボ</t>
        </is>
      </c>
      <c r="I257" s="10" t="n"/>
      <c r="J257" s="10" t="inlineStr">
        <is>
          <t>connpass</t>
        </is>
      </c>
      <c r="K257" s="10" t="inlineStr">
        <is>
          <t>オンライン</t>
        </is>
      </c>
      <c r="L257" s="10" t="inlineStr">
        <is>
          <t>オンライン</t>
        </is>
      </c>
      <c r="M257" s="10" t="inlineStr">
        <is>
          <t>開発生産性</t>
        </is>
      </c>
      <c r="N257" s="10" t="inlineStr">
        <is>
          <t>AIエージェント</t>
        </is>
      </c>
      <c r="O257" s="12" t="inlineStr">
        <is>
          <t>○</t>
        </is>
      </c>
      <c r="P257" s="13" t="n"/>
      <c r="Q257" s="12" t="inlineStr">
        <is>
          <t>不明</t>
        </is>
      </c>
      <c r="R257" s="14" t="n"/>
      <c r="S257" s="10" t="n"/>
      <c r="T257" s="10" t="n"/>
      <c r="U257" s="15" t="inlineStr">
        <is>
          <t>https://future-tech-association.connpass.com/event/399651/</t>
        </is>
      </c>
      <c r="V257" s="10" t="n"/>
      <c r="W257" s="10" t="inlineStr">
        <is>
          <t>タイトル一致</t>
        </is>
      </c>
      <c r="X257" s="10" t="n"/>
    </row>
    <row r="258">
      <c r="A258" s="10" t="n">
        <v>257</v>
      </c>
      <c r="B258" s="24" t="n">
        <v>46237</v>
      </c>
      <c r="C258" s="24" t="n">
        <v>46237</v>
      </c>
      <c r="D258" s="10">
        <f>MONTH(B258)&amp;"月"</f>
        <v/>
      </c>
      <c r="E258" s="12" t="n">
        <v>1</v>
      </c>
      <c r="F258" s="10" t="n"/>
      <c r="G258" s="10" t="inlineStr">
        <is>
          <t>【初心者向け】AI駆動開発体験会 - AI駆動開発の流れとClaude Codeの基本操作</t>
        </is>
      </c>
      <c r="H258" s="10" t="inlineStr">
        <is>
          <t>シンギュラリティ・ラボ（シンラボ）</t>
        </is>
      </c>
      <c r="I258" s="10" t="n"/>
      <c r="J258" s="10" t="inlineStr">
        <is>
          <t>TECH PLAY</t>
        </is>
      </c>
      <c r="K258" s="10" t="inlineStr">
        <is>
          <t>オンライン</t>
        </is>
      </c>
      <c r="L258" s="10" t="n"/>
      <c r="M258" s="10" t="inlineStr">
        <is>
          <t>開発生産性</t>
        </is>
      </c>
      <c r="N258" s="10" t="inlineStr">
        <is>
          <t>AIエージェント</t>
        </is>
      </c>
      <c r="O258" s="12" t="inlineStr">
        <is>
          <t>○</t>
        </is>
      </c>
      <c r="P258" s="13" t="n">
        <v>101</v>
      </c>
      <c r="Q258" s="12" t="inlineStr">
        <is>
          <t>申込者数</t>
        </is>
      </c>
      <c r="R258" s="14" t="n">
        <v>80</v>
      </c>
      <c r="S258" s="10" t="n"/>
      <c r="T258" s="10" t="inlineStr">
        <is>
          <t>概要 パソコンを使って仕事をすることが当たり前となり、DX化が叫ばれている昨今、ITスキルを持つ人材がますます重要となる時代になってきました。 しかし、このような状況に対して、世界的にIT人材が不足しており、日本でも数十万人規模で足りてないと言われております。 シンギュラリティ・ラボ（シンラボ）では、ITスキルを持った人材を育成するため、 未経験者の方に少しでもプログラミングについて触れてほしいため、無料のプログラミング体験会を開催して</t>
        </is>
      </c>
      <c r="U258" s="15" t="inlineStr">
        <is>
          <t>https://techplay.jp/event/997921</t>
        </is>
      </c>
      <c r="V258" s="10" t="n"/>
      <c r="W258" s="10" t="inlineStr">
        <is>
          <t>タイトル一致</t>
        </is>
      </c>
      <c r="X258" s="10" t="n"/>
    </row>
    <row r="259">
      <c r="A259" s="10" t="n">
        <v>258</v>
      </c>
      <c r="B259" s="24" t="n">
        <v>46238</v>
      </c>
      <c r="C259" s="24" t="n">
        <v>46281</v>
      </c>
      <c r="D259" s="10">
        <f>MONTH(B259)&amp;"月"</f>
        <v/>
      </c>
      <c r="E259" s="12" t="n">
        <v>2</v>
      </c>
      <c r="F259" s="10" t="inlineStr">
        <is>
          <t>08/04、09/16</t>
        </is>
      </c>
      <c r="G259" s="10" t="inlineStr">
        <is>
          <t>#1 Copilot Studio 勉強会</t>
        </is>
      </c>
      <c r="H259" s="10" t="inlineStr">
        <is>
          <t>Microsoft Copilot Studio User Group</t>
        </is>
      </c>
      <c r="I259" s="10" t="n"/>
      <c r="J259" s="10" t="inlineStr">
        <is>
          <t>connpass</t>
        </is>
      </c>
      <c r="K259" s="10" t="inlineStr">
        <is>
          <t>オンライン</t>
        </is>
      </c>
      <c r="L259" s="10" t="inlineStr">
        <is>
          <t>オンライン</t>
        </is>
      </c>
      <c r="M259" s="10" t="inlineStr">
        <is>
          <t>生産性向上・業務効率化</t>
        </is>
      </c>
      <c r="N259" s="10" t="inlineStr">
        <is>
          <t>AIエージェント</t>
        </is>
      </c>
      <c r="O259" s="12" t="inlineStr">
        <is>
          <t>◎</t>
        </is>
      </c>
      <c r="P259" s="13" t="n">
        <v>473</v>
      </c>
      <c r="Q259" s="12" t="inlineStr">
        <is>
          <t>参加者数</t>
        </is>
      </c>
      <c r="R259" s="14" t="n"/>
      <c r="S259" s="10" t="inlineStr">
        <is>
          <t>全2回の合計</t>
        </is>
      </c>
      <c r="T259" s="10" t="n"/>
      <c r="U259" s="15" t="inlineStr">
        <is>
          <t>https://mcsug.connpass.com/event/401562/</t>
        </is>
      </c>
      <c r="V259" s="10" t="n"/>
      <c r="W259" s="10" t="inlineStr">
        <is>
          <t>タイトル一致</t>
        </is>
      </c>
      <c r="X259" s="10" t="n"/>
    </row>
    <row r="260">
      <c r="A260" s="10" t="n">
        <v>259</v>
      </c>
      <c r="B260" s="24" t="n">
        <v>46238</v>
      </c>
      <c r="C260" s="24" t="n">
        <v>46238</v>
      </c>
      <c r="D260" s="10">
        <f>MONTH(B260)&amp;"月"</f>
        <v/>
      </c>
      <c r="E260" s="12" t="n">
        <v>1</v>
      </c>
      <c r="F260" s="10" t="n"/>
      <c r="G260" s="10" t="inlineStr">
        <is>
          <t>「点の効率化」から「線の業務変革」へ</t>
        </is>
      </c>
      <c r="H260" s="10" t="inlineStr">
        <is>
          <t>株式会社リンクレア</t>
        </is>
      </c>
      <c r="I260" s="10" t="n"/>
      <c r="J260" s="10" t="inlineStr">
        <is>
          <t>ビジネス+IT</t>
        </is>
      </c>
      <c r="K260" s="10" t="inlineStr">
        <is>
          <t>online</t>
        </is>
      </c>
      <c r="L260" s="10" t="inlineStr">
        <is>
          <t>オンライン</t>
        </is>
      </c>
      <c r="M260" s="10" t="inlineStr">
        <is>
          <t>生産性向上・業務効率化</t>
        </is>
      </c>
      <c r="N260" s="10" t="inlineStr">
        <is>
          <t>AIエージェント</t>
        </is>
      </c>
      <c r="O260" s="12" t="inlineStr">
        <is>
          <t>○</t>
        </is>
      </c>
      <c r="P260" s="13" t="n"/>
      <c r="Q260" s="12" t="inlineStr">
        <is>
          <t>不明</t>
        </is>
      </c>
      <c r="R260" s="14" t="n"/>
      <c r="S260" s="10" t="n"/>
      <c r="T260" s="10" t="inlineStr">
        <is>
          <t>生成AIの活用は進んでいても 「検索や要約」といった個人の効率化で止まっていませんか？ 「組織全体の生産性」を上げる鍵として今注目されているのがAIエージェントです。 従来の「問いに答えるチャットボット」から複数のプロセスをまたいで自律的に動く「実行型」の存在へとAIの役割は今、大きな転換期を迎えています。 本ウェビナーでは、Microsoft Copilot Studioを例に挙げながらAIエージェントがどのように業務プロセスに入り込</t>
        </is>
      </c>
      <c r="U260" s="15" t="inlineStr">
        <is>
          <t>https://www.sbbit.jp/eventinfo/89604</t>
        </is>
      </c>
      <c r="V260" s="10" t="n"/>
      <c r="W260" s="10" t="inlineStr">
        <is>
          <t>本文一致</t>
        </is>
      </c>
      <c r="X260" s="10" t="n"/>
    </row>
    <row r="261">
      <c r="A261" s="10" t="n">
        <v>260</v>
      </c>
      <c r="B261" s="24" t="n">
        <v>46238</v>
      </c>
      <c r="C261" s="24" t="n">
        <v>46238</v>
      </c>
      <c r="D261" s="10">
        <f>MONTH(B261)&amp;"月"</f>
        <v/>
      </c>
      <c r="E261" s="12" t="n">
        <v>1</v>
      </c>
      <c r="F261" s="10" t="n"/>
      <c r="G261" s="10" t="inlineStr">
        <is>
          <t>「点の効率化」から「線の業務変革」へ ～Copilot Studioで実現するAIエージェントの世界～</t>
        </is>
      </c>
      <c r="H261" s="10" t="inlineStr">
        <is>
          <t>株式会社リンクレア</t>
        </is>
      </c>
      <c r="I261" s="10" t="n"/>
      <c r="J261" s="10" t="inlineStr">
        <is>
          <t>TECH PLAY</t>
        </is>
      </c>
      <c r="K261" s="10" t="inlineStr">
        <is>
          <t>オンライン</t>
        </is>
      </c>
      <c r="L261" s="10" t="n"/>
      <c r="M261" s="10" t="inlineStr">
        <is>
          <t>生産性向上・業務効率化</t>
        </is>
      </c>
      <c r="N261" s="10" t="inlineStr">
        <is>
          <t>AIエージェント</t>
        </is>
      </c>
      <c r="O261" s="12" t="inlineStr">
        <is>
          <t>◎</t>
        </is>
      </c>
      <c r="P261" s="13" t="n"/>
      <c r="Q261" s="12" t="inlineStr">
        <is>
          <t>非公開</t>
        </is>
      </c>
      <c r="R261" s="14" t="n">
        <v>50</v>
      </c>
      <c r="S261" s="10" t="n"/>
      <c r="T261" s="10" t="inlineStr">
        <is>
          <t>概要 生成AIの活用は進んでいても 「検索や要約」といった個人の効率化で止まっていませんか？ 「組織全体の生産性」を上げる鍵として、今注目されているのが**「AIエージェント」**です。 従来の「問いに答えるチャットボット」から 複数のプロセスをまたいで自律的に動く「実行型」の存在へと AIの役割は今、大きな転換期を迎えています。 本ウェビナーでは、Microsoft Copilot Studioを例に挙げながら AIエージェントがどの</t>
        </is>
      </c>
      <c r="U261" s="15" t="inlineStr">
        <is>
          <t>https://techplay.jp/event/998646</t>
        </is>
      </c>
      <c r="V261" s="10" t="n"/>
      <c r="W261" s="10" t="inlineStr">
        <is>
          <t>タイトル一致</t>
        </is>
      </c>
      <c r="X261" s="10" t="n"/>
    </row>
    <row r="262">
      <c r="A262" s="10" t="n">
        <v>261</v>
      </c>
      <c r="B262" s="24" t="n">
        <v>46238</v>
      </c>
      <c r="C262" s="24" t="n">
        <v>46238</v>
      </c>
      <c r="D262" s="10">
        <f>MONTH(B262)&amp;"月"</f>
        <v/>
      </c>
      <c r="E262" s="12" t="n">
        <v>1</v>
      </c>
      <c r="F262" s="10" t="n"/>
      <c r="G262" s="10" t="inlineStr">
        <is>
          <t>【再放送】AIエージェント設計・活用の実践力を身に付ける</t>
        </is>
      </c>
      <c r="H262" s="10" t="inlineStr">
        <is>
          <t>JTP株式会社（協力：マジセミ株式会社）</t>
        </is>
      </c>
      <c r="I262" s="10" t="n"/>
      <c r="J262" s="10" t="inlineStr">
        <is>
          <t>マジセミ</t>
        </is>
      </c>
      <c r="K262" s="10" t="inlineStr">
        <is>
          <t>online</t>
        </is>
      </c>
      <c r="L262" s="10" t="inlineStr">
        <is>
          <t>オンライン</t>
        </is>
      </c>
      <c r="M262" s="10" t="inlineStr">
        <is>
          <t>生産性向上・業務効率化</t>
        </is>
      </c>
      <c r="N262" s="10" t="inlineStr">
        <is>
          <t>AIエージェント</t>
        </is>
      </c>
      <c r="O262" s="12" t="inlineStr">
        <is>
          <t>◎</t>
        </is>
      </c>
      <c r="P262" s="13" t="n">
        <v>20</v>
      </c>
      <c r="Q262" s="12" t="inlineStr">
        <is>
          <t>参加者数</t>
        </is>
      </c>
      <c r="R262" s="14" t="n"/>
      <c r="S262" s="10" t="n"/>
      <c r="T262" s="10" t="inlineStr">
        <is>
          <t>■生成AIの進化で変わるエンジニアの役割 日本社会は、深刻な労働人口減少やデジタルトランスフォーメーションの進展に伴うIT 需要の急増を背景に、2030 年にはIT エンジニアが最大79 万人不足すると予測されています。このような人材不足の中、生成AI技術が急速な進化を遂げ、さまざまな分野でのビジネス活用が広がっているます。今や、AI 技術を正しく理解し、実務に活かせる次世代IT 人財の育成が、ビジネス成長の鍵となっています。 ■AIエ</t>
        </is>
      </c>
      <c r="U262" s="15" t="inlineStr">
        <is>
          <t>https://prtimes.jp/main/html/rd/p/000005465.000054842.html</t>
        </is>
      </c>
      <c r="V262" s="15" t="inlineStr">
        <is>
          <t>https://majisemi-technology.doorkeeper.jp/events/198266</t>
        </is>
      </c>
      <c r="W262" s="10" t="inlineStr">
        <is>
          <t>タイトル一致</t>
        </is>
      </c>
      <c r="X262" s="10" t="n"/>
    </row>
    <row r="263">
      <c r="A263" s="10" t="n">
        <v>262</v>
      </c>
      <c r="B263" s="24" t="n">
        <v>46238</v>
      </c>
      <c r="C263" s="24" t="n">
        <v>46238</v>
      </c>
      <c r="D263" s="10">
        <f>MONTH(B263)&amp;"月"</f>
        <v/>
      </c>
      <c r="E263" s="12" t="n">
        <v>1</v>
      </c>
      <c r="F263" s="10" t="n"/>
      <c r="G263" s="10" t="inlineStr">
        <is>
          <t>【実演中心】Claudeを仕事でどう使う?〜情報整理から文章・スライド作成まで〜</t>
        </is>
      </c>
      <c r="H263" s="10" t="inlineStr">
        <is>
          <t>みんなシステムズ セミナー担当</t>
        </is>
      </c>
      <c r="I263" s="10" t="n"/>
      <c r="J263" s="10" t="inlineStr">
        <is>
          <t>こくちーずプロ</t>
        </is>
      </c>
      <c r="K263" s="10" t="inlineStr">
        <is>
          <t>オンライン</t>
        </is>
      </c>
      <c r="L263" s="10" t="inlineStr">
        <is>
          <t>オンライン 日本</t>
        </is>
      </c>
      <c r="M263" s="10" t="inlineStr">
        <is>
          <t>営業・マーケ・CS</t>
        </is>
      </c>
      <c r="N263" s="10" t="inlineStr">
        <is>
          <t>AIエージェント</t>
        </is>
      </c>
      <c r="O263" s="12" t="inlineStr">
        <is>
          <t>○</t>
        </is>
      </c>
      <c r="P263" s="13" t="n">
        <v>5</v>
      </c>
      <c r="Q263" s="12" t="inlineStr">
        <is>
          <t>参加者数</t>
        </is>
      </c>
      <c r="R263" s="14" t="n">
        <v>30</v>
      </c>
      <c r="S263" s="10" t="n"/>
      <c r="T263" s="10" t="inlineStr">
        <is>
          <t>セミナー情報 「Claudeを使ってみたけど、結局チャットで質問するだけで終わっている」——そんな声を多くいただきます。 本セミナーでは、日常業務におけるClaudeの実践活用を、実演を交えながら徹底解説します。 具体的には、会議メモや参考資料といった「素材」をClaudeに渡すところから始め、 ① 情報の整理・要点の抽出 ② 文章（報告書・提案書・メールなど）への落とし込み ③ スライド資料としての仕上げ という一連の流れを、実際の画</t>
        </is>
      </c>
      <c r="U263" s="15" t="inlineStr">
        <is>
          <t>https://www.kokuchpro.com/event/fcc6f5925aff705dc431032f0260d455/</t>
        </is>
      </c>
      <c r="V263" s="10" t="n"/>
      <c r="W263" s="10" t="inlineStr">
        <is>
          <t>本文一致</t>
        </is>
      </c>
      <c r="X263" s="10" t="n"/>
    </row>
    <row r="264">
      <c r="A264" s="10" t="n">
        <v>263</v>
      </c>
      <c r="B264" s="24" t="n">
        <v>46238</v>
      </c>
      <c r="C264" s="24" t="n">
        <v>46238</v>
      </c>
      <c r="D264" s="10">
        <f>MONTH(B264)&amp;"月"</f>
        <v/>
      </c>
      <c r="E264" s="12" t="n">
        <v>1</v>
      </c>
      <c r="F264" s="10" t="n"/>
      <c r="G264" s="10" t="inlineStr">
        <is>
          <t>【無料ウェビナー】エージェンティックコマース時代のEC戦略｜AI検索時代の新規獲得とLINEで実現するLTV最大化 を8/4(火)に開催</t>
        </is>
      </c>
      <c r="H264" s="10" t="inlineStr">
        <is>
          <t>株式会社LANY</t>
        </is>
      </c>
      <c r="I264" s="10" t="n"/>
      <c r="J264" s="10" t="inlineStr">
        <is>
          <t>PR TIMES</t>
        </is>
      </c>
      <c r="K264" s="10" t="inlineStr">
        <is>
          <t>online</t>
        </is>
      </c>
      <c r="L264" s="10" t="inlineStr">
        <is>
          <t>オンライン（ウェビナー）</t>
        </is>
      </c>
      <c r="M264" s="10" t="inlineStr">
        <is>
          <t>営業・マーケ・CS</t>
        </is>
      </c>
      <c r="N264" s="10" t="inlineStr">
        <is>
          <t>AIエージェント</t>
        </is>
      </c>
      <c r="O264" s="12" t="inlineStr">
        <is>
          <t>○</t>
        </is>
      </c>
      <c r="P264" s="13" t="n"/>
      <c r="Q264" s="12" t="inlineStr">
        <is>
          <t>定員</t>
        </is>
      </c>
      <c r="R264" s="14" t="n">
        <v>500</v>
      </c>
      <c r="S264" s="10" t="n"/>
      <c r="T264" s="10" t="inlineStr">
        <is>
          <t>デジタルマーケティング支援を提供する株式会社LANY（東京都渋谷区、代表取締役社長：竹内渓太）は、【無料ウェビナー】エージェンティックコマース時代のEC戦略｜AI検索時代の新規獲得とLINEで実現するLTV最大化 を株式会社ソーシャルPLUSと8/4(火)に共同開催いたします。 ChatGPTやGeminiなどの生成AIが商品を比較・提案し、そのまま購入先を案内するなど、消費者の購買行動は大きく変化し始めています。海外では、AIエージェ</t>
        </is>
      </c>
      <c r="U264" s="15" t="inlineStr">
        <is>
          <t>https://prtimes.jp/main/html/rd/p/000000432.000071062.html</t>
        </is>
      </c>
      <c r="V264" s="10" t="n"/>
      <c r="W264" s="10" t="inlineStr">
        <is>
          <t>本文一致</t>
        </is>
      </c>
      <c r="X264" s="10" t="n"/>
    </row>
    <row r="265">
      <c r="A265" s="10" t="n">
        <v>264</v>
      </c>
      <c r="B265" s="24" t="n">
        <v>46238</v>
      </c>
      <c r="C265" s="24" t="n">
        <v>46238</v>
      </c>
      <c r="D265" s="10">
        <f>MONTH(B265)&amp;"月"</f>
        <v/>
      </c>
      <c r="E265" s="12" t="n">
        <v>1</v>
      </c>
      <c r="F265" s="10" t="n"/>
      <c r="G265" s="10" t="inlineStr">
        <is>
          <t>最新Claudeは何ができるようになったか ー 2026年版・経営/管理職のための総点検</t>
        </is>
      </c>
      <c r="H265" s="10" t="inlineStr">
        <is>
          <t>株式会社 LiberCraft</t>
        </is>
      </c>
      <c r="I265" s="10" t="n"/>
      <c r="J265" s="10" t="inlineStr">
        <is>
          <t>TECH PLAY</t>
        </is>
      </c>
      <c r="K265" s="10" t="inlineStr">
        <is>
          <t>オンライン</t>
        </is>
      </c>
      <c r="L265" s="10" t="n"/>
      <c r="M265" s="10" t="inlineStr">
        <is>
          <t>生産性向上・業務効率化</t>
        </is>
      </c>
      <c r="N265" s="10" t="inlineStr">
        <is>
          <t>AIエージェント</t>
        </is>
      </c>
      <c r="O265" s="12" t="inlineStr">
        <is>
          <t>○</t>
        </is>
      </c>
      <c r="P265" s="13" t="n">
        <v>9</v>
      </c>
      <c r="Q265" s="12" t="inlineStr">
        <is>
          <t>申込者数</t>
        </is>
      </c>
      <c r="R265" s="14" t="n">
        <v>100</v>
      </c>
      <c r="S265" s="10" t="n"/>
      <c r="T265" s="10" t="inlineStr">
        <is>
          <t>━━━━━━━━━━━━━━━━━━━━━━━━━━━━━━━ Claudeが進化しているのは知っている でも、自社の何に使えるかが描けない ━━━━━━━━━━━━━━━━━━━━━━━━━━━━━━━ ✓ モデル名のバージョンが次々上がり、何が変わったのか追いきれていない ✓ Claude Code・Cowork・スキルなど新しい言葉が増え、違いが分からない ✓ 情報は多いのに、自社の業務に当てはめる地図がないまま何となく使っている</t>
        </is>
      </c>
      <c r="U265" s="15" t="inlineStr">
        <is>
          <t>https://techplay.jp/event/998054</t>
        </is>
      </c>
      <c r="V265" s="10" t="n"/>
      <c r="W265" s="10" t="inlineStr">
        <is>
          <t>本文一致</t>
        </is>
      </c>
      <c r="X265" s="10" t="n"/>
    </row>
    <row r="266">
      <c r="A266" s="10" t="n">
        <v>265</v>
      </c>
      <c r="B266" s="24" t="n">
        <v>46238</v>
      </c>
      <c r="C266" s="24" t="n">
        <v>46238</v>
      </c>
      <c r="D266" s="10">
        <f>MONTH(B266)&amp;"月"</f>
        <v/>
      </c>
      <c r="E266" s="12" t="n">
        <v>1</v>
      </c>
      <c r="F266" s="10" t="n"/>
      <c r="G266" s="10" t="inlineStr">
        <is>
          <t>著者陣に聞く！Claude Code最新情報~基礎から応用、そしてこれから~</t>
        </is>
      </c>
      <c r="H266" s="10" t="inlineStr">
        <is>
          <t>ファインディ／Findy</t>
        </is>
      </c>
      <c r="I266" s="10" t="n"/>
      <c r="J266" s="10" t="inlineStr">
        <is>
          <t>connpass</t>
        </is>
      </c>
      <c r="K266" s="10" t="inlineStr">
        <is>
          <t>オンライン</t>
        </is>
      </c>
      <c r="L266" s="10" t="inlineStr">
        <is>
          <t>オンライン</t>
        </is>
      </c>
      <c r="M266" s="10" t="inlineStr">
        <is>
          <t>開発生産性</t>
        </is>
      </c>
      <c r="N266" s="10" t="inlineStr">
        <is>
          <t>AIエージェント</t>
        </is>
      </c>
      <c r="O266" s="12" t="inlineStr">
        <is>
          <t>○</t>
        </is>
      </c>
      <c r="P266" s="13" t="n">
        <v>673</v>
      </c>
      <c r="Q266" s="12" t="inlineStr">
        <is>
          <t>参加者数</t>
        </is>
      </c>
      <c r="R266" s="14" t="n"/>
      <c r="S266" s="10" t="n"/>
      <c r="T266" s="10" t="n"/>
      <c r="U266" s="15" t="inlineStr">
        <is>
          <t>https://findy.connpass.com/event/400570/</t>
        </is>
      </c>
      <c r="V266" s="10" t="n"/>
      <c r="W266" s="10" t="inlineStr">
        <is>
          <t>タイトル一致</t>
        </is>
      </c>
      <c r="X266" s="10" t="n"/>
    </row>
    <row r="267">
      <c r="A267" s="10" t="n">
        <v>266</v>
      </c>
      <c r="B267" s="24" t="n">
        <v>46239</v>
      </c>
      <c r="C267" s="24" t="n">
        <v>46239</v>
      </c>
      <c r="D267" s="10">
        <f>MONTH(B267)&amp;"月"</f>
        <v/>
      </c>
      <c r="E267" s="12" t="n">
        <v>1</v>
      </c>
      <c r="F267" s="10" t="n"/>
      <c r="G267" s="10" t="inlineStr">
        <is>
          <t>8/5(水) 16:00-【大好評セミナーを再配信！】「社内データ検索AI」の圧倒的威力と、導入前に知るべき“失敗の現実”</t>
        </is>
      </c>
      <c r="H267" s="10" t="inlineStr">
        <is>
          <t>skillupai</t>
        </is>
      </c>
      <c r="I267" s="10" t="n"/>
      <c r="J267" s="10" t="inlineStr">
        <is>
          <t>Doorkeeper</t>
        </is>
      </c>
      <c r="K267" s="10" t="inlineStr">
        <is>
          <t>オンライン</t>
        </is>
      </c>
      <c r="L267" s="10" t="n"/>
      <c r="M267" s="10" t="inlineStr">
        <is>
          <t>生産性向上・業務効率化</t>
        </is>
      </c>
      <c r="N267" s="10" t="inlineStr">
        <is>
          <t>AIエージェント</t>
        </is>
      </c>
      <c r="O267" s="12" t="inlineStr">
        <is>
          <t>○</t>
        </is>
      </c>
      <c r="P267" s="13" t="n">
        <v>5</v>
      </c>
      <c r="Q267" s="12" t="inlineStr">
        <is>
          <t>参加者数</t>
        </is>
      </c>
      <c r="R267" s="14" t="n">
        <v>30</v>
      </c>
      <c r="S267" s="10" t="n"/>
      <c r="T267" s="10" t="inlineStr">
        <is>
          <t xml:space="preserve"> ■ プログラム概要 2026年3月に配信され、大好評だったセミナーを再配信します。 「あの条件に合う過去の事例を探して」「この要件を満たす社内資料をまとめて」―このような自然言語の指示に対し、AIが数万点にも及ぶ複雑な社内データから瞬時に必要な情報を抽出・回答する。これが単なる「検索」を超えたAIエージェントの威力です。 本セミナーでは、まずこの圧倒的な業務効率化を実現するデモを実演し、AIエージェントが自律的に働く「理想の世界」をご</t>
        </is>
      </c>
      <c r="U267" s="15" t="inlineStr">
        <is>
          <t>https://skillupai.doorkeeper.jp/events/198350</t>
        </is>
      </c>
      <c r="V267" s="10" t="n"/>
      <c r="W267" s="10" t="inlineStr">
        <is>
          <t>本文一致</t>
        </is>
      </c>
      <c r="X267" s="10" t="n"/>
    </row>
    <row r="268">
      <c r="A268" s="10" t="n">
        <v>267</v>
      </c>
      <c r="B268" s="24" t="n">
        <v>46239</v>
      </c>
      <c r="C268" s="24" t="n">
        <v>46239</v>
      </c>
      <c r="D268" s="10">
        <f>MONTH(B268)&amp;"月"</f>
        <v/>
      </c>
      <c r="E268" s="12" t="n">
        <v>1</v>
      </c>
      <c r="F268" s="10" t="n"/>
      <c r="G268" s="10" t="inlineStr">
        <is>
          <t>AIエージェントキャッチアップ #86 - AI Gateway (Portkey)</t>
        </is>
      </c>
      <c r="H268" s="10" t="inlineStr">
        <is>
          <t>ジェネラティブエージェンツ / Generative Agents</t>
        </is>
      </c>
      <c r="I268" s="10" t="n"/>
      <c r="J268" s="10" t="inlineStr">
        <is>
          <t>connpass</t>
        </is>
      </c>
      <c r="K268" s="10" t="inlineStr">
        <is>
          <t>オンライン</t>
        </is>
      </c>
      <c r="L268" s="10" t="inlineStr">
        <is>
          <t>オンライン</t>
        </is>
      </c>
      <c r="M268" s="10" t="inlineStr">
        <is>
          <t>技術・AI全般</t>
        </is>
      </c>
      <c r="N268" s="10" t="inlineStr">
        <is>
          <t>AIエージェント</t>
        </is>
      </c>
      <c r="O268" s="12" t="inlineStr">
        <is>
          <t>○</t>
        </is>
      </c>
      <c r="P268" s="13" t="n">
        <v>55</v>
      </c>
      <c r="Q268" s="12" t="inlineStr">
        <is>
          <t>参加者数</t>
        </is>
      </c>
      <c r="R268" s="14" t="n">
        <v>200</v>
      </c>
      <c r="S268" s="10" t="n"/>
      <c r="T268" s="10" t="n"/>
      <c r="U268" s="15" t="inlineStr">
        <is>
          <t>https://generative-agents.connpass.com/event/401851/</t>
        </is>
      </c>
      <c r="V268" s="10" t="n"/>
      <c r="W268" s="10" t="inlineStr">
        <is>
          <t>タイトル一致</t>
        </is>
      </c>
      <c r="X268" s="10" t="n"/>
    </row>
    <row r="269">
      <c r="A269" s="10" t="n">
        <v>268</v>
      </c>
      <c r="B269" s="24" t="n">
        <v>46239</v>
      </c>
      <c r="C269" s="24" t="n">
        <v>46239</v>
      </c>
      <c r="D269" s="10">
        <f>MONTH(B269)&amp;"月"</f>
        <v/>
      </c>
      <c r="E269" s="12" t="n">
        <v>1</v>
      </c>
      <c r="F269" s="10" t="n"/>
      <c r="G269" s="10" t="inlineStr">
        <is>
          <t>AIコーディングエージェント知見共有会</t>
        </is>
      </c>
      <c r="H269" s="10" t="inlineStr">
        <is>
          <t>FFFFF Cafe（株式会社リロード）</t>
        </is>
      </c>
      <c r="I269" s="10" t="n"/>
      <c r="J269" s="10" t="inlineStr">
        <is>
          <t>個別調査（公式サイト・PR TIMES等）</t>
        </is>
      </c>
      <c r="K269" s="10" t="inlineStr">
        <is>
          <t>会場</t>
        </is>
      </c>
      <c r="L269" s="10" t="inlineStr">
        <is>
          <t>FFFFF Cafe（東京都千代田区）</t>
        </is>
      </c>
      <c r="M269" s="10" t="inlineStr">
        <is>
          <t>開発生産性</t>
        </is>
      </c>
      <c r="N269" s="10" t="inlineStr">
        <is>
          <t>両方</t>
        </is>
      </c>
      <c r="O269" s="12" t="inlineStr">
        <is>
          <t>○</t>
        </is>
      </c>
      <c r="P269" s="13" t="n">
        <v>7</v>
      </c>
      <c r="Q269" s="12" t="inlineStr">
        <is>
          <t>参加者数</t>
        </is>
      </c>
      <c r="R269" s="14" t="n"/>
      <c r="S269" s="10" t="inlineStr">
        <is>
          <t>定員15名。connpassの表示</t>
        </is>
      </c>
      <c r="T269" s="10" t="inlineStr">
        <is>
          <t>Claude Code・Codex・Gemini CLI・Cursorの実践ノウハウ、MCP、AIによる業務改善例を共有する勉強会。</t>
        </is>
      </c>
      <c r="U269" s="15" t="inlineStr">
        <is>
          <t>https://fffff.connpass.com/event/401155/</t>
        </is>
      </c>
      <c r="V269" s="10" t="n"/>
      <c r="W269" s="10" t="inlineStr">
        <is>
          <t>個別確認</t>
        </is>
      </c>
      <c r="X269" s="10" t="inlineStr">
        <is>
          <t>小規模</t>
        </is>
      </c>
    </row>
    <row r="270">
      <c r="A270" s="10" t="n">
        <v>269</v>
      </c>
      <c r="B270" s="24" t="n">
        <v>46239</v>
      </c>
      <c r="C270" s="24" t="n">
        <v>46261</v>
      </c>
      <c r="D270" s="10">
        <f>MONTH(B270)&amp;"月"</f>
        <v/>
      </c>
      <c r="E270" s="12" t="n">
        <v>1</v>
      </c>
      <c r="F270" s="10" t="n"/>
      <c r="G270" s="10" t="inlineStr">
        <is>
          <t>HubSpot AI Breeze エージェント実践ラボ（全6回）</t>
        </is>
      </c>
      <c r="H270" s="10" t="inlineStr">
        <is>
          <t>株式会社100（HubSpot Eliteパートナー）</t>
        </is>
      </c>
      <c r="I270" s="10" t="n"/>
      <c r="J270" s="10" t="inlineStr">
        <is>
          <t>個別調査（公式サイト・PR TIMES等）</t>
        </is>
      </c>
      <c r="K270" s="10" t="inlineStr">
        <is>
          <t>オンライン</t>
        </is>
      </c>
      <c r="L270" s="10" t="inlineStr">
        <is>
          <t>各回40分</t>
        </is>
      </c>
      <c r="M270" s="10" t="inlineStr">
        <is>
          <t>営業・マーケ・CS</t>
        </is>
      </c>
      <c r="N270" s="10" t="inlineStr">
        <is>
          <t>AIエージェント</t>
        </is>
      </c>
      <c r="O270" s="12" t="inlineStr">
        <is>
          <t>◎</t>
        </is>
      </c>
      <c r="P270" s="13" t="n"/>
      <c r="Q270" s="12" t="inlineStr">
        <is>
          <t>不明</t>
        </is>
      </c>
      <c r="R270" s="14" t="n"/>
      <c r="S270" s="10" t="inlineStr">
        <is>
          <t>定員なし</t>
        </is>
      </c>
      <c r="T270" s="10" t="inlineStr">
        <is>
          <t>データ・営業・マーケ・カスタマーサービス・カスタムの各Breezeエージェントを、段階的に実務で使えるようにする連続講座。</t>
        </is>
      </c>
      <c r="U270" s="15" t="inlineStr">
        <is>
          <t>https://www.100inc.co.jp/news/20260710-webinar-hubspot-ai-breeze-lab</t>
        </is>
      </c>
      <c r="V270" s="10" t="n"/>
      <c r="W270" s="10" t="inlineStr">
        <is>
          <t>個別確認</t>
        </is>
      </c>
      <c r="X270" s="10" t="n"/>
    </row>
    <row r="271">
      <c r="A271" s="10" t="n">
        <v>270</v>
      </c>
      <c r="B271" s="24" t="n">
        <v>46239</v>
      </c>
      <c r="C271" s="24" t="n">
        <v>46239</v>
      </c>
      <c r="D271" s="10">
        <f>MONTH(B271)&amp;"月"</f>
        <v/>
      </c>
      <c r="E271" s="12" t="n">
        <v>1</v>
      </c>
      <c r="F271" s="10" t="n"/>
      <c r="G271" s="10" t="inlineStr">
        <is>
          <t>SAP Connect Day &amp; SAP Concur Fusion Exchange 2026 Osaka</t>
        </is>
      </c>
      <c r="H271" s="10" t="inlineStr">
        <is>
          <t>SAPジャパン株式会社</t>
        </is>
      </c>
      <c r="I271" s="10" t="n"/>
      <c r="J271" s="10" t="inlineStr">
        <is>
          <t>ビジネス+IT</t>
        </is>
      </c>
      <c r="K271" s="10" t="inlineStr">
        <is>
          <t>offline</t>
        </is>
      </c>
      <c r="L271" s="10" t="inlineStr">
        <is>
          <t>大阪府</t>
        </is>
      </c>
      <c r="M271" s="10" t="inlineStr">
        <is>
          <t>営業・マーケ・CS</t>
        </is>
      </c>
      <c r="N271" s="10" t="inlineStr">
        <is>
          <t>AIエージェント</t>
        </is>
      </c>
      <c r="O271" s="12" t="inlineStr">
        <is>
          <t>○</t>
        </is>
      </c>
      <c r="P271" s="13" t="n"/>
      <c r="Q271" s="12" t="inlineStr">
        <is>
          <t>不明</t>
        </is>
      </c>
      <c r="R271" s="14" t="n"/>
      <c r="S271" s="10" t="n"/>
      <c r="T271" s="10" t="inlineStr">
        <is>
          <t>Bring out your best at SAP Connect Day. 企業の力を、次の次元へ 外部環境がかつてないスピードで変化する現在、企業には個々の部門最適にとどまらず、全社を俯瞰した全体最適の視点で競争優位を継続的に高めていく力が求められています。SAP Connect Dayは、企業の成長を支えるSAP が掲げる新たな AI ビジョンと、進化した AI エージェント「Joule（ジュール）」を軸に、企業が“次の段階”へ</t>
        </is>
      </c>
      <c r="U271" s="15" t="inlineStr">
        <is>
          <t>https://www.sbbit.jp/eventinfo/89047</t>
        </is>
      </c>
      <c r="V271" s="10" t="n"/>
      <c r="W271" s="10" t="inlineStr">
        <is>
          <t>本文一致</t>
        </is>
      </c>
      <c r="X271" s="10" t="n"/>
    </row>
    <row r="272">
      <c r="A272" s="10" t="n">
        <v>271</v>
      </c>
      <c r="B272" s="24" t="n">
        <v>46239</v>
      </c>
      <c r="C272" s="24" t="n">
        <v>46239</v>
      </c>
      <c r="D272" s="10">
        <f>MONTH(B272)&amp;"月"</f>
        <v/>
      </c>
      <c r="E272" s="12" t="n">
        <v>1</v>
      </c>
      <c r="F272" s="10" t="n"/>
      <c r="G272" s="10" t="inlineStr">
        <is>
          <t>【8/5(水)|経営者限定】エンジニア不在で『Claude Code』は使えるか?「調べるAI」から「やってくれるAI」へ。ChatGPTとの違いを本音解説</t>
        </is>
      </c>
      <c r="H272" s="10" t="inlineStr">
        <is>
          <t>株式会社フルバリュー</t>
        </is>
      </c>
      <c r="I272" s="10" t="n"/>
      <c r="J272" s="10" t="inlineStr">
        <is>
          <t>こくちーずプロ</t>
        </is>
      </c>
      <c r="K272" s="10" t="inlineStr">
        <is>
          <t>オンライン</t>
        </is>
      </c>
      <c r="L272" s="10" t="inlineStr">
        <is>
          <t>オンライン 日本</t>
        </is>
      </c>
      <c r="M272" s="10" t="inlineStr">
        <is>
          <t>生産性向上・業務効率化</t>
        </is>
      </c>
      <c r="N272" s="10" t="inlineStr">
        <is>
          <t>AIエージェント</t>
        </is>
      </c>
      <c r="O272" s="12" t="inlineStr">
        <is>
          <t>◎</t>
        </is>
      </c>
      <c r="P272" s="13" t="n"/>
      <c r="Q272" s="12" t="inlineStr">
        <is>
          <t>不明</t>
        </is>
      </c>
      <c r="R272" s="14" t="n"/>
      <c r="S272" s="10" t="n"/>
      <c r="T272" s="10" t="inlineStr">
        <is>
          <t>【8/5(水)開催｜経営者向けオンラインセミナー】 エンジニアがいない会社で『Claude Code』は使えるのか？〜 「調べる」止まりのAIから、「やってくれる」AIへ。 ChatGPTとの3つの違いと、できること・できないこと〜 ■ このような経営者様におすすめです ・ChatGPTを導入したが、結局「検索」や「文章要約」くらいにしか使えていない ・「業務を自動化したい」と思っているが、社内にエンジニアやIT担当者がいない ・最新の</t>
        </is>
      </c>
      <c r="U272" s="15" t="inlineStr">
        <is>
          <t>https://www.kokuchpro.com/event/5e217a67b0a473746353f8239ed80512/</t>
        </is>
      </c>
      <c r="V272" s="10" t="n"/>
      <c r="W272" s="10" t="inlineStr">
        <is>
          <t>タイトル一致</t>
        </is>
      </c>
      <c r="X272" s="10" t="n"/>
    </row>
    <row r="273">
      <c r="A273" s="10" t="n">
        <v>272</v>
      </c>
      <c r="B273" s="24" t="n">
        <v>46239</v>
      </c>
      <c r="C273" s="24" t="n">
        <v>46239</v>
      </c>
      <c r="D273" s="10">
        <f>MONTH(B273)&amp;"月"</f>
        <v/>
      </c>
      <c r="E273" s="12" t="n">
        <v>1</v>
      </c>
      <c r="F273" s="10" t="n"/>
      <c r="G273" s="10" t="inlineStr">
        <is>
          <t>【AG-UI × A2UI × MCP Apps】Generative UIをやさしく解説する</t>
        </is>
      </c>
      <c r="H273" s="10" t="inlineStr">
        <is>
          <t>NRIネットコム株式会社</t>
        </is>
      </c>
      <c r="I273" s="10" t="n"/>
      <c r="J273" s="10" t="inlineStr">
        <is>
          <t>connpass</t>
        </is>
      </c>
      <c r="K273" s="10" t="inlineStr">
        <is>
          <t>会場</t>
        </is>
      </c>
      <c r="L273" s="10" t="inlineStr">
        <is>
          <t>(場所未定)</t>
        </is>
      </c>
      <c r="M273" s="10" t="inlineStr">
        <is>
          <t>技術・AI全般</t>
        </is>
      </c>
      <c r="N273" s="10" t="inlineStr">
        <is>
          <t>MCP</t>
        </is>
      </c>
      <c r="O273" s="12" t="inlineStr">
        <is>
          <t>○</t>
        </is>
      </c>
      <c r="P273" s="13" t="n">
        <v>11</v>
      </c>
      <c r="Q273" s="12" t="inlineStr">
        <is>
          <t>参加者数</t>
        </is>
      </c>
      <c r="R273" s="14" t="n"/>
      <c r="S273" s="10" t="n"/>
      <c r="T273" s="10" t="n"/>
      <c r="U273" s="15" t="inlineStr">
        <is>
          <t>https://nrinetcom.connpass.com/event/401251/</t>
        </is>
      </c>
      <c r="V273" s="10" t="n"/>
      <c r="W273" s="10" t="inlineStr">
        <is>
          <t>タイトル一致</t>
        </is>
      </c>
      <c r="X273" s="10" t="n"/>
    </row>
    <row r="274">
      <c r="A274" s="10" t="n">
        <v>273</v>
      </c>
      <c r="B274" s="24" t="n">
        <v>46239</v>
      </c>
      <c r="C274" s="24" t="n">
        <v>46239</v>
      </c>
      <c r="D274" s="10">
        <f>MONTH(B274)&amp;"月"</f>
        <v/>
      </c>
      <c r="E274" s="12" t="n">
        <v>1</v>
      </c>
      <c r="F274" s="10" t="n"/>
      <c r="G274" s="10" t="inlineStr">
        <is>
          <t>【AIエージェント】Boomi、サイオステクノロジーと共催ウェビナーを開催『AIエージェントを作る・統制する・組み込む ～安全な本番運用を支えるAIガードレールと連携基盤～』</t>
        </is>
      </c>
      <c r="H274" s="10" t="inlineStr">
        <is>
          <t>サイオステクノロジー株式会社、Boomi株式会社</t>
        </is>
      </c>
      <c r="I274" s="10" t="n"/>
      <c r="J274" s="10" t="inlineStr">
        <is>
          <t>PR TIMES</t>
        </is>
      </c>
      <c r="K274" s="10" t="inlineStr">
        <is>
          <t>online</t>
        </is>
      </c>
      <c r="L274" s="10" t="inlineStr">
        <is>
          <t>オンライン（ウェビナーツール：Zoom）</t>
        </is>
      </c>
      <c r="M274" s="10" t="inlineStr">
        <is>
          <t>生産性向上・業務効率化</t>
        </is>
      </c>
      <c r="N274" s="10" t="inlineStr">
        <is>
          <t>AIエージェント</t>
        </is>
      </c>
      <c r="O274" s="12" t="inlineStr">
        <is>
          <t>◎</t>
        </is>
      </c>
      <c r="P274" s="13" t="n"/>
      <c r="Q274" s="12" t="inlineStr">
        <is>
          <t>不明</t>
        </is>
      </c>
      <c r="R274" s="14" t="n"/>
      <c r="S274" s="10" t="n"/>
      <c r="T274" s="10" t="inlineStr">
        <is>
          <t>AI活用に向けてデータを価値に変える基盤「Boomi Enterprise Platform」を提供するBoomi株式会社（東京都渋谷区、代表取締役社長 CEO：河野 英太郎、以下Boomi）は、サイオステクノロジー株式会社（東京都港区、代表取締役社長：喜多 伸夫、以下サイオステクノロジー）と共催で、2026年8月5日（水）12:15〜13:00に、『AIエージェントを作る・統制する・組み込む ～安全な本番運用を支えるAIガードレールと</t>
        </is>
      </c>
      <c r="U274" s="15" t="inlineStr">
        <is>
          <t>https://prtimes.jp/main/html/rd/p/000000098.000068656.html</t>
        </is>
      </c>
      <c r="V274" s="10" t="n"/>
      <c r="W274" s="10" t="inlineStr">
        <is>
          <t>タイトル一致</t>
        </is>
      </c>
      <c r="X274" s="10" t="n"/>
    </row>
    <row r="275">
      <c r="A275" s="10" t="n">
        <v>274</v>
      </c>
      <c r="B275" s="24" t="n">
        <v>46239</v>
      </c>
      <c r="C275" s="24" t="n">
        <v>46239</v>
      </c>
      <c r="D275" s="10">
        <f>MONTH(B275)&amp;"月"</f>
        <v/>
      </c>
      <c r="E275" s="12" t="n">
        <v>1</v>
      </c>
      <c r="F275" s="10" t="n"/>
      <c r="G275" s="10" t="inlineStr">
        <is>
          <t>【AWS Summit Japan 2026 Recap】生成 AI・クラウドの最新動向を”ぎゅっとまとめて”ハイライト解説｜iret tech labo with partners #35</t>
        </is>
      </c>
      <c r="H275" s="10" t="inlineStr">
        <is>
          <t>KDDIアイレット株式会社</t>
        </is>
      </c>
      <c r="I275" s="10" t="n"/>
      <c r="J275" s="10" t="inlineStr">
        <is>
          <t>TECH PLAY</t>
        </is>
      </c>
      <c r="K275" s="10" t="inlineStr">
        <is>
          <t>オンライン</t>
        </is>
      </c>
      <c r="L275" s="10" t="n"/>
      <c r="M275" s="10" t="inlineStr">
        <is>
          <t>営業・マーケ・CS</t>
        </is>
      </c>
      <c r="N275" s="10" t="inlineStr">
        <is>
          <t>AIエージェント</t>
        </is>
      </c>
      <c r="O275" s="12" t="inlineStr">
        <is>
          <t>○</t>
        </is>
      </c>
      <c r="P275" s="13" t="n"/>
      <c r="Q275" s="12" t="inlineStr">
        <is>
          <t>非公開</t>
        </is>
      </c>
      <c r="R275" s="14" t="n">
        <v>50</v>
      </c>
      <c r="S275" s="10" t="n"/>
      <c r="T275" s="10" t="inlineStr">
        <is>
          <t>【AWS Summit Japan 2026 Recap】生成 AI・クラウドの最新動向を”ぎゅっとまとめて”ハイライト解説｜iret tech labo with partners #35 概要 2026年6月25日(木)・26日(金)に幕張メッセにて開催された AWS Summit Japan 2026 の Recap と題し、熱気をそのままに、アマゾン ウェブ サービス ジャパン合同会社様とのコラボレーションで重要トピックを凝縮し</t>
        </is>
      </c>
      <c r="U275" s="15" t="inlineStr">
        <is>
          <t>https://techplay.jp/event/998487</t>
        </is>
      </c>
      <c r="V275" s="10" t="n"/>
      <c r="W275" s="10" t="inlineStr">
        <is>
          <t>本文一致</t>
        </is>
      </c>
      <c r="X275" s="10" t="n"/>
    </row>
    <row r="276">
      <c r="A276" s="10" t="n">
        <v>275</v>
      </c>
      <c r="B276" s="24" t="n">
        <v>46239</v>
      </c>
      <c r="C276" s="24" t="n">
        <v>46239</v>
      </c>
      <c r="D276" s="10">
        <f>MONTH(B276)&amp;"月"</f>
        <v/>
      </c>
      <c r="E276" s="12" t="n">
        <v>1</v>
      </c>
      <c r="F276" s="10" t="n"/>
      <c r="G276" s="10" t="inlineStr">
        <is>
          <t>【オンラインセミナー】AmiVoice×AWS 声がAIエージェントを動かす 高機能な音声入力との連携で、現場業務はここまで変わる【8月5日（水）共催】</t>
        </is>
      </c>
      <c r="H276" s="10" t="inlineStr">
        <is>
          <t>株式会社アドバンスト・メディア</t>
        </is>
      </c>
      <c r="I276" s="10" t="n"/>
      <c r="J276" s="10" t="inlineStr">
        <is>
          <t>PR TIMES</t>
        </is>
      </c>
      <c r="K276" s="10" t="inlineStr">
        <is>
          <t>online</t>
        </is>
      </c>
      <c r="L276" s="10" t="inlineStr">
        <is>
          <t>オンライン</t>
        </is>
      </c>
      <c r="M276" s="10" t="inlineStr">
        <is>
          <t>生産性向上・業務効率化</t>
        </is>
      </c>
      <c r="N276" s="10" t="inlineStr">
        <is>
          <t>AIエージェント</t>
        </is>
      </c>
      <c r="O276" s="12" t="inlineStr">
        <is>
          <t>◎</t>
        </is>
      </c>
      <c r="P276" s="13" t="n"/>
      <c r="Q276" s="12" t="inlineStr">
        <is>
          <t>不明</t>
        </is>
      </c>
      <c r="R276" s="14" t="n"/>
      <c r="S276" s="10" t="n"/>
      <c r="T276" s="10" t="inlineStr">
        <is>
          <t>2026年8月5日（水）、株式会社アドバンスト・メディア（本社：東京都豊島区、代表取締役会長兼社長：鈴木清幸 以下、アドバンスト・メディア）は、オンラインセミナー「AmiVoice×AWS 声がAIエージェントを動かす 高機能な音声入力との連携で、現場業務はここまで変わる」を共催いたします。 詳細・お申込みはこちら 本セミナーでは、AWSの最新AIサービスとAmiVoice APIを活用した音声インターフェースの実践事例を通じて、AIエ</t>
        </is>
      </c>
      <c r="U276" s="15" t="inlineStr">
        <is>
          <t>https://prtimes.jp/main/html/rd/p/000000783.000020223.html</t>
        </is>
      </c>
      <c r="V276" s="10" t="n"/>
      <c r="W276" s="10" t="inlineStr">
        <is>
          <t>タイトル一致</t>
        </is>
      </c>
      <c r="X276" s="10" t="n"/>
    </row>
    <row r="277">
      <c r="A277" s="10" t="n">
        <v>276</v>
      </c>
      <c r="B277" s="24" t="n">
        <v>46239</v>
      </c>
      <c r="C277" s="24" t="n">
        <v>46239</v>
      </c>
      <c r="D277" s="10">
        <f>MONTH(B277)&amp;"月"</f>
        <v/>
      </c>
      <c r="E277" s="12" t="n">
        <v>1</v>
      </c>
      <c r="F277" s="10" t="n"/>
      <c r="G277" s="10" t="inlineStr">
        <is>
          <t>【営業マネージャー必見!】 B2B営業の失注・期ズレを撲滅する!!  AIに依頼するたった10秒の「案件ヘルスチェックと必殺プロンプト」</t>
        </is>
      </c>
      <c r="H277" s="10" t="inlineStr">
        <is>
          <t>SALES GO株式会社</t>
        </is>
      </c>
      <c r="I277" s="10" t="n"/>
      <c r="J277" s="10" t="inlineStr">
        <is>
          <t>こくちーずプロ</t>
        </is>
      </c>
      <c r="K277" s="10" t="inlineStr">
        <is>
          <t>オンライン</t>
        </is>
      </c>
      <c r="L277" s="10" t="inlineStr">
        <is>
          <t>オンライン 日本</t>
        </is>
      </c>
      <c r="M277" s="10" t="inlineStr">
        <is>
          <t>営業・マーケ・CS</t>
        </is>
      </c>
      <c r="N277" s="10" t="inlineStr">
        <is>
          <t>AIエージェント</t>
        </is>
      </c>
      <c r="O277" s="12" t="inlineStr">
        <is>
          <t>○</t>
        </is>
      </c>
      <c r="P277" s="13" t="n"/>
      <c r="Q277" s="12" t="inlineStr">
        <is>
          <t>不明</t>
        </is>
      </c>
      <c r="R277" s="14" t="n"/>
      <c r="S277" s="10" t="n"/>
      <c r="T277" s="10" t="inlineStr">
        <is>
          <t>【営業×AI】10秒でリスクを見抜く案件管理セミナー イベント形態：オンライン（Zoom） 料金：無料 開催日時：2026年8月5日(水) 16:30〜16:50 ウェビナー概要 多くの営業マネージャーが、部下の"ヨミ"の甘さによる直前の失注や、予期せぬ期ズレに頭を悩ませ、Excelでの進捗管理や度重なる会議に限界を感じています。 しかし、これまでの勘と経験だけに頼る属人的な案件管理の時代はもう終わりにしましょう。 本セミナーでは、プロ</t>
        </is>
      </c>
      <c r="U277" s="15" t="inlineStr">
        <is>
          <t>https://www.kokuchpro.com/event/d4089f7f0de2dfc567d3960f9f5649ea/</t>
        </is>
      </c>
      <c r="V277" s="10" t="n"/>
      <c r="W277" s="10" t="inlineStr">
        <is>
          <t>本文一致</t>
        </is>
      </c>
      <c r="X277" s="10" t="n"/>
    </row>
    <row r="278">
      <c r="A278" s="10" t="n">
        <v>277</v>
      </c>
      <c r="B278" s="24" t="n">
        <v>46239</v>
      </c>
      <c r="C278" s="24" t="n">
        <v>46239</v>
      </c>
      <c r="D278" s="10">
        <f>MONTH(B278)&amp;"月"</f>
        <v/>
      </c>
      <c r="E278" s="12" t="n">
        <v>1</v>
      </c>
      <c r="F278" s="10" t="n"/>
      <c r="G278" s="10" t="inlineStr">
        <is>
          <t>エンジニアがいない会社・非エンジニア（経営者）における『Claude Code』の活用とChatGPTとの違い・実践ロードマップ</t>
        </is>
      </c>
      <c r="H278" s="10" t="inlineStr">
        <is>
          <t>株式会社フルバリュー</t>
        </is>
      </c>
      <c r="I278" s="10" t="n"/>
      <c r="J278" s="10" t="inlineStr">
        <is>
          <t>TECH PLAY</t>
        </is>
      </c>
      <c r="K278" s="10" t="inlineStr">
        <is>
          <t>オンライン</t>
        </is>
      </c>
      <c r="L278" s="10" t="n"/>
      <c r="M278" s="10" t="inlineStr">
        <is>
          <t>生産性向上・業務効率化</t>
        </is>
      </c>
      <c r="N278" s="10" t="inlineStr">
        <is>
          <t>AIエージェント</t>
        </is>
      </c>
      <c r="O278" s="12" t="inlineStr">
        <is>
          <t>◎</t>
        </is>
      </c>
      <c r="P278" s="13" t="n">
        <v>5</v>
      </c>
      <c r="Q278" s="12" t="inlineStr">
        <is>
          <t>申込者数</t>
        </is>
      </c>
      <c r="R278" s="14" t="n">
        <v>50</v>
      </c>
      <c r="S278" s="10" t="n"/>
      <c r="T278" s="10" t="inlineStr">
        <is>
          <t>エンジニアがいない会社・非エンジニア（経営者）における『Claude Code』の活用とChatGPTとの違い・実践ロードマップ 【8/5(水)開催｜経営者向けオンラインセミナー】 エンジニアがいない会社で『Claude Code』は使えるのか？〜 「調べる」止まりのAIから、「やってくれる」AIへ。 ChatGPTとの3つの違いと、できること・できないこと〜 ■ このような経営者様におすすめです！ ChatGPTを導入したが、結局「検</t>
        </is>
      </c>
      <c r="U278" s="15" t="inlineStr">
        <is>
          <t>https://techplay.jp/event/998800</t>
        </is>
      </c>
      <c r="V278" s="10" t="n"/>
      <c r="W278" s="10" t="inlineStr">
        <is>
          <t>タイトル一致</t>
        </is>
      </c>
      <c r="X278" s="10" t="n"/>
    </row>
    <row r="279">
      <c r="A279" s="10" t="n">
        <v>278</v>
      </c>
      <c r="B279" s="24" t="n">
        <v>46239</v>
      </c>
      <c r="C279" s="24" t="n">
        <v>46239</v>
      </c>
      <c r="D279" s="10">
        <f>MONTH(B279)&amp;"月"</f>
        <v/>
      </c>
      <c r="E279" s="12" t="n">
        <v>1</v>
      </c>
      <c r="F279" s="10" t="n"/>
      <c r="G279" s="10" t="inlineStr">
        <is>
          <t>バグ削減と開発時間短縮を実現する AI コードレビュー</t>
        </is>
      </c>
      <c r="H279" s="10" t="inlineStr">
        <is>
          <t>エクセルソフト株式会社</t>
        </is>
      </c>
      <c r="I279" s="10" t="n"/>
      <c r="J279" s="10" t="inlineStr">
        <is>
          <t>TECH PLAY</t>
        </is>
      </c>
      <c r="K279" s="10" t="inlineStr">
        <is>
          <t>オンライン</t>
        </is>
      </c>
      <c r="L279" s="10" t="n"/>
      <c r="M279" s="10" t="inlineStr">
        <is>
          <t>開発生産性</t>
        </is>
      </c>
      <c r="N279" s="10" t="inlineStr">
        <is>
          <t>AIエージェント</t>
        </is>
      </c>
      <c r="O279" s="12" t="inlineStr">
        <is>
          <t>△</t>
        </is>
      </c>
      <c r="P279" s="13" t="n"/>
      <c r="Q279" s="12" t="inlineStr">
        <is>
          <t>非公開</t>
        </is>
      </c>
      <c r="R279" s="14" t="n">
        <v>100</v>
      </c>
      <c r="S279" s="10" t="n"/>
      <c r="T279" s="10" t="inlineStr">
        <is>
          <t>バグ削減と開発時間短縮を実現する AI コードレビュー 概要 はじめに コードレビューは、プロダクト品質を守るために欠かせないプロセスです。しかし、レビューコメントを書くのに時間がかかったり、逆にレビュアーはコードを細かくチェックするのが負担になったり、観点がレビュアーによってばらついてしまったり、といった課題がよく聞かれます。 さらに最近では AI コーディングエージェントの利用が当たり前になり、コードの生産「量」は増加傾向にあります</t>
        </is>
      </c>
      <c r="U279" s="15" t="inlineStr">
        <is>
          <t>https://techplay.jp/event/997593</t>
        </is>
      </c>
      <c r="V279" s="10" t="n"/>
      <c r="W279" s="10" t="inlineStr">
        <is>
          <t>本文一致</t>
        </is>
      </c>
      <c r="X279" s="10" t="n"/>
    </row>
    <row r="280">
      <c r="A280" s="10" t="n">
        <v>279</v>
      </c>
      <c r="B280" s="24" t="n">
        <v>46239</v>
      </c>
      <c r="C280" s="24" t="n">
        <v>46239</v>
      </c>
      <c r="D280" s="10">
        <f>MONTH(B280)&amp;"月"</f>
        <v/>
      </c>
      <c r="E280" s="12" t="n">
        <v>1</v>
      </c>
      <c r="F280" s="10" t="n"/>
      <c r="G280" s="10" t="inlineStr">
        <is>
          <t>今こそ聞きたいソフトウェア設計 #1 ドメイン駆動設計 再入門</t>
        </is>
      </c>
      <c r="H280" s="10" t="inlineStr">
        <is>
          <t>Findy/ファインディ</t>
        </is>
      </c>
      <c r="I280" s="10" t="n"/>
      <c r="J280" s="10" t="inlineStr">
        <is>
          <t>TECH PLAY</t>
        </is>
      </c>
      <c r="K280" s="10" t="inlineStr">
        <is>
          <t>オンライン</t>
        </is>
      </c>
      <c r="L280" s="10" t="n"/>
      <c r="M280" s="10" t="inlineStr">
        <is>
          <t>開発生産性</t>
        </is>
      </c>
      <c r="N280" s="10" t="inlineStr">
        <is>
          <t>AIエージェント</t>
        </is>
      </c>
      <c r="O280" s="12" t="inlineStr">
        <is>
          <t>△</t>
        </is>
      </c>
      <c r="P280" s="13" t="n">
        <v>100</v>
      </c>
      <c r="Q280" s="12" t="inlineStr">
        <is>
          <t>申込者数</t>
        </is>
      </c>
      <c r="R280" s="14" t="n">
        <v>200</v>
      </c>
      <c r="S280" s="10" t="n"/>
      <c r="T280" s="10" t="inlineStr">
        <is>
          <t>✍️概要 AIコーディングエージェントが急速に普及し、多くのエンジニアが日常的にAIと協働してコードを書くようになった今、「コードを書くこと」自体の相対的な価値が変化しつつあります。 一方で、何をどう設計し、どのようにモデリングし、どのような判断を下すかという上流の思考力・設計力の重要性は、むしろ高まっています。AIがコードを生成しても、最終的な品質や変更容易性、事業適合性を担保するのは人間の設計判断だからです。 本シリーズは、そんな状</t>
        </is>
      </c>
      <c r="U280" s="15" t="inlineStr">
        <is>
          <t>https://techplay.jp/event/998180</t>
        </is>
      </c>
      <c r="V280" s="10" t="n"/>
      <c r="W280" s="10" t="inlineStr">
        <is>
          <t>本文一致</t>
        </is>
      </c>
      <c r="X280" s="10" t="n"/>
    </row>
    <row r="281">
      <c r="A281" s="10" t="n">
        <v>280</v>
      </c>
      <c r="B281" s="24" t="n">
        <v>46239</v>
      </c>
      <c r="C281" s="24" t="n">
        <v>46239</v>
      </c>
      <c r="D281" s="10">
        <f>MONTH(B281)&amp;"月"</f>
        <v/>
      </c>
      <c r="E281" s="12" t="n">
        <v>1</v>
      </c>
      <c r="F281" s="10" t="n"/>
      <c r="G281" s="10" t="inlineStr">
        <is>
          <t>企業内検索×生成AIで業務改革【RAGの最適解、企業内検索×生成AIがもたらす効果】</t>
        </is>
      </c>
      <c r="H281" s="10" t="inlineStr">
        <is>
          <t>「QuickSolution」紹介ウェビナー担当</t>
        </is>
      </c>
      <c r="I281" s="10" t="n"/>
      <c r="J281" s="10" t="inlineStr">
        <is>
          <t>こくちーずプロ</t>
        </is>
      </c>
      <c r="K281" s="10" t="inlineStr">
        <is>
          <t>オンライン</t>
        </is>
      </c>
      <c r="L281" s="10" t="inlineStr">
        <is>
          <t>オンライン 日本</t>
        </is>
      </c>
      <c r="M281" s="10" t="inlineStr">
        <is>
          <t>生産性向上・業務効率化</t>
        </is>
      </c>
      <c r="N281" s="10" t="inlineStr">
        <is>
          <t>AIエージェント</t>
        </is>
      </c>
      <c r="O281" s="12" t="inlineStr">
        <is>
          <t>○</t>
        </is>
      </c>
      <c r="P281" s="13" t="n"/>
      <c r="Q281" s="12" t="inlineStr">
        <is>
          <t>不明</t>
        </is>
      </c>
      <c r="R281" s="14" t="n"/>
      <c r="S281" s="10" t="n"/>
      <c r="T281" s="10" t="inlineStr">
        <is>
          <t>企業内検索×生成AIで業務改革 ～オンプレ・クラウドの横断検索、RAG・検索エージェントで業務効率化やナレッジ活用～ 普段の業務の中で「あの資料、どこにあるかな…」と長い時間をかけて探したことはありませんか？頑張って探したのに、結局見つからなかった経験があるのではないでしょうか。 エンタープライズサーチ QuickSolution(クイックソリューション)を使えば、社内ファイルサーバやクラウドサービスを横断的に文書の中身まで検索して、欲</t>
        </is>
      </c>
      <c r="U281" s="15" t="inlineStr">
        <is>
          <t>https://www.kokuchpro.com/event/f12384e9b239d3cba04702bfa14312d0/</t>
        </is>
      </c>
      <c r="V281" s="10" t="n"/>
      <c r="W281" s="10" t="inlineStr">
        <is>
          <t>本文一致</t>
        </is>
      </c>
      <c r="X281" s="10" t="n"/>
    </row>
    <row r="282">
      <c r="A282" s="10" t="n">
        <v>281</v>
      </c>
      <c r="B282" s="24" t="n">
        <v>46239</v>
      </c>
      <c r="C282" s="24" t="n">
        <v>46239</v>
      </c>
      <c r="D282" s="10">
        <f>MONTH(B282)&amp;"月"</f>
        <v/>
      </c>
      <c r="E282" s="12" t="n">
        <v>1</v>
      </c>
      <c r="F282" s="10" t="n"/>
      <c r="G282" s="10" t="inlineStr">
        <is>
          <t>日鉄ソリューションズが実践！AIで変わる営業業務と帳票運用の最前線</t>
        </is>
      </c>
      <c r="H282" s="10" t="inlineStr">
        <is>
          <t>ウイングアーク１ｓｔ株式会社</t>
        </is>
      </c>
      <c r="I282" s="10" t="n"/>
      <c r="J282" s="10" t="inlineStr">
        <is>
          <t>ビジネス+IT</t>
        </is>
      </c>
      <c r="K282" s="10" t="inlineStr">
        <is>
          <t>online</t>
        </is>
      </c>
      <c r="L282" s="10" t="inlineStr">
        <is>
          <t>オンライン</t>
        </is>
      </c>
      <c r="M282" s="10" t="inlineStr">
        <is>
          <t>営業・マーケ・CS</t>
        </is>
      </c>
      <c r="N282" s="10" t="inlineStr">
        <is>
          <t>AIエージェント</t>
        </is>
      </c>
      <c r="O282" s="12" t="inlineStr">
        <is>
          <t>○</t>
        </is>
      </c>
      <c r="P282" s="13" t="n"/>
      <c r="Q282" s="12" t="inlineStr">
        <is>
          <t>不明</t>
        </is>
      </c>
      <c r="R282" s="14" t="n"/>
      <c r="S282" s="10" t="n"/>
      <c r="T282" s="10" t="inlineStr">
        <is>
          <t>「Agentforceは実際の現場でどう活用されているのか？」 本セミナーでは、Agentforceで営業DXを推進している日鉄ソリューションズ様にご登壇いただき、見積作成業務を「ほぼゼロ」にしたリアルな活用事例をご紹介します。 AIエージェントを活用した営業DXプロジェクトでは、SVF Cloudと連携した帳票生成まで含めた改善プロジェクトの実践例を解説。PoCで終わらせず、現場業務へ定着させるためのポイントを、ユーザー視点で具体的に</t>
        </is>
      </c>
      <c r="U282" s="15" t="inlineStr">
        <is>
          <t>https://www.sbbit.jp/eventinfo/89496</t>
        </is>
      </c>
      <c r="V282" s="10" t="n"/>
      <c r="W282" s="10" t="inlineStr">
        <is>
          <t>本文一致</t>
        </is>
      </c>
      <c r="X282" s="10" t="n"/>
    </row>
    <row r="283">
      <c r="A283" s="10" t="n">
        <v>282</v>
      </c>
      <c r="B283" s="24" t="n">
        <v>46239</v>
      </c>
      <c r="C283" s="24" t="n">
        <v>46239</v>
      </c>
      <c r="D283" s="10">
        <f>MONTH(B283)&amp;"月"</f>
        <v/>
      </c>
      <c r="E283" s="12" t="n">
        <v>1</v>
      </c>
      <c r="F283" s="10" t="n"/>
      <c r="G283" s="10" t="inlineStr">
        <is>
          <t>（増枠！）Claude Code Skills利用Skill Top5 誕生と運用の苦労も大公開！</t>
        </is>
      </c>
      <c r="H283" s="10" t="inlineStr">
        <is>
          <t>Findy AI+</t>
        </is>
      </c>
      <c r="I283" s="10" t="n"/>
      <c r="J283" s="10" t="inlineStr">
        <is>
          <t>connpass</t>
        </is>
      </c>
      <c r="K283" s="10" t="inlineStr">
        <is>
          <t>会場</t>
        </is>
      </c>
      <c r="L283" s="10" t="inlineStr">
        <is>
          <t>東京都品川区大崎1丁目2−2（アートヴィレッジ大崎セントラルタワー）5F</t>
        </is>
      </c>
      <c r="M283" s="10" t="inlineStr">
        <is>
          <t>開発生産性</t>
        </is>
      </c>
      <c r="N283" s="10" t="inlineStr">
        <is>
          <t>AIエージェント</t>
        </is>
      </c>
      <c r="O283" s="12" t="inlineStr">
        <is>
          <t>○</t>
        </is>
      </c>
      <c r="P283" s="13" t="n">
        <v>308</v>
      </c>
      <c r="Q283" s="12" t="inlineStr">
        <is>
          <t>参加者数</t>
        </is>
      </c>
      <c r="R283" s="14" t="n">
        <v>370</v>
      </c>
      <c r="S283" s="10" t="n"/>
      <c r="T283" s="10" t="n"/>
      <c r="U283" s="15" t="inlineStr">
        <is>
          <t>https://findy-aiplus.connpass.com/event/401265/</t>
        </is>
      </c>
      <c r="V283" s="10" t="n"/>
      <c r="W283" s="10" t="inlineStr">
        <is>
          <t>タイトル一致</t>
        </is>
      </c>
      <c r="X283" s="10" t="n"/>
    </row>
    <row r="284">
      <c r="A284" s="10" t="n">
        <v>283</v>
      </c>
      <c r="B284" s="24" t="n">
        <v>46240</v>
      </c>
      <c r="C284" s="24" t="n">
        <v>46240</v>
      </c>
      <c r="D284" s="10">
        <f>MONTH(B284)&amp;"月"</f>
        <v/>
      </c>
      <c r="E284" s="12" t="n">
        <v>1</v>
      </c>
      <c r="F284" s="10" t="n"/>
      <c r="G284" s="10" t="inlineStr">
        <is>
          <t>AI エージェント開発実践編</t>
        </is>
      </c>
      <c r="H284" s="10" t="inlineStr">
        <is>
          <t>インターシステムズ開発者コミュニティのグループ</t>
        </is>
      </c>
      <c r="I284" s="10" t="n"/>
      <c r="J284" s="10" t="inlineStr">
        <is>
          <t>connpass</t>
        </is>
      </c>
      <c r="K284" s="10" t="inlineStr">
        <is>
          <t>オンライン</t>
        </is>
      </c>
      <c r="L284" s="10" t="inlineStr">
        <is>
          <t>オンライン</t>
        </is>
      </c>
      <c r="M284" s="10" t="inlineStr">
        <is>
          <t>開発生産性</t>
        </is>
      </c>
      <c r="N284" s="10" t="inlineStr">
        <is>
          <t>AIエージェント</t>
        </is>
      </c>
      <c r="O284" s="12" t="inlineStr">
        <is>
          <t>○</t>
        </is>
      </c>
      <c r="P284" s="13" t="n">
        <v>9</v>
      </c>
      <c r="Q284" s="12" t="inlineStr">
        <is>
          <t>参加者数</t>
        </is>
      </c>
      <c r="R284" s="14" t="n">
        <v>50</v>
      </c>
      <c r="S284" s="10" t="n"/>
      <c r="T284" s="10" t="n"/>
      <c r="U284" s="15" t="inlineStr">
        <is>
          <t>https://intersystems-dc.connpass.com/event/399906/</t>
        </is>
      </c>
      <c r="V284" s="10" t="n"/>
      <c r="W284" s="10" t="inlineStr">
        <is>
          <t>タイトル一致</t>
        </is>
      </c>
      <c r="X284" s="10" t="n"/>
    </row>
    <row r="285">
      <c r="A285" s="10" t="n">
        <v>284</v>
      </c>
      <c r="B285" s="24" t="n">
        <v>46240</v>
      </c>
      <c r="C285" s="24" t="n">
        <v>46240</v>
      </c>
      <c r="D285" s="10">
        <f>MONTH(B285)&amp;"月"</f>
        <v/>
      </c>
      <c r="E285" s="12" t="n">
        <v>1</v>
      </c>
      <c r="F285" s="10" t="n"/>
      <c r="G285" s="10" t="inlineStr">
        <is>
          <t>Claude × Salesforce 活用大全 ──AI時代の営業生産性向上術</t>
        </is>
      </c>
      <c r="H285" s="10" t="inlineStr">
        <is>
          <t>SalesNowウェビナー事務局</t>
        </is>
      </c>
      <c r="I285" s="10" t="n"/>
      <c r="J285" s="10" t="inlineStr">
        <is>
          <t>こくちーずプロ</t>
        </is>
      </c>
      <c r="K285" s="10" t="inlineStr">
        <is>
          <t>オンライン</t>
        </is>
      </c>
      <c r="L285" s="10" t="inlineStr">
        <is>
          <t>オンライン 日本</t>
        </is>
      </c>
      <c r="M285" s="10" t="inlineStr">
        <is>
          <t>営業・マーケ・CS</t>
        </is>
      </c>
      <c r="N285" s="10" t="inlineStr">
        <is>
          <t>AIエージェント</t>
        </is>
      </c>
      <c r="O285" s="12" t="inlineStr">
        <is>
          <t>○</t>
        </is>
      </c>
      <c r="P285" s="13" t="n"/>
      <c r="Q285" s="12" t="inlineStr">
        <is>
          <t>不明</t>
        </is>
      </c>
      <c r="R285" s="14" t="n"/>
      <c r="S285" s="10" t="n"/>
      <c r="T285" s="10" t="inlineStr">
        <is>
          <t>ウェビナー概要 AIの登場で、Salesforce の使い方は大きく変わりつつあります。データの分析やレポート作成、日々のデータ整備といった、これまで手作業で行っていた多くのことを、AIに任せられるようになってきました。 本ウェビナーは、Claude × Salesforce でできることを一つに集めた「活用大全」です。営業データを「見る・動かす・任せる」の3ステップに沿って、営業の現場で使える10の活用法を解説します。 ご紹介するのは</t>
        </is>
      </c>
      <c r="U285" s="15" t="inlineStr">
        <is>
          <t>https://www.kokuchpro.com/event/688252a6c2b580742b53d3c6e681502a/</t>
        </is>
      </c>
      <c r="V285" s="10" t="n"/>
      <c r="W285" s="10" t="inlineStr">
        <is>
          <t>本文一致</t>
        </is>
      </c>
      <c r="X285" s="10" t="n"/>
    </row>
    <row r="286">
      <c r="A286" s="10" t="n">
        <v>285</v>
      </c>
      <c r="B286" s="24" t="n">
        <v>46240</v>
      </c>
      <c r="C286" s="24" t="n">
        <v>46240</v>
      </c>
      <c r="D286" s="10">
        <f>MONTH(B286)&amp;"月"</f>
        <v/>
      </c>
      <c r="E286" s="12" t="n">
        <v>1</v>
      </c>
      <c r="F286" s="10" t="n"/>
      <c r="G286" s="10" t="inlineStr">
        <is>
          <t>【アーカイブ公開中】あなたのリポジトリに、昨夜追加されたパッケージ、誰が承認しましたか？ 〜AI・エージェント時代のソフトウェアサプライチェーン統制〜</t>
        </is>
      </c>
      <c r="H286" s="10" t="inlineStr">
        <is>
          <t>JFrog Japan株式会社</t>
        </is>
      </c>
      <c r="I286" s="10" t="n"/>
      <c r="J286" s="10" t="inlineStr">
        <is>
          <t>TECH PLAY</t>
        </is>
      </c>
      <c r="K286" s="10" t="inlineStr">
        <is>
          <t>オンライン</t>
        </is>
      </c>
      <c r="L286" s="10" t="n"/>
      <c r="M286" s="10" t="inlineStr">
        <is>
          <t>生産管理・製造・SCM</t>
        </is>
      </c>
      <c r="N286" s="10" t="inlineStr">
        <is>
          <t>AIエージェント</t>
        </is>
      </c>
      <c r="O286" s="12" t="inlineStr">
        <is>
          <t>◎</t>
        </is>
      </c>
      <c r="P286" s="13" t="n">
        <v>42</v>
      </c>
      <c r="Q286" s="12" t="inlineStr">
        <is>
          <t>申込者数</t>
        </is>
      </c>
      <c r="R286" s="14" t="n">
        <v>150</v>
      </c>
      <c r="S286" s="10" t="n"/>
      <c r="T286" s="10" t="inlineStr">
        <is>
          <t>アーカイブ https://us02web.zoom.us/rec/share/xTrNlcrYkN5mTNpvcYOOQUtJ54_Xk8Xig05wyADfoWTTHbk5ZXhm6lZn8omoDsl2.MzSnBvLlz_hMShcX?startTime=1786005906000 パスコード: u^8Hr%+x 概要 Codex、Claude Code、Cursor、Devinをはじめとする AIコーディング/エージェントの本</t>
        </is>
      </c>
      <c r="U286" s="15" t="inlineStr">
        <is>
          <t>https://techplay.jp/event/998336</t>
        </is>
      </c>
      <c r="V286" s="10" t="n"/>
      <c r="W286" s="10" t="inlineStr">
        <is>
          <t>タイトル一致</t>
        </is>
      </c>
      <c r="X286" s="10" t="n"/>
    </row>
    <row r="287">
      <c r="A287" s="10" t="n">
        <v>286</v>
      </c>
      <c r="B287" s="24" t="n">
        <v>46240</v>
      </c>
      <c r="C287" s="24" t="n">
        <v>46240</v>
      </c>
      <c r="D287" s="10">
        <f>MONTH(B287)&amp;"月"</f>
        <v/>
      </c>
      <c r="E287" s="12" t="n">
        <v>1</v>
      </c>
      <c r="F287" s="10" t="n"/>
      <c r="G287" s="10" t="inlineStr">
        <is>
          <t>【初心者歓迎】Claude Code のベストプラクティスを知りたいひと集まれ 第二弾！</t>
        </is>
      </c>
      <c r="H287" s="10" t="inlineStr">
        <is>
          <t>ペチオブ</t>
        </is>
      </c>
      <c r="I287" s="10" t="n"/>
      <c r="J287" s="10" t="inlineStr">
        <is>
          <t>connpass</t>
        </is>
      </c>
      <c r="K287" s="10" t="inlineStr">
        <is>
          <t>会場</t>
        </is>
      </c>
      <c r="L287" s="10" t="inlineStr">
        <is>
          <t>東京都千代田区鍛冶町2-8-14AD神田駅東口ビルⅡ 3F</t>
        </is>
      </c>
      <c r="M287" s="10" t="inlineStr">
        <is>
          <t>開発生産性</t>
        </is>
      </c>
      <c r="N287" s="10" t="inlineStr">
        <is>
          <t>AIエージェント</t>
        </is>
      </c>
      <c r="O287" s="12" t="inlineStr">
        <is>
          <t>○</t>
        </is>
      </c>
      <c r="P287" s="13" t="n">
        <v>45</v>
      </c>
      <c r="Q287" s="12" t="inlineStr">
        <is>
          <t>参加者数</t>
        </is>
      </c>
      <c r="R287" s="14" t="n"/>
      <c r="S287" s="10" t="n"/>
      <c r="T287" s="10" t="n"/>
      <c r="U287" s="15" t="inlineStr">
        <is>
          <t>https://phper-oop.connpass.com/event/398585/</t>
        </is>
      </c>
      <c r="V287" s="10" t="n"/>
      <c r="W287" s="10" t="inlineStr">
        <is>
          <t>タイトル一致</t>
        </is>
      </c>
      <c r="X287" s="10" t="n"/>
    </row>
    <row r="288">
      <c r="A288" s="10" t="n">
        <v>287</v>
      </c>
      <c r="B288" s="24" t="n">
        <v>46240</v>
      </c>
      <c r="C288" s="24" t="n">
        <v>46270</v>
      </c>
      <c r="D288" s="10">
        <f>MONTH(B288)&amp;"月"</f>
        <v/>
      </c>
      <c r="E288" s="12" t="n">
        <v>1</v>
      </c>
      <c r="F288" s="10" t="n"/>
      <c r="G288" s="10" t="inlineStr">
        <is>
          <t>【無料アーカイブ配信・9/5（土）まで】日経メッセ プレミアム・カンファレンス・シリーズ～AIエージェント時代の音声コミュニケーション戦略～</t>
        </is>
      </c>
      <c r="H288" s="10" t="inlineStr">
        <is>
          <t>株式会社wevnal</t>
        </is>
      </c>
      <c r="I288" s="10" t="n"/>
      <c r="J288" s="10" t="inlineStr">
        <is>
          <t>TECH PLAY</t>
        </is>
      </c>
      <c r="K288" s="10" t="inlineStr">
        <is>
          <t>オンライン</t>
        </is>
      </c>
      <c r="L288" s="10" t="n"/>
      <c r="M288" s="10" t="inlineStr">
        <is>
          <t>営業・マーケ・CS</t>
        </is>
      </c>
      <c r="N288" s="10" t="inlineStr">
        <is>
          <t>AIエージェント</t>
        </is>
      </c>
      <c r="O288" s="12" t="inlineStr">
        <is>
          <t>◎</t>
        </is>
      </c>
      <c r="P288" s="13" t="n">
        <v>1</v>
      </c>
      <c r="Q288" s="12" t="inlineStr">
        <is>
          <t>申込者数</t>
        </is>
      </c>
      <c r="R288" s="14" t="n">
        <v>20</v>
      </c>
      <c r="S288" s="10" t="n"/>
      <c r="T288" s="10" t="inlineStr">
        <is>
          <t>開催概要 2026年7月28日(火)に開催された、日経メッセ プレミアム・カンファレンス・シリーズ「AIエージェント時代の音声コミュニケーション戦略 〜顧客体験最適化とコンプライアンス強化の両立〜」（主催：日本経済新聞社）の全セッションをアーカイブ配信しております。 営業・接客・コールセンターなどの現場では、商談記録の属人化や対応品質のばらつき、不適切対応や不正行為、カスタマーハラスメントへの備えが重要な課題となっています。とりわけ対面</t>
        </is>
      </c>
      <c r="U288" s="15" t="inlineStr">
        <is>
          <t>https://techplay.jp/event/999276</t>
        </is>
      </c>
      <c r="V288" s="10" t="n"/>
      <c r="W288" s="10" t="inlineStr">
        <is>
          <t>タイトル一致</t>
        </is>
      </c>
      <c r="X288" s="10" t="n"/>
    </row>
    <row r="289">
      <c r="A289" s="10" t="n">
        <v>288</v>
      </c>
      <c r="B289" s="24" t="n">
        <v>46240</v>
      </c>
      <c r="C289" s="24" t="n">
        <v>46240</v>
      </c>
      <c r="D289" s="10">
        <f>MONTH(B289)&amp;"月"</f>
        <v/>
      </c>
      <c r="E289" s="12" t="n">
        <v>1</v>
      </c>
      <c r="F289" s="10" t="n"/>
      <c r="G289" s="10" t="inlineStr">
        <is>
          <t>オンラインセミナー『毎月30万円、払いすぎていませんか? AIで見直すシステム費・人件費のムダ』</t>
        </is>
      </c>
      <c r="H289" s="10" t="inlineStr">
        <is>
          <t>オンラインセミナー『毎月30万円、払いすぎていませんか? AIで見直すシステム費・人件費のムダ』事務局</t>
        </is>
      </c>
      <c r="I289" s="10" t="n"/>
      <c r="J289" s="10" t="inlineStr">
        <is>
          <t>こくちーずプロ</t>
        </is>
      </c>
      <c r="K289" s="10" t="inlineStr">
        <is>
          <t>オンライン</t>
        </is>
      </c>
      <c r="L289" s="10" t="inlineStr">
        <is>
          <t>オンライン 日本</t>
        </is>
      </c>
      <c r="M289" s="10" t="inlineStr">
        <is>
          <t>営業・マーケ・CS</t>
        </is>
      </c>
      <c r="N289" s="10" t="inlineStr">
        <is>
          <t>AIエージェント</t>
        </is>
      </c>
      <c r="O289" s="12" t="inlineStr">
        <is>
          <t>○</t>
        </is>
      </c>
      <c r="P289" s="13" t="n">
        <v>2</v>
      </c>
      <c r="Q289" s="12" t="inlineStr">
        <is>
          <t>参加者数</t>
        </is>
      </c>
      <c r="R289" s="14" t="n">
        <v>20</v>
      </c>
      <c r="S289" s="10" t="n"/>
      <c r="T289" s="10" t="inlineStr">
        <is>
          <t>セミナー概要 毎月30万円、払いすぎていませんか？ 使い切れていないSaaS・ITツール、システム会社への保守費用、ホームページの更新費、データ入力や帳票作成にかかる人件費。これまで必要だと思って支払ってきた費用も、AIの進化によって見直せるようになっています。 AIエージェントをシステムに組み込めば、入力、確認、集計、通知、資料作成といった業務を自動化できます。社内システムや基幹システムも、修正のたびに開発会社へ依頼するのではなく、自</t>
        </is>
      </c>
      <c r="U289" s="15" t="inlineStr">
        <is>
          <t>https://www.kokuchpro.com/event/2dda0f2c2e43167cd05d1576d2644460/</t>
        </is>
      </c>
      <c r="V289" s="10" t="n"/>
      <c r="W289" s="10" t="inlineStr">
        <is>
          <t>本文一致</t>
        </is>
      </c>
      <c r="X289" s="10" t="n"/>
    </row>
    <row r="290">
      <c r="A290" s="10" t="n">
        <v>289</v>
      </c>
      <c r="B290" s="24" t="n">
        <v>46240</v>
      </c>
      <c r="C290" s="24" t="n">
        <v>46240</v>
      </c>
      <c r="D290" s="10">
        <f>MONTH(B290)&amp;"月"</f>
        <v/>
      </c>
      <c r="E290" s="12" t="n">
        <v>1</v>
      </c>
      <c r="F290" s="10" t="n"/>
      <c r="G290" s="10" t="inlineStr">
        <is>
          <t>マーケティングAI社員(Codex)でシステムを構築するライブセミナー</t>
        </is>
      </c>
      <c r="H290" s="10" t="inlineStr">
        <is>
          <t>えるらぼ事務局</t>
        </is>
      </c>
      <c r="I290" s="10" t="n"/>
      <c r="J290" s="10" t="inlineStr">
        <is>
          <t>こくちーずプロ</t>
        </is>
      </c>
      <c r="K290" s="10" t="inlineStr">
        <is>
          <t>オンライン</t>
        </is>
      </c>
      <c r="L290" s="10" t="inlineStr">
        <is>
          <t>オンライン 日本</t>
        </is>
      </c>
      <c r="M290" s="10" t="inlineStr">
        <is>
          <t>営業・マーケ・CS</t>
        </is>
      </c>
      <c r="N290" s="10" t="inlineStr">
        <is>
          <t>AIエージェント</t>
        </is>
      </c>
      <c r="O290" s="12" t="inlineStr">
        <is>
          <t>◎</t>
        </is>
      </c>
      <c r="P290" s="13" t="n">
        <v>0</v>
      </c>
      <c r="Q290" s="12" t="inlineStr">
        <is>
          <t>参加者数</t>
        </is>
      </c>
      <c r="R290" s="14" t="n">
        <v>10</v>
      </c>
      <c r="S290" s="10" t="n"/>
      <c r="T290" s="10" t="inlineStr">
        <is>
          <t>年商1000万円〜3000万円で頭打ちの経営者の方へ。 LP、LINE、申込フォーム、決済、顧客フォロー。 これらを外注に依頼して作ったものの、 「中身がよくわからない」 「自社で修正・改善できない」 「担当者や外注先が変わると、また一から説明が必要になる」 と感じたことはありませんか？ 外注すること自体が悪いわけではありません。 問題は、設計や判断基準まで外注任せになり、 会社の中にノウハウや収益導線が残らないことです。 今回のライブ</t>
        </is>
      </c>
      <c r="U290" s="15" t="inlineStr">
        <is>
          <t>https://www.kokuchpro.com/event/7c56a9d1407ab0e8142d8a6060aae585/</t>
        </is>
      </c>
      <c r="V290" s="10" t="n"/>
      <c r="W290" s="10" t="inlineStr">
        <is>
          <t>タイトル一致</t>
        </is>
      </c>
      <c r="X290" s="10" t="n"/>
    </row>
    <row r="291">
      <c r="A291" s="10" t="n">
        <v>290</v>
      </c>
      <c r="B291" s="24" t="n">
        <v>46240</v>
      </c>
      <c r="C291" s="24" t="n">
        <v>46240</v>
      </c>
      <c r="D291" s="10">
        <f>MONTH(B291)&amp;"月"</f>
        <v/>
      </c>
      <c r="E291" s="12" t="n">
        <v>1</v>
      </c>
      <c r="F291" s="10" t="n"/>
      <c r="G291" s="10" t="inlineStr">
        <is>
          <t>毎月30万円、払いすぎていませんか?  AIエージェントで見直すシステム費・人件費のムダ</t>
        </is>
      </c>
      <c r="H291" s="10" t="inlineStr">
        <is>
          <t>HELATH株式会社</t>
        </is>
      </c>
      <c r="I291" s="10" t="n"/>
      <c r="J291" s="10" t="inlineStr">
        <is>
          <t>TECH PLAY</t>
        </is>
      </c>
      <c r="K291" s="10" t="inlineStr">
        <is>
          <t>オンライン</t>
        </is>
      </c>
      <c r="L291" s="10" t="n"/>
      <c r="M291" s="10" t="inlineStr">
        <is>
          <t>営業・マーケ・CS</t>
        </is>
      </c>
      <c r="N291" s="10" t="inlineStr">
        <is>
          <t>AIエージェント</t>
        </is>
      </c>
      <c r="O291" s="12" t="inlineStr">
        <is>
          <t>◎</t>
        </is>
      </c>
      <c r="P291" s="13" t="n">
        <v>2</v>
      </c>
      <c r="Q291" s="12" t="inlineStr">
        <is>
          <t>申込者数</t>
        </is>
      </c>
      <c r="R291" s="14" t="n">
        <v>20</v>
      </c>
      <c r="S291" s="10" t="n"/>
      <c r="T291" s="10" t="inlineStr">
        <is>
          <t>セミナー概要 毎月30万円、払いすぎていませんか？ 使い切れていないSaaS・ITツール、システム会社への保守費用、ホームページの更新費、データ入力や帳票作成にかかる人件費。これまで必要だと思って支払ってきた費用も、AIの進化によって見直せるようになっています。 AIエージェントをシステムに組み込めば、入力、確認、集計、通知、資料作成といった業務を自動化できます。社内システムや基幹システムも、修正のたびに開発会社へ依頼するのではなく、自</t>
        </is>
      </c>
      <c r="U291" s="15" t="inlineStr">
        <is>
          <t>https://techplay.jp/event/998564</t>
        </is>
      </c>
      <c r="V291" s="10" t="n"/>
      <c r="W291" s="10" t="inlineStr">
        <is>
          <t>タイトル一致</t>
        </is>
      </c>
      <c r="X291" s="10" t="n"/>
    </row>
    <row r="292">
      <c r="A292" s="10" t="n">
        <v>291</v>
      </c>
      <c r="B292" s="24" t="n">
        <v>46240</v>
      </c>
      <c r="C292" s="24" t="n">
        <v>46240</v>
      </c>
      <c r="D292" s="10">
        <f>MONTH(B292)&amp;"月"</f>
        <v/>
      </c>
      <c r="E292" s="12" t="n">
        <v>1</v>
      </c>
      <c r="F292" s="10" t="n"/>
      <c r="G292" s="10" t="inlineStr">
        <is>
          <t>無料で始める Docker Sandboxes 入門</t>
        </is>
      </c>
      <c r="H292" s="10" t="inlineStr">
        <is>
          <t>エクセルソフト株式会社</t>
        </is>
      </c>
      <c r="I292" s="10" t="n"/>
      <c r="J292" s="10" t="inlineStr">
        <is>
          <t>TECH PLAY</t>
        </is>
      </c>
      <c r="K292" s="10" t="inlineStr">
        <is>
          <t>オンライン</t>
        </is>
      </c>
      <c r="L292" s="10" t="n"/>
      <c r="M292" s="10" t="inlineStr">
        <is>
          <t>営業・マーケ・CS</t>
        </is>
      </c>
      <c r="N292" s="10" t="inlineStr">
        <is>
          <t>AIエージェント</t>
        </is>
      </c>
      <c r="O292" s="12" t="inlineStr">
        <is>
          <t>○</t>
        </is>
      </c>
      <c r="P292" s="13" t="n">
        <v>5</v>
      </c>
      <c r="Q292" s="12" t="inlineStr">
        <is>
          <t>申込者数</t>
        </is>
      </c>
      <c r="R292" s="14" t="n">
        <v>50</v>
      </c>
      <c r="S292" s="10" t="n"/>
      <c r="T292" s="10" t="inlineStr">
        <is>
          <t>無料で始める Docker Sandboxes 入門 〜 AI 活用を支える安全な実行環境の第一歩 概要 AI エージェントや生成 AI の活用が進む中、安全な実行環境の重要性が高まっています。本ウェビナーでは、無料で利用できる Docker Sandboxes の概要をご紹介するとともに、実際のデモを通じて基本的な利用イメージをご覧いただきます。 また、個人利用からチーム、組織利用へと活用を広げる際に求められる管理や統制の考え方につい</t>
        </is>
      </c>
      <c r="U292" s="15" t="inlineStr">
        <is>
          <t>https://techplay.jp/event/998379</t>
        </is>
      </c>
      <c r="V292" s="10" t="n"/>
      <c r="W292" s="10" t="inlineStr">
        <is>
          <t>本文一致</t>
        </is>
      </c>
      <c r="X292" s="10" t="n"/>
    </row>
    <row r="293">
      <c r="A293" s="10" t="n">
        <v>292</v>
      </c>
      <c r="B293" s="24" t="n">
        <v>46240</v>
      </c>
      <c r="C293" s="24" t="n">
        <v>46240</v>
      </c>
      <c r="D293" s="10">
        <f>MONTH(B293)&amp;"月"</f>
        <v/>
      </c>
      <c r="E293" s="12" t="n">
        <v>1</v>
      </c>
      <c r="F293" s="10" t="n"/>
      <c r="G293" s="10" t="inlineStr">
        <is>
          <t>熟練者のノウハウをAIで継承―スキル継承×暗黙知の可視化で実現</t>
        </is>
      </c>
      <c r="H293" s="10" t="inlineStr">
        <is>
          <t>ストックマーク</t>
        </is>
      </c>
      <c r="I293" s="10" t="n"/>
      <c r="J293" s="10" t="inlineStr">
        <is>
          <t>個別調査（公式サイト・PR TIMES等）</t>
        </is>
      </c>
      <c r="K293" s="10" t="inlineStr">
        <is>
          <t>オンライン</t>
        </is>
      </c>
      <c r="L293" s="10" t="n"/>
      <c r="M293" s="10" t="inlineStr">
        <is>
          <t>生産管理・製造・SCM</t>
        </is>
      </c>
      <c r="N293" s="10" t="inlineStr">
        <is>
          <t>AIエージェント</t>
        </is>
      </c>
      <c r="O293" s="12" t="inlineStr">
        <is>
          <t>◎</t>
        </is>
      </c>
      <c r="P293" s="13" t="n"/>
      <c r="Q293" s="12" t="inlineStr">
        <is>
          <t>不明</t>
        </is>
      </c>
      <c r="R293" s="14" t="n"/>
      <c r="S293" s="10" t="inlineStr">
        <is>
          <t>2026/4/22開催回の再配信</t>
        </is>
      </c>
      <c r="T293" s="10" t="inlineStr">
        <is>
          <t>製造業向けAIエージェント「Aconnect」を使い、熟練者の暗黙知を可視化して技能を継承する方法を紹介する。</t>
        </is>
      </c>
      <c r="U293" s="15" t="inlineStr">
        <is>
          <t>https://aconnect.stockmark.co.jp/seminar/20260806/</t>
        </is>
      </c>
      <c r="V293" s="10" t="n"/>
      <c r="W293" s="10" t="inlineStr">
        <is>
          <t>個別確認</t>
        </is>
      </c>
      <c r="X293" s="10" t="n"/>
    </row>
    <row r="294">
      <c r="A294" s="10" t="n">
        <v>293</v>
      </c>
      <c r="B294" s="24" t="n">
        <v>46241</v>
      </c>
      <c r="C294" s="24" t="n">
        <v>46241</v>
      </c>
      <c r="D294" s="10">
        <f>MONTH(B294)&amp;"月"</f>
        <v/>
      </c>
      <c r="E294" s="12" t="n">
        <v>1</v>
      </c>
      <c r="F294" s="10" t="n"/>
      <c r="G294" s="10" t="inlineStr">
        <is>
          <t>8/7 Claude Codeエンジニア回　「指示待ちClaude、卒業。」</t>
        </is>
      </c>
      <c r="H294" s="10" t="inlineStr">
        <is>
          <t>KatsuYoshitake</t>
        </is>
      </c>
      <c r="I294" s="10" t="n"/>
      <c r="J294" s="10" t="inlineStr">
        <is>
          <t>connpass</t>
        </is>
      </c>
      <c r="K294" s="10" t="inlineStr">
        <is>
          <t>会場</t>
        </is>
      </c>
      <c r="L294" s="10" t="inlineStr">
        <is>
          <t>(場所未定)</t>
        </is>
      </c>
      <c r="M294" s="10" t="inlineStr">
        <is>
          <t>開発生産性</t>
        </is>
      </c>
      <c r="N294" s="10" t="inlineStr">
        <is>
          <t>AIエージェント</t>
        </is>
      </c>
      <c r="O294" s="12" t="inlineStr">
        <is>
          <t>○</t>
        </is>
      </c>
      <c r="P294" s="13" t="n">
        <v>2</v>
      </c>
      <c r="Q294" s="12" t="inlineStr">
        <is>
          <t>参加者数</t>
        </is>
      </c>
      <c r="R294" s="14" t="n">
        <v>5</v>
      </c>
      <c r="S294" s="10" t="n"/>
      <c r="T294" s="10" t="n"/>
      <c r="U294" s="15" t="inlineStr">
        <is>
          <t>https://connpass.com/event/402027/</t>
        </is>
      </c>
      <c r="V294" s="10" t="n"/>
      <c r="W294" s="10" t="inlineStr">
        <is>
          <t>タイトル一致</t>
        </is>
      </c>
      <c r="X294" s="10" t="n"/>
    </row>
    <row r="295">
      <c r="A295" s="10" t="n">
        <v>294</v>
      </c>
      <c r="B295" s="24" t="n">
        <v>46241</v>
      </c>
      <c r="C295" s="24" t="n">
        <v>46241</v>
      </c>
      <c r="D295" s="10">
        <f>MONTH(B295)&amp;"月"</f>
        <v/>
      </c>
      <c r="E295" s="12" t="n">
        <v>1</v>
      </c>
      <c r="F295" s="10" t="n"/>
      <c r="G295" s="10" t="inlineStr">
        <is>
          <t>Postmanオンラインワークショップ - MCP入門（MCP 2026-07-28版対応）</t>
        </is>
      </c>
      <c r="H295" s="10" t="inlineStr">
        <is>
          <t>Postman</t>
        </is>
      </c>
      <c r="I295" s="10" t="n"/>
      <c r="J295" s="10" t="inlineStr">
        <is>
          <t>connpass</t>
        </is>
      </c>
      <c r="K295" s="10" t="inlineStr">
        <is>
          <t>オンライン</t>
        </is>
      </c>
      <c r="L295" s="10" t="inlineStr">
        <is>
          <t>オンライン</t>
        </is>
      </c>
      <c r="M295" s="10" t="inlineStr">
        <is>
          <t>技術・AI全般</t>
        </is>
      </c>
      <c r="N295" s="10" t="inlineStr">
        <is>
          <t>MCP</t>
        </is>
      </c>
      <c r="O295" s="12" t="inlineStr">
        <is>
          <t>○</t>
        </is>
      </c>
      <c r="P295" s="13" t="n">
        <v>29</v>
      </c>
      <c r="Q295" s="12" t="inlineStr">
        <is>
          <t>参加者数</t>
        </is>
      </c>
      <c r="R295" s="14" t="n">
        <v>30</v>
      </c>
      <c r="S295" s="10" t="n"/>
      <c r="T295" s="10" t="n"/>
      <c r="U295" s="15" t="inlineStr">
        <is>
          <t>https://postman.connpass.com/event/399749/</t>
        </is>
      </c>
      <c r="V295" s="10" t="n"/>
      <c r="W295" s="10" t="inlineStr">
        <is>
          <t>タイトル一致</t>
        </is>
      </c>
      <c r="X295" s="10" t="n"/>
    </row>
    <row r="296">
      <c r="A296" s="10" t="n">
        <v>295</v>
      </c>
      <c r="B296" s="24" t="n">
        <v>46241</v>
      </c>
      <c r="C296" s="24" t="n">
        <v>46241</v>
      </c>
      <c r="D296" s="10">
        <f>MONTH(B296)&amp;"月"</f>
        <v/>
      </c>
      <c r="E296" s="12" t="n">
        <v>1</v>
      </c>
      <c r="F296" s="10" t="n"/>
      <c r="G296" s="10" t="inlineStr">
        <is>
          <t>「AI-OCRの限界」を、AIエージェント技術で突破──『コゾカAI 受注AIエージェント』ウェビナーを開催</t>
        </is>
      </c>
      <c r="H296" s="10" t="inlineStr">
        <is>
          <t>株式会社kozokaAI</t>
        </is>
      </c>
      <c r="I296" s="10" t="n"/>
      <c r="J296" s="10" t="inlineStr">
        <is>
          <t>PR TIMES</t>
        </is>
      </c>
      <c r="K296" s="10" t="inlineStr">
        <is>
          <t>online</t>
        </is>
      </c>
      <c r="L296" s="10" t="inlineStr">
        <is>
          <t>オンライン開催</t>
        </is>
      </c>
      <c r="M296" s="10" t="inlineStr">
        <is>
          <t>生産管理・製造・SCM</t>
        </is>
      </c>
      <c r="N296" s="10" t="inlineStr">
        <is>
          <t>AIエージェント</t>
        </is>
      </c>
      <c r="O296" s="12" t="inlineStr">
        <is>
          <t>◎</t>
        </is>
      </c>
      <c r="P296" s="13" t="n"/>
      <c r="Q296" s="12" t="inlineStr">
        <is>
          <t>不明</t>
        </is>
      </c>
      <c r="R296" s="14" t="n"/>
      <c r="S296" s="10" t="n"/>
      <c r="T296" s="10" t="inlineStr">
        <is>
          <t>株式会社kozokaAI（本社：東京都渋谷区、代表取締役：藤井 星多、以下「kozokaAI」）は、製造業・流通業・卸売業の受注業務をAIエージェント化する「コゾカAI 受注AIエージェント」の新UIを紹介するウェビナーを開催します。 本ウェビナーでは、FAX・メール・PDFで届く注文書をAIが読み取り、商品特定、得意先別ルールの参照、例外処理、基幹システムへの登録候補作成までを支援する新UIについて、実際のデモを交えて紹介します。 A</t>
        </is>
      </c>
      <c r="U296" s="15" t="inlineStr">
        <is>
          <t>https://prtimes.jp/main/html/rd/p/000000009.000175889.html</t>
        </is>
      </c>
      <c r="V296" s="10" t="n"/>
      <c r="W296" s="10" t="inlineStr">
        <is>
          <t>タイトル一致</t>
        </is>
      </c>
      <c r="X296" s="10" t="n"/>
    </row>
    <row r="297">
      <c r="A297" s="10" t="n">
        <v>296</v>
      </c>
      <c r="B297" s="24" t="n">
        <v>46241</v>
      </c>
      <c r="C297" s="24" t="n">
        <v>46241</v>
      </c>
      <c r="D297" s="10">
        <f>MONTH(B297)&amp;"月"</f>
        <v/>
      </c>
      <c r="E297" s="12" t="n">
        <v>1</v>
      </c>
      <c r="F297" s="10" t="n"/>
      <c r="G297" s="10" t="inlineStr">
        <is>
          <t>【AI Dev Day 2026 アンコール】なぜ、あなたのエージェントは言うことを聞かないのか</t>
        </is>
      </c>
      <c r="H297" s="10" t="inlineStr">
        <is>
          <t>ジェネラティブエージェンツ / Generative Agents</t>
        </is>
      </c>
      <c r="I297" s="10" t="n"/>
      <c r="J297" s="10" t="inlineStr">
        <is>
          <t>connpass</t>
        </is>
      </c>
      <c r="K297" s="10" t="inlineStr">
        <is>
          <t>会場</t>
        </is>
      </c>
      <c r="L297" s="10" t="inlineStr">
        <is>
          <t>「参加者への情報」をご確認ください</t>
        </is>
      </c>
      <c r="M297" s="10" t="inlineStr">
        <is>
          <t>技術・AI全般</t>
        </is>
      </c>
      <c r="N297" s="10" t="inlineStr">
        <is>
          <t>AIエージェント</t>
        </is>
      </c>
      <c r="O297" s="12" t="inlineStr">
        <is>
          <t>○</t>
        </is>
      </c>
      <c r="P297" s="13" t="n">
        <v>129</v>
      </c>
      <c r="Q297" s="12" t="inlineStr">
        <is>
          <t>参加者数</t>
        </is>
      </c>
      <c r="R297" s="14" t="n"/>
      <c r="S297" s="10" t="n"/>
      <c r="T297" s="10" t="n"/>
      <c r="U297" s="15" t="inlineStr">
        <is>
          <t>https://generative-agents.connpass.com/event/401909/</t>
        </is>
      </c>
      <c r="V297" s="10" t="n"/>
      <c r="W297" s="10" t="inlineStr">
        <is>
          <t>タイトル一致</t>
        </is>
      </c>
      <c r="X297" s="10" t="n"/>
    </row>
    <row r="298">
      <c r="A298" s="10" t="n">
        <v>297</v>
      </c>
      <c r="B298" s="24" t="n">
        <v>46241</v>
      </c>
      <c r="C298" s="24" t="n">
        <v>46252</v>
      </c>
      <c r="D298" s="10">
        <f>MONTH(B298)&amp;"月"</f>
        <v/>
      </c>
      <c r="E298" s="12" t="n">
        <v>1</v>
      </c>
      <c r="F298" s="10" t="n"/>
      <c r="G298" s="10" t="inlineStr">
        <is>
          <t>【ウェビナー初開催】建設AI最前線！大手ゼネコンが注目する「kencopa工程AIエージェント」の全貌を公開</t>
        </is>
      </c>
      <c r="H298" s="10" t="inlineStr">
        <is>
          <t>株式会社KENCOPA</t>
        </is>
      </c>
      <c r="I298" s="10" t="n"/>
      <c r="J298" s="10" t="inlineStr">
        <is>
          <t>PR TIMES</t>
        </is>
      </c>
      <c r="K298" s="10" t="inlineStr">
        <is>
          <t>online</t>
        </is>
      </c>
      <c r="L298" s="10" t="inlineStr">
        <is>
          <t>オンライン</t>
        </is>
      </c>
      <c r="M298" s="10" t="inlineStr">
        <is>
          <t>生産管理・製造・SCM</t>
        </is>
      </c>
      <c r="N298" s="10" t="inlineStr">
        <is>
          <t>AIエージェント</t>
        </is>
      </c>
      <c r="O298" s="12" t="inlineStr">
        <is>
          <t>◎</t>
        </is>
      </c>
      <c r="P298" s="13" t="n"/>
      <c r="Q298" s="12" t="inlineStr">
        <is>
          <t>不明</t>
        </is>
      </c>
      <c r="R298" s="14" t="n"/>
      <c r="S298" s="10" t="n"/>
      <c r="T298" s="10" t="inlineStr">
        <is>
          <t>2026年8月7日(金)10:00～ および 8月18日(火)16:00～の2回開催。建設現場の省人化・自動化に挑むKENCOPA（代表取締役CEO：安村荘佑、本社：東京都渋谷区）は、ゼネコン、サブコン、プラント事業者を対象とした無料ウェビナーを開催します。 本ウェビナーでは、設計図書をアップロードすることで工程表を生成・編集できる「Kencopa工程AIエージェント」の機能を、実際のデモを交えて紹介します。AIを活用した工程表作成の進</t>
        </is>
      </c>
      <c r="U298" s="15" t="inlineStr">
        <is>
          <t>https://prtimes.jp/main/html/rd/p/000000021.000166783.html</t>
        </is>
      </c>
      <c r="V298" s="10" t="n"/>
      <c r="W298" s="10" t="inlineStr">
        <is>
          <t>タイトル一致</t>
        </is>
      </c>
      <c r="X298" s="10" t="n"/>
    </row>
    <row r="299">
      <c r="A299" s="10" t="n">
        <v>298</v>
      </c>
      <c r="B299" s="24" t="n">
        <v>46241</v>
      </c>
      <c r="C299" s="24" t="n">
        <v>46253</v>
      </c>
      <c r="D299" s="10">
        <f>MONTH(B299)&amp;"月"</f>
        <v/>
      </c>
      <c r="E299" s="12" t="n">
        <v>2</v>
      </c>
      <c r="F299" s="10" t="inlineStr">
        <is>
          <t>08/07、08/19</t>
        </is>
      </c>
      <c r="G299" s="10" t="inlineStr">
        <is>
          <t>【再放送】医療機関が狙われる時代、“把握できていない機器”が最大の脅威に 〜ランサムウェア被害の現実と、エージェントレスで始める端末の把握と自動遮断〜</t>
        </is>
      </c>
      <c r="H299" s="10" t="inlineStr">
        <is>
          <t>株式会社PFU</t>
        </is>
      </c>
      <c r="I299" s="10" t="inlineStr">
        <is>
          <t>マジセミ株式会社</t>
        </is>
      </c>
      <c r="J299" s="10" t="inlineStr">
        <is>
          <t>Doorkeeper</t>
        </is>
      </c>
      <c r="K299" s="10" t="inlineStr">
        <is>
          <t>不明</t>
        </is>
      </c>
      <c r="L299" s="10" t="n"/>
      <c r="M299" s="10" t="inlineStr">
        <is>
          <t>生産性向上・業務効率化</t>
        </is>
      </c>
      <c r="N299" s="10" t="inlineStr">
        <is>
          <t>AIエージェント</t>
        </is>
      </c>
      <c r="O299" s="12" t="inlineStr">
        <is>
          <t>○</t>
        </is>
      </c>
      <c r="P299" s="13" t="n">
        <v>0</v>
      </c>
      <c r="Q299" s="12" t="inlineStr">
        <is>
          <t>参加者数</t>
        </is>
      </c>
      <c r="R299" s="14" t="n"/>
      <c r="S299" s="10" t="inlineStr">
        <is>
          <t>全2回の合計</t>
        </is>
      </c>
      <c r="T299" s="10" t="inlineStr">
        <is>
          <t xml:space="preserve"> 本セミナーはWebセミナーです。 ツールはSPEAKERSを使います。URLは直前にメールにてご連絡いたします。 なお、「osslabo.com」「majisemi.com」からのメールが迷惑メールとならないよう、メールの設定をご確認ください。 本セミナーは2026年7月23日に開催されたセミナーの再放送です。 多くのご要望をいただきましたので、再放送の開催が決まりました。 医療DXとガイドライン7.0版で高まる、接続機器管理の重要性</t>
        </is>
      </c>
      <c r="U299" s="15" t="inlineStr">
        <is>
          <t>https://majisemi-operation.doorkeeper.jp/events/198323</t>
        </is>
      </c>
      <c r="V299" s="10" t="n"/>
      <c r="W299" s="10" t="inlineStr">
        <is>
          <t>本文一致</t>
        </is>
      </c>
      <c r="X299" s="10" t="n"/>
    </row>
    <row r="300">
      <c r="A300" s="10" t="n">
        <v>299</v>
      </c>
      <c r="B300" s="24" t="n">
        <v>46241</v>
      </c>
      <c r="C300" s="24" t="n">
        <v>46241</v>
      </c>
      <c r="D300" s="10">
        <f>MONTH(B300)&amp;"月"</f>
        <v/>
      </c>
      <c r="E300" s="12" t="n">
        <v>1</v>
      </c>
      <c r="F300" s="10" t="n"/>
      <c r="G300" s="10" t="inlineStr">
        <is>
          <t>なにがちがう？GPT Workハンズオン- Chatを超えたエージェントの活用へ</t>
        </is>
      </c>
      <c r="H300" s="10" t="inlineStr">
        <is>
          <t>エクスプラザ</t>
        </is>
      </c>
      <c r="I300" s="10" t="n"/>
      <c r="J300" s="10" t="inlineStr">
        <is>
          <t>connpass</t>
        </is>
      </c>
      <c r="K300" s="10" t="inlineStr">
        <is>
          <t>会場</t>
        </is>
      </c>
      <c r="L300" s="10" t="inlineStr">
        <is>
          <t>東京都港区六本木4丁目8-5（和幸ビル 4F）</t>
        </is>
      </c>
      <c r="M300" s="10" t="inlineStr">
        <is>
          <t>技術・AI全般</t>
        </is>
      </c>
      <c r="N300" s="10" t="inlineStr">
        <is>
          <t>AIエージェント</t>
        </is>
      </c>
      <c r="O300" s="12" t="inlineStr">
        <is>
          <t>○</t>
        </is>
      </c>
      <c r="P300" s="13" t="n">
        <v>69</v>
      </c>
      <c r="Q300" s="12" t="inlineStr">
        <is>
          <t>参加者数</t>
        </is>
      </c>
      <c r="R300" s="14" t="n"/>
      <c r="S300" s="10" t="n"/>
      <c r="T300" s="10" t="n"/>
      <c r="U300" s="15" t="inlineStr">
        <is>
          <t>https://explaza.connpass.com/event/401876/</t>
        </is>
      </c>
      <c r="V300" s="10" t="n"/>
      <c r="W300" s="10" t="inlineStr">
        <is>
          <t>タイトル一致</t>
        </is>
      </c>
      <c r="X300" s="10" t="n"/>
    </row>
    <row r="301">
      <c r="A301" s="10" t="n">
        <v>300</v>
      </c>
      <c r="B301" s="24" t="n">
        <v>46241</v>
      </c>
      <c r="C301" s="24" t="n">
        <v>46241</v>
      </c>
      <c r="D301" s="10">
        <f>MONTH(B301)&amp;"月"</f>
        <v/>
      </c>
      <c r="E301" s="12" t="n">
        <v>1</v>
      </c>
      <c r="F301" s="10" t="n"/>
      <c r="G301" s="10" t="inlineStr">
        <is>
          <t>各社PM（プロジェクトマネージャー）が明かす、AIツール活用のリアルな実践知</t>
        </is>
      </c>
      <c r="H301" s="10" t="inlineStr">
        <is>
          <t>TECH Street</t>
        </is>
      </c>
      <c r="I301" s="10" t="n"/>
      <c r="J301" s="10" t="inlineStr">
        <is>
          <t>TECH PLAY</t>
        </is>
      </c>
      <c r="K301" s="10" t="inlineStr">
        <is>
          <t>オンライン</t>
        </is>
      </c>
      <c r="L301" s="10" t="n"/>
      <c r="M301" s="10" t="inlineStr">
        <is>
          <t>営業・マーケ・CS</t>
        </is>
      </c>
      <c r="N301" s="10" t="inlineStr">
        <is>
          <t>AIエージェント</t>
        </is>
      </c>
      <c r="O301" s="12" t="inlineStr">
        <is>
          <t>○</t>
        </is>
      </c>
      <c r="P301" s="13" t="n">
        <v>339</v>
      </c>
      <c r="Q301" s="12" t="inlineStr">
        <is>
          <t>申込者数</t>
        </is>
      </c>
      <c r="R301" s="14" t="n">
        <v>360</v>
      </c>
      <c r="S301" s="10" t="n"/>
      <c r="T301" s="10" t="inlineStr">
        <is>
          <t>生成AIやAIエージェントの台頭により、PM（プロジェクトマネジャー）の業務プロセスは激変しています。 本イベントは、「現場のPMは実際にどのAIツールをどう使いこなしているか？」というリアルな実践知を共有する場です。プロジェクト全体の統括（進捗管理、品質、コスト、関係者調整など）や、プロジェクトを成功させるためのに、実践している具体的なAI活用術を語っていただきます。 参加者にとって、明日からのPM業務を効率化・高度化するヒントを持ち</t>
        </is>
      </c>
      <c r="U301" s="15" t="inlineStr">
        <is>
          <t>https://techplay.jp/event/998406</t>
        </is>
      </c>
      <c r="V301" s="10" t="n"/>
      <c r="W301" s="10" t="inlineStr">
        <is>
          <t>本文一致</t>
        </is>
      </c>
      <c r="X301" s="10" t="n"/>
    </row>
    <row r="302">
      <c r="A302" s="10" t="n">
        <v>301</v>
      </c>
      <c r="B302" s="24" t="n">
        <v>46242</v>
      </c>
      <c r="C302" s="24" t="n">
        <v>46246</v>
      </c>
      <c r="D302" s="10">
        <f>MONTH(B302)&amp;"月"</f>
        <v/>
      </c>
      <c r="E302" s="12" t="n">
        <v>3</v>
      </c>
      <c r="F302" s="10" t="inlineStr">
        <is>
          <t>08/08、08/10、08/12</t>
        </is>
      </c>
      <c r="G302" s="10" t="inlineStr">
        <is>
          <t>Claude Code 業務自動化セミナー/中小企業の経営者・決裁者向け</t>
        </is>
      </c>
      <c r="H302" s="10" t="inlineStr">
        <is>
          <t>株式会社ノヴァリス</t>
        </is>
      </c>
      <c r="I302" s="10" t="n"/>
      <c r="J302" s="10" t="inlineStr">
        <is>
          <t>TECH PLAY</t>
        </is>
      </c>
      <c r="K302" s="10" t="inlineStr">
        <is>
          <t>オンライン</t>
        </is>
      </c>
      <c r="L302" s="10" t="n"/>
      <c r="M302" s="10" t="inlineStr">
        <is>
          <t>生産性向上・業務効率化</t>
        </is>
      </c>
      <c r="N302" s="10" t="inlineStr">
        <is>
          <t>AIエージェント</t>
        </is>
      </c>
      <c r="O302" s="12" t="inlineStr">
        <is>
          <t>◎</t>
        </is>
      </c>
      <c r="P302" s="13" t="n">
        <v>9</v>
      </c>
      <c r="Q302" s="12" t="inlineStr">
        <is>
          <t>申込者数</t>
        </is>
      </c>
      <c r="R302" s="14" t="n">
        <v>90</v>
      </c>
      <c r="S302" s="10" t="inlineStr">
        <is>
          <t>全3回の合計</t>
        </is>
      </c>
      <c r="T302" s="10" t="inlineStr">
        <is>
          <t>Claude Code 業務自動化セミナー/中小企業の経営者・決裁者向け 事務作業に追われる経営を、今日で終わりにする。 請求書、売上集計、顧客フォロー、毎朝のレポート——「限られた人数で回すしかなかった仕事」を、AIがすべて肩代わりします。 パソコンが勝手に動き出し、請求書が作られ、売上がまとまり、レポートが仕上がっていく。増員するでもなく、外注するでもない、第三の選択肢を、60分のライブ実演でお見せします。 しかも、当日お見せするの</t>
        </is>
      </c>
      <c r="U302" s="15" t="inlineStr">
        <is>
          <t>https://techplay.jp/event/999123</t>
        </is>
      </c>
      <c r="V302" s="10" t="n"/>
      <c r="W302" s="10" t="inlineStr">
        <is>
          <t>タイトル一致</t>
        </is>
      </c>
      <c r="X302" s="10" t="n"/>
    </row>
    <row r="303">
      <c r="A303" s="10" t="n">
        <v>302</v>
      </c>
      <c r="B303" s="24" t="n">
        <v>46242</v>
      </c>
      <c r="C303" s="24" t="n">
        <v>46242</v>
      </c>
      <c r="D303" s="10">
        <f>MONTH(B303)&amp;"月"</f>
        <v/>
      </c>
      <c r="E303" s="12" t="n">
        <v>1</v>
      </c>
      <c r="F303" s="10" t="n"/>
      <c r="G303" s="10" t="inlineStr">
        <is>
          <t>【AIと作る未来の開発体験！】Agentic Coding ワークショップ</t>
        </is>
      </c>
      <c r="H303" s="10" t="inlineStr">
        <is>
          <t>GDG on Campus Kobe University</t>
        </is>
      </c>
      <c r="I303" s="10" t="n"/>
      <c r="J303" s="10" t="inlineStr">
        <is>
          <t>connpass</t>
        </is>
      </c>
      <c r="K303" s="10" t="inlineStr">
        <is>
          <t>会場</t>
        </is>
      </c>
      <c r="L303" s="10" t="inlineStr">
        <is>
          <t>兵庫県神戸市中央区​小野柄通７丁目１番１号​ 日本生命三宮駅前ビル11F</t>
        </is>
      </c>
      <c r="M303" s="10" t="inlineStr">
        <is>
          <t>開発生産性</t>
        </is>
      </c>
      <c r="N303" s="10" t="inlineStr">
        <is>
          <t>AIエージェント</t>
        </is>
      </c>
      <c r="O303" s="12" t="inlineStr">
        <is>
          <t>○</t>
        </is>
      </c>
      <c r="P303" s="13" t="n">
        <v>40</v>
      </c>
      <c r="Q303" s="12" t="inlineStr">
        <is>
          <t>参加者数</t>
        </is>
      </c>
      <c r="R303" s="14" t="n"/>
      <c r="S303" s="10" t="n"/>
      <c r="T303" s="10" t="n"/>
      <c r="U303" s="15" t="inlineStr">
        <is>
          <t>https://gdgoc-kobe-univ.connpass.com/event/401176/</t>
        </is>
      </c>
      <c r="V303" s="10" t="n"/>
      <c r="W303" s="10" t="inlineStr">
        <is>
          <t>タイトル一致</t>
        </is>
      </c>
      <c r="X303" s="10" t="n"/>
    </row>
    <row r="304">
      <c r="A304" s="10" t="n">
        <v>303</v>
      </c>
      <c r="B304" s="24" t="n">
        <v>46242</v>
      </c>
      <c r="C304" s="24" t="n">
        <v>46242</v>
      </c>
      <c r="D304" s="10">
        <f>MONTH(B304)&amp;"月"</f>
        <v/>
      </c>
      <c r="E304" s="12" t="n">
        <v>1</v>
      </c>
      <c r="F304" s="10" t="n"/>
      <c r="G304" s="10" t="inlineStr">
        <is>
          <t>【Claude Code活用セミナー】面倒な請求書・報告書・データ入力を"全自動化"する方法</t>
        </is>
      </c>
      <c r="H304" s="10" t="inlineStr">
        <is>
          <t>Ai-Raku(アイラク)セミナー運営事務局</t>
        </is>
      </c>
      <c r="I304" s="10" t="n"/>
      <c r="J304" s="10" t="inlineStr">
        <is>
          <t>こくちーずプロ</t>
        </is>
      </c>
      <c r="K304" s="10" t="inlineStr">
        <is>
          <t>オンライン</t>
        </is>
      </c>
      <c r="L304" s="10" t="inlineStr">
        <is>
          <t>オンライン 日本</t>
        </is>
      </c>
      <c r="M304" s="10" t="inlineStr">
        <is>
          <t>生産性向上・業務効率化</t>
        </is>
      </c>
      <c r="N304" s="10" t="inlineStr">
        <is>
          <t>AIエージェント</t>
        </is>
      </c>
      <c r="O304" s="12" t="inlineStr">
        <is>
          <t>◎</t>
        </is>
      </c>
      <c r="P304" s="13" t="n">
        <v>0</v>
      </c>
      <c r="Q304" s="12" t="inlineStr">
        <is>
          <t>参加者数</t>
        </is>
      </c>
      <c r="R304" s="14" t="n">
        <v>10</v>
      </c>
      <c r="S304" s="10" t="n"/>
      <c r="T304" s="10" t="inlineStr">
        <is>
          <t>【Claude Code活用セミナー】面倒な請求書・報告書・データ入力を"全自動化"する方法 毎月の請求書作成、報告書のとりまとめ、Excelへのデータ入力…。当たり前のように手作業でこなしているその業務、実は「AIに指示するだけ」で自動化できることをご存知でしょうか。 特に中小企業では、限られた人数で幅広い業務をこなさなければならず、こうした定型業務が担当者の負担を大きくしている実情があります。専任のIT担当者を置く余裕がない企業も多</t>
        </is>
      </c>
      <c r="U304" s="15" t="inlineStr">
        <is>
          <t>https://www.kokuchpro.com/event/15a43a407da7222e42c434f14baaefde/</t>
        </is>
      </c>
      <c r="V304" s="10" t="n"/>
      <c r="W304" s="10" t="inlineStr">
        <is>
          <t>タイトル一致</t>
        </is>
      </c>
      <c r="X304" s="10" t="n"/>
    </row>
    <row r="305">
      <c r="A305" s="10" t="n">
        <v>304</v>
      </c>
      <c r="B305" s="24" t="n">
        <v>46242</v>
      </c>
      <c r="C305" s="24" t="n">
        <v>46242</v>
      </c>
      <c r="D305" s="10">
        <f>MONTH(B305)&amp;"月"</f>
        <v/>
      </c>
      <c r="E305" s="12" t="n">
        <v>1</v>
      </c>
      <c r="F305" s="10" t="n"/>
      <c r="G305" s="10" t="inlineStr">
        <is>
          <t>【神戸・三宮／初参加歓迎】AIエージェントで「やってみたい」を形にする実践会｜#14</t>
        </is>
      </c>
      <c r="H305" s="10" t="inlineStr">
        <is>
          <t>AI駆動凡人</t>
        </is>
      </c>
      <c r="I305" s="10" t="n"/>
      <c r="J305" s="10" t="inlineStr">
        <is>
          <t>connpass</t>
        </is>
      </c>
      <c r="K305" s="10" t="inlineStr">
        <is>
          <t>会場</t>
        </is>
      </c>
      <c r="L305" s="10" t="inlineStr">
        <is>
          <t>兵庫県神戸市中央区東町115番地1･9･10･11階</t>
        </is>
      </c>
      <c r="M305" s="10" t="inlineStr">
        <is>
          <t>開発生産性</t>
        </is>
      </c>
      <c r="N305" s="10" t="inlineStr">
        <is>
          <t>AIエージェント</t>
        </is>
      </c>
      <c r="O305" s="12" t="inlineStr">
        <is>
          <t>○</t>
        </is>
      </c>
      <c r="P305" s="13" t="n">
        <v>1</v>
      </c>
      <c r="Q305" s="12" t="inlineStr">
        <is>
          <t>参加者数</t>
        </is>
      </c>
      <c r="R305" s="14" t="n">
        <v>8</v>
      </c>
      <c r="S305" s="10" t="n"/>
      <c r="T305" s="10" t="n"/>
      <c r="U305" s="15" t="inlineStr">
        <is>
          <t>https://ai-driven-bonjin.connpass.com/event/402206/</t>
        </is>
      </c>
      <c r="V305" s="10" t="n"/>
      <c r="W305" s="10" t="inlineStr">
        <is>
          <t>タイトル一致</t>
        </is>
      </c>
      <c r="X305" s="10" t="n"/>
    </row>
    <row r="306">
      <c r="A306" s="10" t="n">
        <v>305</v>
      </c>
      <c r="B306" s="24" t="n">
        <v>46242</v>
      </c>
      <c r="C306" s="24" t="n">
        <v>46242</v>
      </c>
      <c r="D306" s="10">
        <f>MONTH(B306)&amp;"月"</f>
        <v/>
      </c>
      <c r="E306" s="12" t="n">
        <v>1</v>
      </c>
      <c r="F306" s="10" t="n"/>
      <c r="G306" s="10" t="inlineStr">
        <is>
          <t>もうWeb制作を外注しない！Claude Codeで作るHP・LP</t>
        </is>
      </c>
      <c r="H306" s="10" t="inlineStr">
        <is>
          <t>デジタルレイバーズ</t>
        </is>
      </c>
      <c r="I306" s="10" t="n"/>
      <c r="J306" s="10" t="inlineStr">
        <is>
          <t>connpass</t>
        </is>
      </c>
      <c r="K306" s="10" t="inlineStr">
        <is>
          <t>オンライン</t>
        </is>
      </c>
      <c r="L306" s="10" t="inlineStr">
        <is>
          <t>オンライン</t>
        </is>
      </c>
      <c r="M306" s="10" t="inlineStr">
        <is>
          <t>開発生産性</t>
        </is>
      </c>
      <c r="N306" s="10" t="inlineStr">
        <is>
          <t>AIエージェント</t>
        </is>
      </c>
      <c r="O306" s="12" t="inlineStr">
        <is>
          <t>○</t>
        </is>
      </c>
      <c r="P306" s="13" t="n">
        <v>30</v>
      </c>
      <c r="Q306" s="12" t="inlineStr">
        <is>
          <t>参加者数</t>
        </is>
      </c>
      <c r="R306" s="14" t="n">
        <v>60</v>
      </c>
      <c r="S306" s="10" t="n"/>
      <c r="T306" s="10" t="n"/>
      <c r="U306" s="15" t="inlineStr">
        <is>
          <t>https://digital-labors.connpass.com/event/401168/</t>
        </is>
      </c>
      <c r="V306" s="10" t="n"/>
      <c r="W306" s="10" t="inlineStr">
        <is>
          <t>タイトル一致</t>
        </is>
      </c>
      <c r="X306" s="10" t="n"/>
    </row>
    <row r="307">
      <c r="A307" s="10" t="n">
        <v>306</v>
      </c>
      <c r="B307" s="24" t="n">
        <v>46242</v>
      </c>
      <c r="C307" s="24" t="n">
        <v>46242</v>
      </c>
      <c r="D307" s="10">
        <f>MONTH(B307)&amp;"月"</f>
        <v/>
      </c>
      <c r="E307" s="12" t="n">
        <v>1</v>
      </c>
      <c r="F307" s="10" t="n"/>
      <c r="G307" s="10" t="inlineStr">
        <is>
          <t>エポック会 #1</t>
        </is>
      </c>
      <c r="H307" s="10" t="inlineStr">
        <is>
          <t>株式会社Bizan AI</t>
        </is>
      </c>
      <c r="I307" s="10" t="n"/>
      <c r="J307" s="10" t="inlineStr">
        <is>
          <t>こくちーずプロ</t>
        </is>
      </c>
      <c r="K307" s="10" t="inlineStr">
        <is>
          <t>オフライン（会場）</t>
        </is>
      </c>
      <c r="L307" s="10" t="inlineStr">
        <is>
          <t>ランドプレイス道玄坂 日本</t>
        </is>
      </c>
      <c r="M307" s="10" t="inlineStr">
        <is>
          <t>生産性向上・業務効率化</t>
        </is>
      </c>
      <c r="N307" s="10" t="inlineStr">
        <is>
          <t>AIエージェント</t>
        </is>
      </c>
      <c r="O307" s="12" t="inlineStr">
        <is>
          <t>○</t>
        </is>
      </c>
      <c r="P307" s="13" t="n">
        <v>0</v>
      </c>
      <c r="Q307" s="12" t="inlineStr">
        <is>
          <t>参加者数</t>
        </is>
      </c>
      <c r="R307" s="14" t="n">
        <v>6</v>
      </c>
      <c r="S307" s="10" t="n"/>
      <c r="T307" s="10" t="inlineStr">
        <is>
          <t>生成AIや機械学習について、気軽に話せる仲間とつながりませんか？ 「エポック会」は、AI領域に関わるエンジニアや学生のための、少人数制の交流イベントです。 技術について語るのも、最近取り組んでいることを共有するのも、ボードゲームをしながらゆるく交流するのも自由。 **勉強会ほど堅くなく、交流会ほど騒がしくない。** AIに興味を持つ人同士が、自然につながり、一緒に学び続けられる場所を目指しています。 今回は記念すべき第1回。 参加者は全</t>
        </is>
      </c>
      <c r="U307" s="15" t="inlineStr">
        <is>
          <t>https://www.kokuchpro.com/event/2be59d0aea3dc444777684490066cea9/</t>
        </is>
      </c>
      <c r="V307" s="10" t="n"/>
      <c r="W307" s="10" t="inlineStr">
        <is>
          <t>本文一致</t>
        </is>
      </c>
      <c r="X307" s="10" t="n"/>
    </row>
    <row r="308">
      <c r="A308" s="10" t="n">
        <v>307</v>
      </c>
      <c r="B308" s="24" t="n">
        <v>46242</v>
      </c>
      <c r="C308" s="24" t="n">
        <v>46284</v>
      </c>
      <c r="D308" s="10">
        <f>MONTH(B308)&amp;"月"</f>
        <v/>
      </c>
      <c r="E308" s="12" t="n">
        <v>3</v>
      </c>
      <c r="F308" s="10" t="inlineStr">
        <is>
          <t>08/08、09/05、09/19</t>
        </is>
      </c>
      <c r="G308" s="10" t="inlineStr">
        <is>
          <t>ゼロからはじめるClaude Code 入門講座（対面・無料）</t>
        </is>
      </c>
      <c r="H308" s="10" t="inlineStr">
        <is>
          <t>テックジムと愉快な仲間たち</t>
        </is>
      </c>
      <c r="I308" s="10" t="n"/>
      <c r="J308" s="10" t="inlineStr">
        <is>
          <t>TECH PLAY</t>
        </is>
      </c>
      <c r="K308" s="10" t="inlineStr">
        <is>
          <t>会場</t>
        </is>
      </c>
      <c r="L308" s="10" t="inlineStr">
        <is>
          <t>テックジム東京本校 千代田区平河町2-7-2 VORT永田町6F</t>
        </is>
      </c>
      <c r="M308" s="10" t="inlineStr">
        <is>
          <t>開発生産性</t>
        </is>
      </c>
      <c r="N308" s="10" t="inlineStr">
        <is>
          <t>AIエージェント</t>
        </is>
      </c>
      <c r="O308" s="12" t="inlineStr">
        <is>
          <t>○</t>
        </is>
      </c>
      <c r="P308" s="13" t="n">
        <v>2</v>
      </c>
      <c r="Q308" s="12" t="inlineStr">
        <is>
          <t>非公開</t>
        </is>
      </c>
      <c r="R308" s="14" t="n">
        <v>15</v>
      </c>
      <c r="S308" s="10" t="inlineStr">
        <is>
          <t>全3回の合計</t>
        </is>
      </c>
      <c r="T308" s="10" t="inlineStr">
        <is>
          <t>ゼロからはじめるClaude Code講座（対面・無料） 【リアルでの開催となります】 オンラインでは出来ない細やかなサポートが、リアル開催ならでは！ 初学者から年齢、性別に限らず興味がある方に受講頂いている当講座。 どなたでもお気軽にご参加ください。講座後はテックジム会員様と混ざって頂き自習室を自由にご利用ください。 入退室は自由となっております。※ノートPC持参でお願いします。 🎯 あなたの作りたいものを作る 本講座では 「その日の</t>
        </is>
      </c>
      <c r="U308" s="15" t="inlineStr">
        <is>
          <t>https://techplay.jp/event/998452</t>
        </is>
      </c>
      <c r="V308" s="10" t="n"/>
      <c r="W308" s="10" t="inlineStr">
        <is>
          <t>タイトル一致</t>
        </is>
      </c>
      <c r="X308" s="10" t="n"/>
    </row>
    <row r="309">
      <c r="A309" s="10" t="n">
        <v>308</v>
      </c>
      <c r="B309" s="24" t="n">
        <v>46242</v>
      </c>
      <c r="C309" s="24" t="n">
        <v>46270</v>
      </c>
      <c r="D309" s="10">
        <f>MONTH(B309)&amp;"月"</f>
        <v/>
      </c>
      <c r="E309" s="12" t="n">
        <v>2</v>
      </c>
      <c r="F309" s="10" t="inlineStr">
        <is>
          <t>08/08、09/05</t>
        </is>
      </c>
      <c r="G309" s="10" t="inlineStr">
        <is>
          <t>ゼロからはじめるPython入門講座（対面・無料）</t>
        </is>
      </c>
      <c r="H309" s="10" t="inlineStr">
        <is>
          <t>テックジムと愉快な仲間たち</t>
        </is>
      </c>
      <c r="I309" s="10" t="n"/>
      <c r="J309" s="10" t="inlineStr">
        <is>
          <t>TECH PLAY</t>
        </is>
      </c>
      <c r="K309" s="10" t="inlineStr">
        <is>
          <t>会場</t>
        </is>
      </c>
      <c r="L309" s="10" t="inlineStr">
        <is>
          <t>VORT永田町6F 東京都千代田区平河町2-7-2</t>
        </is>
      </c>
      <c r="M309" s="10" t="inlineStr">
        <is>
          <t>開発生産性</t>
        </is>
      </c>
      <c r="N309" s="10" t="inlineStr">
        <is>
          <t>AIエージェント</t>
        </is>
      </c>
      <c r="O309" s="12" t="inlineStr">
        <is>
          <t>△</t>
        </is>
      </c>
      <c r="P309" s="13" t="n"/>
      <c r="Q309" s="12" t="inlineStr">
        <is>
          <t>非公開</t>
        </is>
      </c>
      <c r="R309" s="14" t="n">
        <v>8</v>
      </c>
      <c r="S309" s="10" t="inlineStr">
        <is>
          <t>全2回の合計</t>
        </is>
      </c>
      <c r="T309" s="10" t="inlineStr">
        <is>
          <t>【無料】ゼロからはじめるPython入門講座（対面・無料） 世界で大人気のプログラミング言語「Python」で簡単なゲームを作る講座を開催します。 こちらのセミナーはテックジムPython基礎コースのテキストを利用します。 当講座はおかげさまで、創業8年で毎週開催、すでに全国で2万人以上が参加しました。 これから初めてプログラミングを体験する方もご安心してご参加いただけます。 【永田町で対面開催となります】 オンラインでは出来ない細やか</t>
        </is>
      </c>
      <c r="U309" s="15" t="inlineStr">
        <is>
          <t>https://techplay.jp/event/998453</t>
        </is>
      </c>
      <c r="V309" s="10" t="n"/>
      <c r="W309" s="10" t="inlineStr">
        <is>
          <t>本文一致</t>
        </is>
      </c>
      <c r="X309" s="10" t="n"/>
    </row>
    <row r="310">
      <c r="A310" s="10" t="n">
        <v>309</v>
      </c>
      <c r="B310" s="24" t="n">
        <v>46242</v>
      </c>
      <c r="C310" s="24" t="n">
        <v>46291</v>
      </c>
      <c r="D310" s="10">
        <f>MONTH(B310)&amp;"月"</f>
        <v/>
      </c>
      <c r="E310" s="12" t="n">
        <v>2</v>
      </c>
      <c r="F310" s="10" t="inlineStr">
        <is>
          <t>08/08、09/26</t>
        </is>
      </c>
      <c r="G310" s="10" t="inlineStr">
        <is>
          <t>ゼロから学べる!AI活用術(実践編) ※対面・オンライン同時開催</t>
        </is>
      </c>
      <c r="H310" s="10" t="inlineStr">
        <is>
          <t>株式会社タスクールPlus</t>
        </is>
      </c>
      <c r="I310" s="10" t="n"/>
      <c r="J310" s="10" t="inlineStr">
        <is>
          <t>こくちーずプロ</t>
        </is>
      </c>
      <c r="K310" s="10" t="inlineStr">
        <is>
          <t>オフライン（会場）</t>
        </is>
      </c>
      <c r="L310" s="10" t="inlineStr">
        <is>
          <t>タスクール 愛知県名古屋市千種区千種通7-25-1 サンライズ千種502</t>
        </is>
      </c>
      <c r="M310" s="10" t="inlineStr">
        <is>
          <t>生産性向上・業務効率化</t>
        </is>
      </c>
      <c r="N310" s="10" t="inlineStr">
        <is>
          <t>AIエージェント</t>
        </is>
      </c>
      <c r="O310" s="12" t="inlineStr">
        <is>
          <t>○</t>
        </is>
      </c>
      <c r="P310" s="13" t="n">
        <v>0</v>
      </c>
      <c r="Q310" s="12" t="inlineStr">
        <is>
          <t>参加者数</t>
        </is>
      </c>
      <c r="R310" s="14" t="n">
        <v>20</v>
      </c>
      <c r="S310" s="10" t="inlineStr">
        <is>
          <t>全2回の合計</t>
        </is>
      </c>
      <c r="T310" s="10" t="inlineStr">
        <is>
          <t>【8/8（土）開催｜ゼロから学べる！AI活用術 実践編】 ★今回は対面・オンライン同時で開催します★ 「ChatGPTは少し使えるようになった」 「でも、仕事にどう活かせばいいのか分からない」 「毎回プロンプトを書くのが面倒で、結局続かない」 「AIを使っているつもりだけど、成果につながっている実感がない」 そんな方に向けて、AI活用講座の実践編を開催します。 今回のテーマは、AIを“思考の伴走者”から“業務の共同作業者”へ育てること。</t>
        </is>
      </c>
      <c r="U310" s="15" t="inlineStr">
        <is>
          <t>https://www.kokuchpro.com/event/107b72191d44d9fed440a207798edb21/</t>
        </is>
      </c>
      <c r="V310" s="10" t="n"/>
      <c r="W310" s="10" t="inlineStr">
        <is>
          <t>本文一致</t>
        </is>
      </c>
      <c r="X310" s="10" t="n"/>
    </row>
    <row r="311">
      <c r="A311" s="10" t="n">
        <v>310</v>
      </c>
      <c r="B311" s="24" t="n">
        <v>46242</v>
      </c>
      <c r="C311" s="24" t="n">
        <v>46242</v>
      </c>
      <c r="D311" s="10">
        <f>MONTH(B311)&amp;"月"</f>
        <v/>
      </c>
      <c r="E311" s="12" t="n">
        <v>1</v>
      </c>
      <c r="F311" s="10" t="n"/>
      <c r="G311" s="10" t="inlineStr">
        <is>
          <t>仕事が自動化!?静岡・掛川でClaude Code超初心者向け勉強会を開催!AIに仕事を丸投げして毎日2時間の自由時間を生み出す方法【先着30名】</t>
        </is>
      </c>
      <c r="H311" s="10" t="inlineStr">
        <is>
          <t>静岡ビジネス共創実行委員会(SBC)</t>
        </is>
      </c>
      <c r="I311" s="10" t="n"/>
      <c r="J311" s="10" t="inlineStr">
        <is>
          <t>こくちーずプロ</t>
        </is>
      </c>
      <c r="K311" s="10" t="inlineStr">
        <is>
          <t>オフライン（会場）</t>
        </is>
      </c>
      <c r="L311" s="10" t="inlineStr">
        <is>
          <t>やさいバス食堂 静岡県掛川市駅前4-4 SKしんきんプラザ 1F</t>
        </is>
      </c>
      <c r="M311" s="10" t="inlineStr">
        <is>
          <t>生産性向上・業務効率化</t>
        </is>
      </c>
      <c r="N311" s="10" t="inlineStr">
        <is>
          <t>AIエージェント</t>
        </is>
      </c>
      <c r="O311" s="12" t="inlineStr">
        <is>
          <t>◎</t>
        </is>
      </c>
      <c r="P311" s="13" t="n">
        <v>0</v>
      </c>
      <c r="Q311" s="12" t="inlineStr">
        <is>
          <t>参加者数</t>
        </is>
      </c>
      <c r="R311" s="14" t="n">
        <v>30</v>
      </c>
      <c r="S311" s="10" t="n"/>
      <c r="T311" s="10" t="inlineStr">
        <is>
          <t>毎日「これやっといて」と伝えるだけで、面倒なデスクワークが自動で片付くとしたら？ いま、AIの世界でとんでもない進化が起きています。 これまでのChatGPTは「質問に答えを返す」ツールでした。しかし、今回ご紹介する『Claude Code（クロードコード）』 は 「指示された作業を実際に実行する」ツールです。 「Code」という名前が付いていますが、プログラミングの知識は一切不要。日本語で頼むだけです。AIに指示するだけで資料作成や業</t>
        </is>
      </c>
      <c r="U311" s="15" t="inlineStr">
        <is>
          <t>https://www.kokuchpro.com/event/d49250e9647d184466c775c4a8465e46/</t>
        </is>
      </c>
      <c r="V311" s="10" t="n"/>
      <c r="W311" s="10" t="inlineStr">
        <is>
          <t>タイトル一致</t>
        </is>
      </c>
      <c r="X311" s="10" t="n"/>
    </row>
    <row r="312">
      <c r="A312" s="10" t="n">
        <v>311</v>
      </c>
      <c r="B312" s="24" t="n">
        <v>46243</v>
      </c>
      <c r="C312" s="24" t="n">
        <v>46243</v>
      </c>
      <c r="D312" s="10">
        <f>MONTH(B312)&amp;"月"</f>
        <v/>
      </c>
      <c r="E312" s="12" t="n">
        <v>1</v>
      </c>
      <c r="F312" s="10" t="n"/>
      <c r="G312" s="10" t="inlineStr">
        <is>
          <t>AI探検ツアー：Hermes Agent</t>
        </is>
      </c>
      <c r="H312" s="10" t="inlineStr">
        <is>
          <t>I Love AI</t>
        </is>
      </c>
      <c r="I312" s="10" t="n"/>
      <c r="J312" s="10" t="inlineStr">
        <is>
          <t>connpass</t>
        </is>
      </c>
      <c r="K312" s="10" t="inlineStr">
        <is>
          <t>会場</t>
        </is>
      </c>
      <c r="L312" s="10" t="inlineStr">
        <is>
          <t>福岡市中央区天神1丁目15番30号</t>
        </is>
      </c>
      <c r="M312" s="10" t="inlineStr">
        <is>
          <t>生産管理・製造・SCM</t>
        </is>
      </c>
      <c r="N312" s="10" t="inlineStr">
        <is>
          <t>AIエージェント</t>
        </is>
      </c>
      <c r="O312" s="12" t="inlineStr">
        <is>
          <t>◎</t>
        </is>
      </c>
      <c r="P312" s="13" t="n">
        <v>28</v>
      </c>
      <c r="Q312" s="12" t="inlineStr">
        <is>
          <t>参加者数</t>
        </is>
      </c>
      <c r="R312" s="14" t="n">
        <v>40</v>
      </c>
      <c r="S312" s="10" t="n"/>
      <c r="T312" s="10" t="n"/>
      <c r="U312" s="15" t="inlineStr">
        <is>
          <t>https://i-love-ai.connpass.com/event/397511/</t>
        </is>
      </c>
      <c r="V312" s="10" t="n"/>
      <c r="W312" s="10" t="inlineStr">
        <is>
          <t>タイトル一致</t>
        </is>
      </c>
      <c r="X312" s="10" t="n"/>
    </row>
    <row r="313">
      <c r="A313" s="10" t="n">
        <v>312</v>
      </c>
      <c r="B313" s="24" t="n">
        <v>46243</v>
      </c>
      <c r="C313" s="24" t="n">
        <v>46243</v>
      </c>
      <c r="D313" s="10">
        <f>MONTH(B313)&amp;"月"</f>
        <v/>
      </c>
      <c r="E313" s="12" t="n">
        <v>1</v>
      </c>
      <c r="F313" s="10" t="n"/>
      <c r="G313" s="10" t="inlineStr">
        <is>
          <t>Claude Code Security勉強会</t>
        </is>
      </c>
      <c r="H313" s="10" t="inlineStr">
        <is>
          <t>株式会社FrISti</t>
        </is>
      </c>
      <c r="I313" s="10" t="n"/>
      <c r="J313" s="10" t="inlineStr">
        <is>
          <t>connpass</t>
        </is>
      </c>
      <c r="K313" s="10" t="inlineStr">
        <is>
          <t>会場</t>
        </is>
      </c>
      <c r="L313" s="10" t="inlineStr">
        <is>
          <t>(場所未定)</t>
        </is>
      </c>
      <c r="M313" s="10" t="inlineStr">
        <is>
          <t>営業・マーケ・CS</t>
        </is>
      </c>
      <c r="N313" s="10" t="inlineStr">
        <is>
          <t>AIエージェント</t>
        </is>
      </c>
      <c r="O313" s="12" t="inlineStr">
        <is>
          <t>◎</t>
        </is>
      </c>
      <c r="P313" s="13" t="n">
        <v>10</v>
      </c>
      <c r="Q313" s="12" t="inlineStr">
        <is>
          <t>参加者数</t>
        </is>
      </c>
      <c r="R313" s="14" t="n">
        <v>50</v>
      </c>
      <c r="S313" s="10" t="n"/>
      <c r="T313" s="10" t="n"/>
      <c r="U313" s="15" t="inlineStr">
        <is>
          <t>https://fristi.connpass.com/event/400745/</t>
        </is>
      </c>
      <c r="V313" s="10" t="n"/>
      <c r="W313" s="10" t="inlineStr">
        <is>
          <t>タイトル一致</t>
        </is>
      </c>
      <c r="X313" s="10" t="n"/>
    </row>
    <row r="314">
      <c r="A314" s="10" t="n">
        <v>313</v>
      </c>
      <c r="B314" s="24" t="n">
        <v>46244</v>
      </c>
      <c r="C314" s="24" t="n">
        <v>46248</v>
      </c>
      <c r="D314" s="10">
        <f>MONTH(B314)&amp;"月"</f>
        <v/>
      </c>
      <c r="E314" s="12" t="n">
        <v>1</v>
      </c>
      <c r="F314" s="10" t="n"/>
      <c r="G314" s="10" t="inlineStr">
        <is>
          <t>総勢3,000人以上が視聴！人気のAI活用事例イベント再放送week(8/10~14)</t>
        </is>
      </c>
      <c r="H314" s="10" t="inlineStr">
        <is>
          <t>Findy/ファインディ</t>
        </is>
      </c>
      <c r="I314" s="10" t="n"/>
      <c r="J314" s="10" t="inlineStr">
        <is>
          <t>TECH PLAY</t>
        </is>
      </c>
      <c r="K314" s="10" t="inlineStr">
        <is>
          <t>オンライン</t>
        </is>
      </c>
      <c r="L314" s="10" t="n"/>
      <c r="M314" s="10" t="inlineStr">
        <is>
          <t>営業・マーケ・CS</t>
        </is>
      </c>
      <c r="N314" s="10" t="inlineStr">
        <is>
          <t>AIエージェント</t>
        </is>
      </c>
      <c r="O314" s="12" t="inlineStr">
        <is>
          <t>○</t>
        </is>
      </c>
      <c r="P314" s="13" t="n">
        <v>59</v>
      </c>
      <c r="Q314" s="12" t="inlineStr">
        <is>
          <t>申込者数</t>
        </is>
      </c>
      <c r="R314" s="14" t="n">
        <v>100</v>
      </c>
      <c r="S314" s="10" t="n"/>
      <c r="T314" s="10" t="inlineStr">
        <is>
          <t>人気イベントを一挙再放送！！ Findyでは昨年からAI活用に関するイベントを多数行ってきました。 そのどれもが好評で、「もう一度見たい」「同じテーマで他の方の意見や事例も聞きたい」などの声を毎回いただいておりました。それらの声を受け、今回はお盆休みの期間を利用して、一挙過去のイベントの再放送を行います！ リアルタイムで参加出来なかった方、当日のツイートや記事などを見て気になった方、ぜひご参加ください！ ※今回は、録画配信となるため登壇</t>
        </is>
      </c>
      <c r="U314" s="15" t="inlineStr">
        <is>
          <t>https://techplay.jp/event/999070</t>
        </is>
      </c>
      <c r="V314" s="10" t="n"/>
      <c r="W314" s="10" t="inlineStr">
        <is>
          <t>本文一致</t>
        </is>
      </c>
      <c r="X314" s="10" t="n"/>
    </row>
    <row r="315">
      <c r="A315" s="10" t="n">
        <v>314</v>
      </c>
      <c r="B315" s="24" t="n">
        <v>46246</v>
      </c>
      <c r="C315" s="24" t="n">
        <v>46246</v>
      </c>
      <c r="D315" s="10">
        <f>MONTH(B315)&amp;"月"</f>
        <v/>
      </c>
      <c r="E315" s="12" t="n">
        <v>1</v>
      </c>
      <c r="F315" s="10" t="n"/>
      <c r="G315" s="10" t="inlineStr">
        <is>
          <t>AIエージェントキャッチアップ #87 - QM</t>
        </is>
      </c>
      <c r="H315" s="10" t="inlineStr">
        <is>
          <t>ジェネラティブエージェンツ / Generative Agents</t>
        </is>
      </c>
      <c r="I315" s="10" t="n"/>
      <c r="J315" s="10" t="inlineStr">
        <is>
          <t>connpass</t>
        </is>
      </c>
      <c r="K315" s="10" t="inlineStr">
        <is>
          <t>オンライン</t>
        </is>
      </c>
      <c r="L315" s="10" t="inlineStr">
        <is>
          <t>オンライン</t>
        </is>
      </c>
      <c r="M315" s="10" t="inlineStr">
        <is>
          <t>技術・AI全般</t>
        </is>
      </c>
      <c r="N315" s="10" t="inlineStr">
        <is>
          <t>AIエージェント</t>
        </is>
      </c>
      <c r="O315" s="12" t="inlineStr">
        <is>
          <t>○</t>
        </is>
      </c>
      <c r="P315" s="13" t="n">
        <v>53</v>
      </c>
      <c r="Q315" s="12" t="inlineStr">
        <is>
          <t>参加者数</t>
        </is>
      </c>
      <c r="R315" s="14" t="n">
        <v>200</v>
      </c>
      <c r="S315" s="10" t="n"/>
      <c r="T315" s="10" t="n"/>
      <c r="U315" s="15" t="inlineStr">
        <is>
          <t>https://generative-agents.connpass.com/event/402896/</t>
        </is>
      </c>
      <c r="V315" s="10" t="n"/>
      <c r="W315" s="10" t="inlineStr">
        <is>
          <t>タイトル一致</t>
        </is>
      </c>
      <c r="X315" s="10" t="n"/>
    </row>
    <row r="316">
      <c r="A316" s="10" t="n">
        <v>315</v>
      </c>
      <c r="B316" s="24" t="n">
        <v>46246</v>
      </c>
      <c r="C316" s="24" t="n">
        <v>46246</v>
      </c>
      <c r="D316" s="10">
        <f>MONTH(B316)&amp;"月"</f>
        <v/>
      </c>
      <c r="E316" s="12" t="n">
        <v>1</v>
      </c>
      <c r="F316" s="10" t="n"/>
      <c r="G316" s="10" t="inlineStr">
        <is>
          <t>Agentforceを活用した「営業日報AIレビュー基盤」セミナー</t>
        </is>
      </c>
      <c r="H316" s="10" t="inlineStr">
        <is>
          <t>フロッグウェル株式会社</t>
        </is>
      </c>
      <c r="I316" s="10" t="n"/>
      <c r="J316" s="10" t="inlineStr">
        <is>
          <t>TECH PLAY</t>
        </is>
      </c>
      <c r="K316" s="10" t="inlineStr">
        <is>
          <t>オンライン</t>
        </is>
      </c>
      <c r="L316" s="10" t="n"/>
      <c r="M316" s="10" t="inlineStr">
        <is>
          <t>営業・マーケ・CS</t>
        </is>
      </c>
      <c r="N316" s="10" t="inlineStr">
        <is>
          <t>AIエージェント</t>
        </is>
      </c>
      <c r="O316" s="12" t="inlineStr">
        <is>
          <t>◎</t>
        </is>
      </c>
      <c r="P316" s="13" t="n"/>
      <c r="Q316" s="12" t="inlineStr">
        <is>
          <t>非公開</t>
        </is>
      </c>
      <c r="R316" s="14" t="n">
        <v>10</v>
      </c>
      <c r="S316" s="10" t="n"/>
      <c r="T316" s="10" t="inlineStr">
        <is>
          <t>営業マネージャーの負担を大幅削減！Agentforceを活用した「営業日報AIレビュー基盤」セミナー 多くの営業組織において、「営業日報」はマネージャーと担当者（プレイヤー）の双方にジレンマを抱えさせています。 プレイヤー側は「日報を書いても、すぐに具体的な助言が得られない」ため、単なる形式的な「報告作業」となってしまい、モチベーションの低下を招いています 。 一方マネージャー側も、多忙ゆえに「全件に対して丁寧にアドバイスを返すのが困難</t>
        </is>
      </c>
      <c r="U316" s="15" t="inlineStr">
        <is>
          <t>https://techplay.jp/event/995388</t>
        </is>
      </c>
      <c r="V316" s="10" t="n"/>
      <c r="W316" s="10" t="inlineStr">
        <is>
          <t>タイトル一致</t>
        </is>
      </c>
      <c r="X316" s="10" t="n"/>
    </row>
    <row r="317">
      <c r="A317" s="10" t="n">
        <v>316</v>
      </c>
      <c r="B317" s="24" t="n">
        <v>46246</v>
      </c>
      <c r="C317" s="24" t="n">
        <v>46246</v>
      </c>
      <c r="D317" s="10">
        <f>MONTH(B317)&amp;"月"</f>
        <v/>
      </c>
      <c r="E317" s="12" t="n">
        <v>1</v>
      </c>
      <c r="F317" s="10" t="n"/>
      <c r="G317" s="10" t="inlineStr">
        <is>
          <t>【ハイブリッド開催】Code-Driven データ分析ナイト #3 AIエージェント共有</t>
        </is>
      </c>
      <c r="H317" s="10" t="inlineStr">
        <is>
          <t>Code-Driven データ分析ナイト</t>
        </is>
      </c>
      <c r="I317" s="10" t="n"/>
      <c r="J317" s="10" t="inlineStr">
        <is>
          <t>connpass</t>
        </is>
      </c>
      <c r="K317" s="10" t="inlineStr">
        <is>
          <t>会場</t>
        </is>
      </c>
      <c r="L317" s="10" t="inlineStr">
        <is>
          <t>〒153-0064 東京都目黒区下目黒1-8-1 目黒アルコタワー16F</t>
        </is>
      </c>
      <c r="M317" s="10" t="inlineStr">
        <is>
          <t>技術・AI全般</t>
        </is>
      </c>
      <c r="N317" s="10" t="inlineStr">
        <is>
          <t>AIエージェント</t>
        </is>
      </c>
      <c r="O317" s="12" t="inlineStr">
        <is>
          <t>○</t>
        </is>
      </c>
      <c r="P317" s="13" t="n">
        <v>71</v>
      </c>
      <c r="Q317" s="12" t="inlineStr">
        <is>
          <t>参加者数</t>
        </is>
      </c>
      <c r="R317" s="14" t="n">
        <v>80</v>
      </c>
      <c r="S317" s="10" t="n"/>
      <c r="T317" s="10" t="n"/>
      <c r="U317" s="15" t="inlineStr">
        <is>
          <t>https://code-based-presentation.connpass.com/event/401427/</t>
        </is>
      </c>
      <c r="V317" s="10" t="n"/>
      <c r="W317" s="10" t="inlineStr">
        <is>
          <t>タイトル一致</t>
        </is>
      </c>
      <c r="X317" s="10" t="n"/>
    </row>
    <row r="318">
      <c r="A318" s="10" t="n">
        <v>317</v>
      </c>
      <c r="B318" s="24" t="n">
        <v>46246</v>
      </c>
      <c r="C318" s="24" t="n">
        <v>46246</v>
      </c>
      <c r="D318" s="10">
        <f>MONTH(B318)&amp;"月"</f>
        <v/>
      </c>
      <c r="E318" s="12" t="n">
        <v>1</v>
      </c>
      <c r="F318" s="10" t="n"/>
      <c r="G318" s="10" t="inlineStr">
        <is>
          <t>【好評につき再放送決定！】AIエージェントはサプライチェーン業務をどう変えるのか。需要予測・在庫最適化・発注判断の実践事例</t>
        </is>
      </c>
      <c r="H318" s="10" t="inlineStr">
        <is>
          <t>株式会社QuackShift</t>
        </is>
      </c>
      <c r="I318" s="10" t="n"/>
      <c r="J318" s="10" t="inlineStr">
        <is>
          <t>TECH PLAY</t>
        </is>
      </c>
      <c r="K318" s="10" t="inlineStr">
        <is>
          <t>オンライン</t>
        </is>
      </c>
      <c r="L318" s="10" t="n"/>
      <c r="M318" s="10" t="inlineStr">
        <is>
          <t>生産管理・製造・SCM</t>
        </is>
      </c>
      <c r="N318" s="10" t="inlineStr">
        <is>
          <t>AIエージェント</t>
        </is>
      </c>
      <c r="O318" s="12" t="inlineStr">
        <is>
          <t>◎</t>
        </is>
      </c>
      <c r="P318" s="13" t="n">
        <v>3</v>
      </c>
      <c r="Q318" s="12" t="inlineStr">
        <is>
          <t>申込者数</t>
        </is>
      </c>
      <c r="R318" s="14" t="n">
        <v>100</v>
      </c>
      <c r="S318" s="10" t="n"/>
      <c r="T318" s="10" t="inlineStr">
        <is>
          <t>【松尾研発】「職人の勘」をデータ化する。AIエージェントによる不具合対応ナレッジの標準化と実践事例 2026年7月29日（水）12:00-13:00 「不具合対応ナレッジの標準化とAIエージェント活用」をテーマに無料のオンラインセミナーを開催します！ 【イベント内容】 「あのトラブル、以前も起きた気がするが、どう対応したか分からない」 「熟練のAさんがいないと、設備の異常原因が特定できない」 「過去の報告書や修理記録はPDFやExcel</t>
        </is>
      </c>
      <c r="U318" s="15" t="inlineStr">
        <is>
          <t>https://techplay.jp/event/998984</t>
        </is>
      </c>
      <c r="V318" s="10" t="n"/>
      <c r="W318" s="10" t="inlineStr">
        <is>
          <t>タイトル一致</t>
        </is>
      </c>
      <c r="X318" s="10" t="n"/>
    </row>
    <row r="319">
      <c r="A319" s="10" t="n">
        <v>318</v>
      </c>
      <c r="B319" s="24" t="n">
        <v>46246</v>
      </c>
      <c r="C319" s="24" t="n">
        <v>46246</v>
      </c>
      <c r="D319" s="10">
        <f>MONTH(B319)&amp;"月"</f>
        <v/>
      </c>
      <c r="E319" s="12" t="n">
        <v>1</v>
      </c>
      <c r="F319" s="10" t="n"/>
      <c r="G319" s="10" t="inlineStr">
        <is>
          <t>〜事業成果を創出する｢AIエージェント｣設計術 〜なぜ「業務フロー図」だけでは失敗するのか？ ユースケースを具体化する3ステップ〜</t>
        </is>
      </c>
      <c r="H319" s="10" t="inlineStr">
        <is>
          <t>MONSTARLAB</t>
        </is>
      </c>
      <c r="I319" s="10" t="n"/>
      <c r="J319" s="10" t="inlineStr">
        <is>
          <t>TECH PLAY</t>
        </is>
      </c>
      <c r="K319" s="10" t="inlineStr">
        <is>
          <t>オンライン</t>
        </is>
      </c>
      <c r="L319" s="10" t="n"/>
      <c r="M319" s="10" t="inlineStr">
        <is>
          <t>生産性向上・業務効率化</t>
        </is>
      </c>
      <c r="N319" s="10" t="inlineStr">
        <is>
          <t>AIエージェント</t>
        </is>
      </c>
      <c r="O319" s="12" t="inlineStr">
        <is>
          <t>◎</t>
        </is>
      </c>
      <c r="P319" s="13" t="n">
        <v>19</v>
      </c>
      <c r="Q319" s="12" t="inlineStr">
        <is>
          <t>申込者数</t>
        </is>
      </c>
      <c r="R319" s="14" t="n">
        <v>100</v>
      </c>
      <c r="S319" s="10" t="n"/>
      <c r="T319" s="10" t="inlineStr">
        <is>
          <t>事業成果を創出する｢AIエージェント｣設計術〜なぜ「業務フロー図」だけでは失敗するのか？ ユースケースを具体化する3ステップ〜 本企画の背景 多くの企業が「自律的に業務をこなすAIエージェント」の構築に挑んでいますが、その大半が要件定義の段階で躓いています。その最大の原因は、従来の「業務フロー図」を使ってAIの要件を定義しようとしていることにあります。 AIを実業務で機能させるためには、「AIにどのタスクをやらせるか」だけでなく、「その</t>
        </is>
      </c>
      <c r="U319" s="15" t="inlineStr">
        <is>
          <t>https://techplay.jp/event/998750</t>
        </is>
      </c>
      <c r="V319" s="10" t="n"/>
      <c r="W319" s="10" t="inlineStr">
        <is>
          <t>タイトル一致</t>
        </is>
      </c>
      <c r="X319" s="10" t="n"/>
    </row>
    <row r="320">
      <c r="A320" s="10" t="n">
        <v>319</v>
      </c>
      <c r="B320" s="24" t="n">
        <v>46246</v>
      </c>
      <c r="C320" s="24" t="n">
        <v>46246</v>
      </c>
      <c r="D320" s="10">
        <f>MONTH(B320)&amp;"月"</f>
        <v/>
      </c>
      <c r="E320" s="12" t="n">
        <v>1</v>
      </c>
      <c r="F320" s="10" t="n"/>
      <c r="G320" s="10" t="inlineStr">
        <is>
          <t>知見が知見を生むチームへ ― 案件に一番詳しいAIをAgentCoreで作る</t>
        </is>
      </c>
      <c r="H320" s="10" t="inlineStr">
        <is>
          <t>NRIネットコム株式会社</t>
        </is>
      </c>
      <c r="I320" s="10" t="n"/>
      <c r="J320" s="10" t="inlineStr">
        <is>
          <t>connpass</t>
        </is>
      </c>
      <c r="K320" s="10" t="inlineStr">
        <is>
          <t>会場</t>
        </is>
      </c>
      <c r="L320" s="10" t="inlineStr">
        <is>
          <t>(場所未定)</t>
        </is>
      </c>
      <c r="M320" s="10" t="inlineStr">
        <is>
          <t>技術・AI全般</t>
        </is>
      </c>
      <c r="N320" s="10" t="inlineStr">
        <is>
          <t>AIエージェント</t>
        </is>
      </c>
      <c r="O320" s="12" t="inlineStr">
        <is>
          <t>○</t>
        </is>
      </c>
      <c r="P320" s="13" t="n">
        <v>49</v>
      </c>
      <c r="Q320" s="12" t="inlineStr">
        <is>
          <t>参加者数</t>
        </is>
      </c>
      <c r="R320" s="14" t="n"/>
      <c r="S320" s="10" t="n"/>
      <c r="T320" s="10" t="n"/>
      <c r="U320" s="15" t="inlineStr">
        <is>
          <t>https://nrinetcom.connpass.com/event/401295/</t>
        </is>
      </c>
      <c r="V320" s="10" t="n"/>
      <c r="W320" s="10" t="inlineStr">
        <is>
          <t>タイトル一致</t>
        </is>
      </c>
      <c r="X320" s="10" t="n"/>
    </row>
    <row r="321">
      <c r="A321" s="10" t="n">
        <v>320</v>
      </c>
      <c r="B321" s="24" t="n">
        <v>46247</v>
      </c>
      <c r="C321" s="24" t="n">
        <v>46247</v>
      </c>
      <c r="D321" s="10">
        <f>MONTH(B321)&amp;"月"</f>
        <v/>
      </c>
      <c r="E321" s="12" t="n">
        <v>1</v>
      </c>
      <c r="F321" s="10" t="n"/>
      <c r="G321" s="10" t="inlineStr">
        <is>
          <t>AI Agent Okinawa #9'  オンライン開催</t>
        </is>
      </c>
      <c r="H321" s="10" t="inlineStr">
        <is>
          <t>AI Agent Okinawa</t>
        </is>
      </c>
      <c r="I321" s="10" t="n"/>
      <c r="J321" s="10" t="inlineStr">
        <is>
          <t>connpass</t>
        </is>
      </c>
      <c r="K321" s="10" t="inlineStr">
        <is>
          <t>オンライン</t>
        </is>
      </c>
      <c r="L321" s="10" t="inlineStr">
        <is>
          <t>(場所未定)</t>
        </is>
      </c>
      <c r="M321" s="10" t="inlineStr">
        <is>
          <t>技術・AI全般</t>
        </is>
      </c>
      <c r="N321" s="10" t="inlineStr">
        <is>
          <t>AIエージェント</t>
        </is>
      </c>
      <c r="O321" s="12" t="inlineStr">
        <is>
          <t>○</t>
        </is>
      </c>
      <c r="P321" s="13" t="n">
        <v>4</v>
      </c>
      <c r="Q321" s="12" t="inlineStr">
        <is>
          <t>参加者数</t>
        </is>
      </c>
      <c r="R321" s="14" t="n">
        <v>5</v>
      </c>
      <c r="S321" s="10" t="n"/>
      <c r="T321" s="10" t="n"/>
      <c r="U321" s="15" t="inlineStr">
        <is>
          <t>https://ai-agent-okinawa.connpass.com/event/402920/</t>
        </is>
      </c>
      <c r="V321" s="10" t="n"/>
      <c r="W321" s="10" t="inlineStr">
        <is>
          <t>タイトル一致</t>
        </is>
      </c>
      <c r="X321" s="10" t="n"/>
    </row>
    <row r="322">
      <c r="A322" s="10" t="n">
        <v>321</v>
      </c>
      <c r="B322" s="24" t="n">
        <v>46248</v>
      </c>
      <c r="C322" s="24" t="n">
        <v>46248</v>
      </c>
      <c r="D322" s="10">
        <f>MONTH(B322)&amp;"月"</f>
        <v/>
      </c>
      <c r="E322" s="12" t="n">
        <v>1</v>
      </c>
      <c r="F322" s="10" t="n"/>
      <c r="G322" s="10" t="inlineStr">
        <is>
          <t>【CeeBeeDee】初期セットアップから学ぶClaude Code入門／サイトウマサカズ</t>
        </is>
      </c>
      <c r="H322" s="10" t="inlineStr">
        <is>
          <t>CeeBeeDee</t>
        </is>
      </c>
      <c r="I322" s="10" t="n"/>
      <c r="J322" s="10" t="inlineStr">
        <is>
          <t>Doorkeeper</t>
        </is>
      </c>
      <c r="K322" s="10" t="inlineStr">
        <is>
          <t>不明</t>
        </is>
      </c>
      <c r="L322" s="10" t="n"/>
      <c r="M322" s="10" t="inlineStr">
        <is>
          <t>開発生産性</t>
        </is>
      </c>
      <c r="N322" s="10" t="inlineStr">
        <is>
          <t>AIエージェント</t>
        </is>
      </c>
      <c r="O322" s="12" t="inlineStr">
        <is>
          <t>○</t>
        </is>
      </c>
      <c r="P322" s="13" t="n">
        <v>64</v>
      </c>
      <c r="Q322" s="12" t="inlineStr">
        <is>
          <t>参加者数</t>
        </is>
      </c>
      <c r="R322" s="14" t="n"/>
      <c r="S322" s="10" t="n"/>
      <c r="T322" s="10" t="inlineStr">
        <is>
          <t xml:space="preserve"> 本イベントは終了しています。「アーカイブ動画を見たい方」「スライドをダウンロードしたい方」はSTORESからお求めください。 個人・フリーランス（5,500円） 法人向け（11,000円） 本日現在（8月14日[金]）、200本のアーカイブが見放題になる定額制（サブスク）も用意しています。 3ヶ月ごと：35ドル 12ヶ月ごと：130ドル 動画だけでなく、スライドや補足なども含まれます。 Claude Codeの初期セットアップから基本</t>
        </is>
      </c>
      <c r="U322" s="15" t="inlineStr">
        <is>
          <t>https://cssnite.doorkeeper.jp/events/198097</t>
        </is>
      </c>
      <c r="V322" s="10" t="n"/>
      <c r="W322" s="10" t="inlineStr">
        <is>
          <t>タイトル一致</t>
        </is>
      </c>
      <c r="X322" s="10" t="n"/>
    </row>
    <row r="323">
      <c r="A323" s="10" t="n">
        <v>322</v>
      </c>
      <c r="B323" s="24" t="n">
        <v>46249</v>
      </c>
      <c r="C323" s="24" t="n">
        <v>46249</v>
      </c>
      <c r="D323" s="10">
        <f>MONTH(B323)&amp;"月"</f>
        <v/>
      </c>
      <c r="E323" s="12" t="n">
        <v>1</v>
      </c>
      <c r="F323" s="10" t="n"/>
      <c r="G323" s="10" t="inlineStr">
        <is>
          <t>AIエージェント時代の相棒選び</t>
        </is>
      </c>
      <c r="H323" s="10" t="inlineStr">
        <is>
          <t>デジタルレイバーズ</t>
        </is>
      </c>
      <c r="I323" s="10" t="n"/>
      <c r="J323" s="10" t="inlineStr">
        <is>
          <t>connpass</t>
        </is>
      </c>
      <c r="K323" s="10" t="inlineStr">
        <is>
          <t>オンライン</t>
        </is>
      </c>
      <c r="L323" s="10" t="inlineStr">
        <is>
          <t>オンライン</t>
        </is>
      </c>
      <c r="M323" s="10" t="inlineStr">
        <is>
          <t>技術・AI全般</t>
        </is>
      </c>
      <c r="N323" s="10" t="inlineStr">
        <is>
          <t>AIエージェント</t>
        </is>
      </c>
      <c r="O323" s="12" t="inlineStr">
        <is>
          <t>○</t>
        </is>
      </c>
      <c r="P323" s="13" t="n">
        <v>19</v>
      </c>
      <c r="Q323" s="12" t="inlineStr">
        <is>
          <t>参加者数</t>
        </is>
      </c>
      <c r="R323" s="14" t="n">
        <v>60</v>
      </c>
      <c r="S323" s="10" t="n"/>
      <c r="T323" s="10" t="n"/>
      <c r="U323" s="15" t="inlineStr">
        <is>
          <t>https://digital-labors.connpass.com/event/401850/</t>
        </is>
      </c>
      <c r="V323" s="10" t="n"/>
      <c r="W323" s="10" t="inlineStr">
        <is>
          <t>タイトル一致</t>
        </is>
      </c>
      <c r="X323" s="10" t="n"/>
    </row>
    <row r="324">
      <c r="A324" s="10" t="n">
        <v>323</v>
      </c>
      <c r="B324" s="24" t="n">
        <v>46249</v>
      </c>
      <c r="C324" s="24" t="n">
        <v>46249</v>
      </c>
      <c r="D324" s="10">
        <f>MONTH(B324)&amp;"月"</f>
        <v/>
      </c>
      <c r="E324" s="12" t="n">
        <v>1</v>
      </c>
      <c r="F324" s="10" t="n"/>
      <c r="G324" s="10" t="inlineStr">
        <is>
          <t>AIエージェント時代の相棒選び 〜Codex入門：Claude Codeとの違いと得意技〜</t>
        </is>
      </c>
      <c r="H324" s="10" t="inlineStr">
        <is>
          <t>デジタルレイバーズ</t>
        </is>
      </c>
      <c r="I324" s="10" t="n"/>
      <c r="J324" s="10" t="inlineStr">
        <is>
          <t>TECH PLAY</t>
        </is>
      </c>
      <c r="K324" s="10" t="inlineStr">
        <is>
          <t>オンライン</t>
        </is>
      </c>
      <c r="L324" s="10" t="n"/>
      <c r="M324" s="10" t="inlineStr">
        <is>
          <t>開発生産性</t>
        </is>
      </c>
      <c r="N324" s="10" t="inlineStr">
        <is>
          <t>AIエージェント</t>
        </is>
      </c>
      <c r="O324" s="12" t="inlineStr">
        <is>
          <t>○</t>
        </is>
      </c>
      <c r="P324" s="13" t="n">
        <v>19</v>
      </c>
      <c r="Q324" s="12" t="inlineStr">
        <is>
          <t>申込者数</t>
        </is>
      </c>
      <c r="R324" s="14" t="n">
        <v>60</v>
      </c>
      <c r="S324" s="10" t="n"/>
      <c r="T324" s="10" t="inlineStr">
        <is>
          <t>簡単な紹介 AIエージェント「Codex」の強みと使いどころを、Claude Codeとの違いから1時間で体系的に理解できる入門セミナーです。 イベントについて 本セミナーは、AIエージェントを業務に取り入れたい経営者・一人経営者・実務担当者の方を対象に、話題のAIエージェント「Codex」を「Claude Codeとの違い」という切り口から捉え直すための講義型セミナーです。 AIエージェントが次々と登場する中、「どれを選べばよいのかわ</t>
        </is>
      </c>
      <c r="U324" s="15" t="inlineStr">
        <is>
          <t>https://techplay.jp/event/998647</t>
        </is>
      </c>
      <c r="V324" s="10" t="n"/>
      <c r="W324" s="10" t="inlineStr">
        <is>
          <t>タイトル一致</t>
        </is>
      </c>
      <c r="X324" s="10" t="n"/>
    </row>
    <row r="325">
      <c r="A325" s="10" t="n">
        <v>324</v>
      </c>
      <c r="B325" s="24" t="n">
        <v>46249</v>
      </c>
      <c r="C325" s="24" t="n">
        <v>46249</v>
      </c>
      <c r="D325" s="10">
        <f>MONTH(B325)&amp;"月"</f>
        <v/>
      </c>
      <c r="E325" s="12" t="n">
        <v>1</v>
      </c>
      <c r="F325" s="10" t="n"/>
      <c r="G325" s="10" t="inlineStr">
        <is>
          <t>Copilot StudioでAIエージェントを作ってみる｜Copilotエージェント入門</t>
        </is>
      </c>
      <c r="H325" s="10" t="inlineStr">
        <is>
          <t>ITエンジニア One Up 勉強会</t>
        </is>
      </c>
      <c r="I325" s="10" t="n"/>
      <c r="J325" s="10" t="inlineStr">
        <is>
          <t>connpass</t>
        </is>
      </c>
      <c r="K325" s="10" t="inlineStr">
        <is>
          <t>オンライン</t>
        </is>
      </c>
      <c r="L325" s="10" t="inlineStr">
        <is>
          <t>オンライン</t>
        </is>
      </c>
      <c r="M325" s="10" t="inlineStr">
        <is>
          <t>生産性向上・業務効率化</t>
        </is>
      </c>
      <c r="N325" s="10" t="inlineStr">
        <is>
          <t>AIエージェント</t>
        </is>
      </c>
      <c r="O325" s="12" t="inlineStr">
        <is>
          <t>◎</t>
        </is>
      </c>
      <c r="P325" s="13" t="n">
        <v>19</v>
      </c>
      <c r="Q325" s="12" t="inlineStr">
        <is>
          <t>参加者数</t>
        </is>
      </c>
      <c r="R325" s="14" t="n">
        <v>20</v>
      </c>
      <c r="S325" s="10" t="n"/>
      <c r="T325" s="10" t="n"/>
      <c r="U325" s="15" t="inlineStr">
        <is>
          <t>https://streamline.connpass.com/event/403209/</t>
        </is>
      </c>
      <c r="V325" s="10" t="n"/>
      <c r="W325" s="10" t="inlineStr">
        <is>
          <t>タイトル一致</t>
        </is>
      </c>
      <c r="X325" s="10" t="n"/>
    </row>
    <row r="326">
      <c r="A326" s="10" t="n">
        <v>325</v>
      </c>
      <c r="B326" s="24" t="n">
        <v>46249</v>
      </c>
      <c r="C326" s="24" t="n">
        <v>46249</v>
      </c>
      <c r="D326" s="10">
        <f>MONTH(B326)&amp;"月"</f>
        <v/>
      </c>
      <c r="E326" s="12" t="n">
        <v>1</v>
      </c>
      <c r="F326" s="10" t="n"/>
      <c r="G326" s="10" t="inlineStr">
        <is>
          <t>【一夜限りのオンライン開催】ゼロから始めるClaude Code講座</t>
        </is>
      </c>
      <c r="H326" s="10" t="inlineStr">
        <is>
          <t>みんなのグラさんと愉快な仲間たち</t>
        </is>
      </c>
      <c r="I326" s="10" t="n"/>
      <c r="J326" s="10" t="inlineStr">
        <is>
          <t>connpass</t>
        </is>
      </c>
      <c r="K326" s="10" t="inlineStr">
        <is>
          <t>オンライン</t>
        </is>
      </c>
      <c r="L326" s="10" t="inlineStr">
        <is>
          <t>オンライン</t>
        </is>
      </c>
      <c r="M326" s="10" t="inlineStr">
        <is>
          <t>開発生産性</t>
        </is>
      </c>
      <c r="N326" s="10" t="inlineStr">
        <is>
          <t>AIエージェント</t>
        </is>
      </c>
      <c r="O326" s="12" t="inlineStr">
        <is>
          <t>○</t>
        </is>
      </c>
      <c r="P326" s="13" t="n">
        <v>0</v>
      </c>
      <c r="Q326" s="12" t="inlineStr">
        <is>
          <t>参加者数</t>
        </is>
      </c>
      <c r="R326" s="14" t="n"/>
      <c r="S326" s="10" t="n"/>
      <c r="T326" s="10" t="n"/>
      <c r="U326" s="15" t="inlineStr">
        <is>
          <t>https://glass-sun.connpass.com/event/402400/</t>
        </is>
      </c>
      <c r="V326" s="10" t="n"/>
      <c r="W326" s="10" t="inlineStr">
        <is>
          <t>タイトル一致</t>
        </is>
      </c>
      <c r="X326" s="10" t="n"/>
    </row>
    <row r="327">
      <c r="A327" s="10" t="n">
        <v>326</v>
      </c>
      <c r="B327" s="24" t="n">
        <v>46249</v>
      </c>
      <c r="C327" s="24" t="n">
        <v>46291</v>
      </c>
      <c r="D327" s="10">
        <f>MONTH(B327)&amp;"月"</f>
        <v/>
      </c>
      <c r="E327" s="12" t="n">
        <v>6</v>
      </c>
      <c r="F327" s="10" t="inlineStr">
        <is>
          <t>08/15、08/22、08/29、09/12、09/19、09/26</t>
        </is>
      </c>
      <c r="G327" s="10" t="inlineStr">
        <is>
          <t>ゼロからはじめるPython入門講座（対面・無料）</t>
        </is>
      </c>
      <c r="H327" s="10" t="inlineStr">
        <is>
          <t>techgym</t>
        </is>
      </c>
      <c r="I327" s="10" t="n"/>
      <c r="J327" s="10" t="inlineStr">
        <is>
          <t>Doorkeeper</t>
        </is>
      </c>
      <c r="K327" s="10" t="inlineStr">
        <is>
          <t>会場</t>
        </is>
      </c>
      <c r="L327" s="10" t="inlineStr">
        <is>
          <t>VORT永田町6F 東京都千代田区平河町2-7-2</t>
        </is>
      </c>
      <c r="M327" s="10" t="inlineStr">
        <is>
          <t>営業・マーケ・CS</t>
        </is>
      </c>
      <c r="N327" s="10" t="inlineStr">
        <is>
          <t>AIエージェント</t>
        </is>
      </c>
      <c r="O327" s="12" t="inlineStr">
        <is>
          <t>○</t>
        </is>
      </c>
      <c r="P327" s="13" t="n">
        <v>1</v>
      </c>
      <c r="Q327" s="12" t="inlineStr">
        <is>
          <t>参加者数</t>
        </is>
      </c>
      <c r="R327" s="14" t="n">
        <v>30</v>
      </c>
      <c r="S327" s="10" t="inlineStr">
        <is>
          <t>全6回の合計</t>
        </is>
      </c>
      <c r="T327" s="10" t="inlineStr">
        <is>
          <t xml:space="preserve"> 【無料】ゼロからはじめるPython入門講座（対面・無料） 世界で大人気のプログラミング言語「Python」で簡単なゲームを作る講座を開催します。 こちらのセミナーはテックジム Python基礎コース のテキストを利用します。 当講座はおかげさまで、創業8年で毎週開催、すでに全国で2万人以上が参加しました。 これから初めてプログラミングを体験する方もご安心してご参加いただけます。 【永田町で対面開催となります】 オンラインでは出来ない</t>
        </is>
      </c>
      <c r="U327" s="15" t="inlineStr">
        <is>
          <t>https://techgym.doorkeeper.jp/events/198719</t>
        </is>
      </c>
      <c r="V327" s="10" t="n"/>
      <c r="W327" s="10" t="inlineStr">
        <is>
          <t>本文一致</t>
        </is>
      </c>
      <c r="X327" s="10" t="n"/>
    </row>
    <row r="328">
      <c r="A328" s="10" t="n">
        <v>327</v>
      </c>
      <c r="B328" s="24" t="n">
        <v>46249</v>
      </c>
      <c r="C328" s="24" t="n">
        <v>46249</v>
      </c>
      <c r="D328" s="10">
        <f>MONTH(B328)&amp;"月"</f>
        <v/>
      </c>
      <c r="E328" s="12" t="n">
        <v>1</v>
      </c>
      <c r="F328" s="10" t="n"/>
      <c r="G328" s="10" t="inlineStr">
        <is>
          <t>今さら聞けないClaude Codeスラッシュコマンド入門@オンライン</t>
        </is>
      </c>
      <c r="H328" s="10" t="inlineStr">
        <is>
          <t>ITエンジニア One Up 勉強会</t>
        </is>
      </c>
      <c r="I328" s="10" t="n"/>
      <c r="J328" s="10" t="inlineStr">
        <is>
          <t>connpass</t>
        </is>
      </c>
      <c r="K328" s="10" t="inlineStr">
        <is>
          <t>オンライン</t>
        </is>
      </c>
      <c r="L328" s="10" t="inlineStr">
        <is>
          <t>オンライン</t>
        </is>
      </c>
      <c r="M328" s="10" t="inlineStr">
        <is>
          <t>開発生産性</t>
        </is>
      </c>
      <c r="N328" s="10" t="inlineStr">
        <is>
          <t>AIエージェント</t>
        </is>
      </c>
      <c r="O328" s="12" t="inlineStr">
        <is>
          <t>○</t>
        </is>
      </c>
      <c r="P328" s="13" t="n">
        <v>26</v>
      </c>
      <c r="Q328" s="12" t="inlineStr">
        <is>
          <t>参加者数</t>
        </is>
      </c>
      <c r="R328" s="14" t="n">
        <v>30</v>
      </c>
      <c r="S328" s="10" t="n"/>
      <c r="T328" s="10" t="n"/>
      <c r="U328" s="15" t="inlineStr">
        <is>
          <t>https://streamline.connpass.com/event/403211/</t>
        </is>
      </c>
      <c r="V328" s="10" t="n"/>
      <c r="W328" s="10" t="inlineStr">
        <is>
          <t>タイトル一致</t>
        </is>
      </c>
      <c r="X328" s="10" t="n"/>
    </row>
    <row r="329">
      <c r="A329" s="10" t="n">
        <v>328</v>
      </c>
      <c r="B329" s="24" t="n">
        <v>46249</v>
      </c>
      <c r="C329" s="24" t="n">
        <v>46249</v>
      </c>
      <c r="D329" s="10">
        <f>MONTH(B329)&amp;"月"</f>
        <v/>
      </c>
      <c r="E329" s="12" t="n">
        <v>1</v>
      </c>
      <c r="F329" s="10" t="n"/>
      <c r="G329" s="10" t="inlineStr">
        <is>
          <t>第4回ハンズオン勉強会 Codex CLI 深掘り②（ChatGPT 有料プラン契約必須）</t>
        </is>
      </c>
      <c r="H329" s="10" t="inlineStr">
        <is>
          <t>CDLE熊本</t>
        </is>
      </c>
      <c r="I329" s="10" t="n"/>
      <c r="J329" s="10" t="inlineStr">
        <is>
          <t>connpass</t>
        </is>
      </c>
      <c r="K329" s="10" t="inlineStr">
        <is>
          <t>会場</t>
        </is>
      </c>
      <c r="L329" s="10" t="inlineStr">
        <is>
          <t>熊本県熊本市西区春日1丁目14-1</t>
        </is>
      </c>
      <c r="M329" s="10" t="inlineStr">
        <is>
          <t>開発生産性</t>
        </is>
      </c>
      <c r="N329" s="10" t="inlineStr">
        <is>
          <t>AIエージェント</t>
        </is>
      </c>
      <c r="O329" s="12" t="inlineStr">
        <is>
          <t>○</t>
        </is>
      </c>
      <c r="P329" s="13" t="n">
        <v>3</v>
      </c>
      <c r="Q329" s="12" t="inlineStr">
        <is>
          <t>参加者数</t>
        </is>
      </c>
      <c r="R329" s="14" t="n">
        <v>13</v>
      </c>
      <c r="S329" s="10" t="n"/>
      <c r="T329" s="10" t="n"/>
      <c r="U329" s="15" t="inlineStr">
        <is>
          <t>https://cdle-kumamoto.connpass.com/event/401212/</t>
        </is>
      </c>
      <c r="V329" s="10" t="n"/>
      <c r="W329" s="10" t="inlineStr">
        <is>
          <t>タイトル一致</t>
        </is>
      </c>
      <c r="X329" s="10" t="n"/>
    </row>
    <row r="330">
      <c r="A330" s="10" t="n">
        <v>329</v>
      </c>
      <c r="B330" s="24" t="n">
        <v>46250</v>
      </c>
      <c r="C330" s="24" t="n">
        <v>46250</v>
      </c>
      <c r="D330" s="10">
        <f>MONTH(B330)&amp;"月"</f>
        <v/>
      </c>
      <c r="E330" s="12" t="n">
        <v>1</v>
      </c>
      <c r="F330" s="10" t="n"/>
      <c r="G330" s="10" t="inlineStr">
        <is>
          <t>声だけで、Webページが変わる4時間|はじめてのAIエージェント講座（浅草橋・定員6名）</t>
        </is>
      </c>
      <c r="H330" s="10" t="inlineStr">
        <is>
          <t>monochr</t>
        </is>
      </c>
      <c r="I330" s="10" t="n"/>
      <c r="J330" s="10" t="inlineStr">
        <is>
          <t>Doorkeeper</t>
        </is>
      </c>
      <c r="K330" s="10" t="inlineStr">
        <is>
          <t>会場</t>
        </is>
      </c>
      <c r="L330" s="10" t="inlineStr">
        <is>
          <t>キッチンスタジオ Kitchen Bee 東京都台東区浅草橋1-8-6-202</t>
        </is>
      </c>
      <c r="M330" s="10" t="inlineStr">
        <is>
          <t>生産性向上・業務効率化</t>
        </is>
      </c>
      <c r="N330" s="10" t="inlineStr">
        <is>
          <t>AIエージェント</t>
        </is>
      </c>
      <c r="O330" s="12" t="inlineStr">
        <is>
          <t>◎</t>
        </is>
      </c>
      <c r="P330" s="13" t="n">
        <v>3</v>
      </c>
      <c r="Q330" s="12" t="inlineStr">
        <is>
          <t>参加者数</t>
        </is>
      </c>
      <c r="R330" s="14" t="n">
        <v>6</v>
      </c>
      <c r="S330" s="10" t="n"/>
      <c r="T330" s="10" t="inlineStr">
        <is>
          <t xml:space="preserve"> 8/16（日）浅草橋・6名限定。声で話しかけるだけで、当日あなた専用のWebページがネット上で書き換わります。プログラミングなし・タイピングほぼなし。ITが苦手な人のための、"聞くだけじゃない"AI講座です。 開始15分後、あなたのパソコンの中に「AIが働いた証拠」がひとつできています。黒い画面も、プログラミングも、専門用語も出てきません。あなたがすることは、日本語で話しかけることと、「はい」か「いいえ」を判断すること。 この2つだけ</t>
        </is>
      </c>
      <c r="U330" s="15" t="inlineStr">
        <is>
          <t>https://monochr.doorkeeper.jp/events/198449</t>
        </is>
      </c>
      <c r="V330" s="10" t="n"/>
      <c r="W330" s="10" t="inlineStr">
        <is>
          <t>タイトル一致</t>
        </is>
      </c>
      <c r="X330" s="10" t="n"/>
    </row>
    <row r="331">
      <c r="A331" s="10" t="n">
        <v>330</v>
      </c>
      <c r="B331" s="24" t="n">
        <v>46251</v>
      </c>
      <c r="C331" s="24" t="n">
        <v>46251</v>
      </c>
      <c r="D331" s="10">
        <f>MONTH(B331)&amp;"月"</f>
        <v/>
      </c>
      <c r="E331" s="12" t="n">
        <v>1</v>
      </c>
      <c r="F331" s="10" t="n"/>
      <c r="G331" s="10" t="inlineStr">
        <is>
          <t>AIエージェントキャッチアップ #88 - Cloudflare OS</t>
        </is>
      </c>
      <c r="H331" s="10" t="inlineStr">
        <is>
          <t>ジェネラティブエージェンツ / Generative Agents</t>
        </is>
      </c>
      <c r="I331" s="10" t="n"/>
      <c r="J331" s="10" t="inlineStr">
        <is>
          <t>connpass</t>
        </is>
      </c>
      <c r="K331" s="10" t="inlineStr">
        <is>
          <t>オンライン</t>
        </is>
      </c>
      <c r="L331" s="10" t="inlineStr">
        <is>
          <t>オンライン</t>
        </is>
      </c>
      <c r="M331" s="10" t="inlineStr">
        <is>
          <t>技術・AI全般</t>
        </is>
      </c>
      <c r="N331" s="10" t="inlineStr">
        <is>
          <t>AIエージェント</t>
        </is>
      </c>
      <c r="O331" s="12" t="inlineStr">
        <is>
          <t>○</t>
        </is>
      </c>
      <c r="P331" s="13" t="n">
        <v>72</v>
      </c>
      <c r="Q331" s="12" t="inlineStr">
        <is>
          <t>参加者数</t>
        </is>
      </c>
      <c r="R331" s="14" t="n">
        <v>200</v>
      </c>
      <c r="S331" s="10" t="n"/>
      <c r="T331" s="10" t="n"/>
      <c r="U331" s="15" t="inlineStr">
        <is>
          <t>https://generative-agents.connpass.com/event/403576/</t>
        </is>
      </c>
      <c r="V331" s="10" t="n"/>
      <c r="W331" s="10" t="inlineStr">
        <is>
          <t>タイトル一致</t>
        </is>
      </c>
      <c r="X331" s="10" t="n"/>
    </row>
    <row r="332">
      <c r="A332" s="10" t="n">
        <v>331</v>
      </c>
      <c r="B332" s="24" t="n">
        <v>46252</v>
      </c>
      <c r="C332" s="24" t="n">
        <v>46281</v>
      </c>
      <c r="D332" s="10">
        <f>MONTH(B332)&amp;"月"</f>
        <v/>
      </c>
      <c r="E332" s="12" t="n">
        <v>2</v>
      </c>
      <c r="F332" s="10" t="inlineStr">
        <is>
          <t>08/18、09/16</t>
        </is>
      </c>
      <c r="G332" s="10" t="inlineStr">
        <is>
          <t>ClaudeCode業務自動化ワークショップ【参加無料】</t>
        </is>
      </c>
      <c r="H332" s="10" t="inlineStr">
        <is>
          <t>smile_up0806</t>
        </is>
      </c>
      <c r="I332" s="10" t="n"/>
      <c r="J332" s="10" t="inlineStr">
        <is>
          <t>connpass</t>
        </is>
      </c>
      <c r="K332" s="10" t="inlineStr">
        <is>
          <t>会場</t>
        </is>
      </c>
      <c r="L332" s="10" t="inlineStr">
        <is>
          <t>(場所未定)</t>
        </is>
      </c>
      <c r="M332" s="10" t="inlineStr">
        <is>
          <t>営業・マーケ・CS</t>
        </is>
      </c>
      <c r="N332" s="10" t="inlineStr">
        <is>
          <t>AIエージェント</t>
        </is>
      </c>
      <c r="O332" s="12" t="inlineStr">
        <is>
          <t>◎</t>
        </is>
      </c>
      <c r="P332" s="13" t="n">
        <v>3</v>
      </c>
      <c r="Q332" s="12" t="inlineStr">
        <is>
          <t>参加者数</t>
        </is>
      </c>
      <c r="R332" s="14" t="n">
        <v>20</v>
      </c>
      <c r="S332" s="10" t="inlineStr">
        <is>
          <t>全2回の合計</t>
        </is>
      </c>
      <c r="T332" s="10" t="n"/>
      <c r="U332" s="15" t="inlineStr">
        <is>
          <t>https://connpass.com/event/403524/</t>
        </is>
      </c>
      <c r="V332" s="10" t="n"/>
      <c r="W332" s="10" t="inlineStr">
        <is>
          <t>タイトル一致</t>
        </is>
      </c>
      <c r="X332" s="10" t="n"/>
    </row>
    <row r="333">
      <c r="A333" s="10" t="n">
        <v>332</v>
      </c>
      <c r="B333" s="24" t="n">
        <v>46252</v>
      </c>
      <c r="C333" s="24" t="n">
        <v>46252</v>
      </c>
      <c r="D333" s="10">
        <f>MONTH(B333)&amp;"月"</f>
        <v/>
      </c>
      <c r="E333" s="12" t="n">
        <v>1</v>
      </c>
      <c r="F333" s="10" t="n"/>
      <c r="G333" s="10" t="inlineStr">
        <is>
          <t>JAWS-UG 名古屋 〜 Amazon Bedrock AgentCore LT会</t>
        </is>
      </c>
      <c r="H333" s="10" t="inlineStr">
        <is>
          <t>JAWS-UG 名古屋</t>
        </is>
      </c>
      <c r="I333" s="10" t="n"/>
      <c r="J333" s="10" t="inlineStr">
        <is>
          <t>connpass</t>
        </is>
      </c>
      <c r="K333" s="10" t="inlineStr">
        <is>
          <t>会場</t>
        </is>
      </c>
      <c r="L333" s="10" t="inlineStr">
        <is>
          <t>名古屋市中村区名駅1-1-1 JPタワー名古屋36階</t>
        </is>
      </c>
      <c r="M333" s="10" t="inlineStr">
        <is>
          <t>技術・AI全般</t>
        </is>
      </c>
      <c r="N333" s="10" t="inlineStr">
        <is>
          <t>AIエージェント</t>
        </is>
      </c>
      <c r="O333" s="12" t="inlineStr">
        <is>
          <t>○</t>
        </is>
      </c>
      <c r="P333" s="13" t="n"/>
      <c r="Q333" s="12" t="inlineStr">
        <is>
          <t>不明</t>
        </is>
      </c>
      <c r="R333" s="14" t="n"/>
      <c r="S333" s="10" t="n"/>
      <c r="T333" s="10" t="n"/>
      <c r="U333" s="15" t="inlineStr">
        <is>
          <t>https://jawsug-nagoya.connpass.com/event/400487/</t>
        </is>
      </c>
      <c r="V333" s="10" t="n"/>
      <c r="W333" s="10" t="inlineStr">
        <is>
          <t>タイトル一致</t>
        </is>
      </c>
      <c r="X333" s="10" t="n"/>
    </row>
    <row r="334">
      <c r="A334" s="10" t="n">
        <v>333</v>
      </c>
      <c r="B334" s="24" t="n">
        <v>46252</v>
      </c>
      <c r="C334" s="24" t="n">
        <v>46294</v>
      </c>
      <c r="D334" s="10">
        <f>MONTH(B334)&amp;"月"</f>
        <v/>
      </c>
      <c r="E334" s="12" t="n">
        <v>4</v>
      </c>
      <c r="F334" s="10" t="inlineStr">
        <is>
          <t>08/18、08/29、09/22、09/29</t>
        </is>
      </c>
      <c r="G334" s="10" t="inlineStr">
        <is>
          <t>【参加無料】非エンジニアでも大丈夫！AIペアプログラミングを体験する60分-Claude Code活用超入門</t>
        </is>
      </c>
      <c r="H334" s="10" t="inlineStr">
        <is>
          <t>和から株式会社</t>
        </is>
      </c>
      <c r="I334" s="10" t="n"/>
      <c r="J334" s="10" t="inlineStr">
        <is>
          <t>TECH PLAY</t>
        </is>
      </c>
      <c r="K334" s="10" t="inlineStr">
        <is>
          <t>オンライン</t>
        </is>
      </c>
      <c r="L334" s="10" t="n"/>
      <c r="M334" s="10" t="inlineStr">
        <is>
          <t>生産性向上・業務効率化</t>
        </is>
      </c>
      <c r="N334" s="10" t="inlineStr">
        <is>
          <t>AIエージェント</t>
        </is>
      </c>
      <c r="O334" s="12" t="inlineStr">
        <is>
          <t>◎</t>
        </is>
      </c>
      <c r="P334" s="13" t="n">
        <v>56</v>
      </c>
      <c r="Q334" s="12" t="inlineStr">
        <is>
          <t>申込者数</t>
        </is>
      </c>
      <c r="R334" s="14" t="n">
        <v>64</v>
      </c>
      <c r="S334" s="10" t="inlineStr">
        <is>
          <t>全4回の合計</t>
        </is>
      </c>
      <c r="T334" s="10" t="inlineStr">
        <is>
          <t>Claude Codeはあなたの業務でも使えます 「Claude Codeが話題らしい」「なんか便利そう」——そう聞いて気になってはいるものの、**「どうせエンジニア向けのツールでしょ」「プログラミングができない自分には関係ない」と一歩引いていませんか。Claude Codeとは、ファイルの作成・整理・編集といった作業を自動でこなしてくれるAIツールです。ふだん使っているChatGPTやGeminiが「質問に答えてくれるAI」だとすれば</t>
        </is>
      </c>
      <c r="U334" s="15" t="inlineStr">
        <is>
          <t>https://techplay.jp/event/998913</t>
        </is>
      </c>
      <c r="V334" s="10" t="n"/>
      <c r="W334" s="10" t="inlineStr">
        <is>
          <t>タイトル一致</t>
        </is>
      </c>
      <c r="X334" s="10" t="n"/>
    </row>
    <row r="335">
      <c r="A335" s="10" t="n">
        <v>334</v>
      </c>
      <c r="B335" s="24" t="n">
        <v>46252</v>
      </c>
      <c r="C335" s="24" t="n">
        <v>46252</v>
      </c>
      <c r="D335" s="10">
        <f>MONTH(B335)&amp;"月"</f>
        <v/>
      </c>
      <c r="E335" s="12" t="n">
        <v>1</v>
      </c>
      <c r="F335" s="10" t="n"/>
      <c r="G335" s="10" t="inlineStr">
        <is>
          <t>【無料・参加特典付き】今までの仕事経験を、AIの武器に変える｜実務経験者のための学習ロードマップ</t>
        </is>
      </c>
      <c r="H335" s="10" t="inlineStr">
        <is>
          <t>株式会社 LiberCraft</t>
        </is>
      </c>
      <c r="I335" s="10" t="n"/>
      <c r="J335" s="10" t="inlineStr">
        <is>
          <t>TECH PLAY</t>
        </is>
      </c>
      <c r="K335" s="10" t="inlineStr">
        <is>
          <t>オンライン</t>
        </is>
      </c>
      <c r="L335" s="10" t="n"/>
      <c r="M335" s="10" t="inlineStr">
        <is>
          <t>営業・マーケ・CS</t>
        </is>
      </c>
      <c r="N335" s="10" t="inlineStr">
        <is>
          <t>AIエージェント</t>
        </is>
      </c>
      <c r="O335" s="12" t="inlineStr">
        <is>
          <t>○</t>
        </is>
      </c>
      <c r="P335" s="13" t="n">
        <v>6</v>
      </c>
      <c r="Q335" s="12" t="inlineStr">
        <is>
          <t>申込者数</t>
        </is>
      </c>
      <c r="R335" s="14" t="n">
        <v>100</v>
      </c>
      <c r="S335" s="10" t="n"/>
      <c r="T335" s="10" t="inlineStr">
        <is>
          <t>━━━━━━━━━━━━━━━━━━━━ 今までの仕事経験は、AIを学ぶうえで遠回りではありません。 むしろ「何を作れば役に立つのか」を考えるための武器になります。 ━━━━━━━━━━━━━━━━━━━━ ChatGPTや生成AIを使う機会は増えた。 でも、 「この先、AIを使えるだけでキャリアは変わるのだろうか」 「作る側の仕事にも興味はあるけれど、何から学べばいいのか分からない」 「エンジニア経験がない自分でも、今までの仕事を活か</t>
        </is>
      </c>
      <c r="U335" s="15" t="inlineStr">
        <is>
          <t>https://techplay.jp/event/999263</t>
        </is>
      </c>
      <c r="V335" s="10" t="n"/>
      <c r="W335" s="10" t="inlineStr">
        <is>
          <t>本文一致</t>
        </is>
      </c>
      <c r="X335" s="10" t="n"/>
    </row>
    <row r="336">
      <c r="A336" s="10" t="n">
        <v>335</v>
      </c>
      <c r="B336" s="24" t="n">
        <v>46252</v>
      </c>
      <c r="C336" s="24" t="n">
        <v>46252</v>
      </c>
      <c r="D336" s="10">
        <f>MONTH(B336)&amp;"月"</f>
        <v/>
      </c>
      <c r="E336" s="12" t="n">
        <v>1</v>
      </c>
      <c r="F336" s="10" t="n"/>
      <c r="G336" s="10" t="inlineStr">
        <is>
          <t>ホリエモンAI学校福岡校、Claudeなどの生成AIを活用した「AIエージェントによる業務自動化」無料ウェビナーを8月18日に開催</t>
        </is>
      </c>
      <c r="H336" s="10" t="inlineStr">
        <is>
          <t>株式会社マナビバ／ホリエモンAI学校福岡校</t>
        </is>
      </c>
      <c r="I336" s="10" t="n"/>
      <c r="J336" s="10" t="inlineStr">
        <is>
          <t>PR TIMES</t>
        </is>
      </c>
      <c r="K336" s="10" t="inlineStr">
        <is>
          <t>online</t>
        </is>
      </c>
      <c r="L336" s="10" t="inlineStr">
        <is>
          <t>オンライン（Zoom）</t>
        </is>
      </c>
      <c r="M336" s="10" t="inlineStr">
        <is>
          <t>生産性向上・業務効率化</t>
        </is>
      </c>
      <c r="N336" s="10" t="inlineStr">
        <is>
          <t>AIエージェント</t>
        </is>
      </c>
      <c r="O336" s="12" t="inlineStr">
        <is>
          <t>◎</t>
        </is>
      </c>
      <c r="P336" s="13" t="n"/>
      <c r="Q336" s="12" t="inlineStr">
        <is>
          <t>不明</t>
        </is>
      </c>
      <c r="R336" s="14" t="n"/>
      <c r="S336" s="10" t="n"/>
      <c r="T336" s="10" t="inlineStr">
        <is>
          <t>ホリエモンAI学校株式会社（本社：東京都、代表取締役社長：荒木賢二郎）は、ホリエモンAI学校福岡校が、2026年8月18日（火）12時より、Claudeをはじめとする生成AIを活用した無料ウェビナー「AIエージェントによる業務自動化」を開催することをお知らせします。 開催の背景 近年、多くの企業で生成AIの活用が進む一方、その用途は文章作成や情報検索にとどまり、日常業務そのものの自動化にまで活用できている企業は、まだ多くありません。 特</t>
        </is>
      </c>
      <c r="U336" s="15" t="inlineStr">
        <is>
          <t>https://prtimes.jp/main/html/rd/p/000000144.000142396.html</t>
        </is>
      </c>
      <c r="V336" s="10" t="n"/>
      <c r="W336" s="10" t="inlineStr">
        <is>
          <t>タイトル一致</t>
        </is>
      </c>
      <c r="X336" s="10" t="n"/>
    </row>
    <row r="337">
      <c r="A337" s="10" t="n">
        <v>336</v>
      </c>
      <c r="B337" s="24" t="n">
        <v>46252</v>
      </c>
      <c r="C337" s="24" t="n">
        <v>46252</v>
      </c>
      <c r="D337" s="10">
        <f>MONTH(B337)&amp;"月"</f>
        <v/>
      </c>
      <c r="E337" s="12" t="n">
        <v>1</v>
      </c>
      <c r="F337" s="10" t="n"/>
      <c r="G337" s="10" t="inlineStr">
        <is>
          <t>事例から学ぶ！ 少数精鋭チームのセキュリティ防衛術 ~組織フェーズでみる取捨選択~</t>
        </is>
      </c>
      <c r="H337" s="10" t="inlineStr">
        <is>
          <t>Findy/ファインディ</t>
        </is>
      </c>
      <c r="I337" s="10" t="n"/>
      <c r="J337" s="10" t="inlineStr">
        <is>
          <t>TECH PLAY</t>
        </is>
      </c>
      <c r="K337" s="10" t="inlineStr">
        <is>
          <t>オンライン</t>
        </is>
      </c>
      <c r="L337" s="10" t="n"/>
      <c r="M337" s="10" t="inlineStr">
        <is>
          <t>生産管理・製造・SCM</t>
        </is>
      </c>
      <c r="N337" s="10" t="inlineStr">
        <is>
          <t>AIエージェント</t>
        </is>
      </c>
      <c r="O337" s="12" t="inlineStr">
        <is>
          <t>○</t>
        </is>
      </c>
      <c r="P337" s="13" t="n">
        <v>25</v>
      </c>
      <c r="Q337" s="12" t="inlineStr">
        <is>
          <t>申込者数</t>
        </is>
      </c>
      <c r="R337" s="14" t="n">
        <v>350</v>
      </c>
      <c r="S337" s="10" t="n"/>
      <c r="T337" s="10" t="inlineStr">
        <is>
          <t>✍️概要 セキュリティの重要性が叫ばれているにも関わらず、専任チームに十分な人員を割ける組織はまだまだ多くありません。 セキュリティ部門の中でもやることが幅広く、限られた体制で対応に追われている企業も少なくないのではないでしょうか。 本イベントでは、限られた人員体制の中で着実にセキュリティ対策を進めてきた会社の"導入事例"についてフォーカスします。 またここで言う”導入”とは、ただツールを導入した、といった文脈だけに留まりません。 セキ</t>
        </is>
      </c>
      <c r="U337" s="15" t="inlineStr">
        <is>
          <t>https://techplay.jp/event/998747</t>
        </is>
      </c>
      <c r="V337" s="10" t="n"/>
      <c r="W337" s="10" t="inlineStr">
        <is>
          <t>本文一致</t>
        </is>
      </c>
      <c r="X337" s="10" t="n"/>
    </row>
    <row r="338">
      <c r="A338" s="10" t="n">
        <v>337</v>
      </c>
      <c r="B338" s="24" t="n">
        <v>46252</v>
      </c>
      <c r="C338" s="24" t="n">
        <v>46252</v>
      </c>
      <c r="D338" s="10">
        <f>MONTH(B338)&amp;"月"</f>
        <v/>
      </c>
      <c r="E338" s="12" t="n">
        <v>1</v>
      </c>
      <c r="F338" s="10" t="n"/>
      <c r="G338" s="10" t="inlineStr">
        <is>
          <t>初心者でも1時間で理解！ビジネスマンのためのCodex活用セミナー【初級編】</t>
        </is>
      </c>
      <c r="H338" s="10" t="inlineStr">
        <is>
          <t>Polyscape</t>
        </is>
      </c>
      <c r="I338" s="10" t="n"/>
      <c r="J338" s="10" t="inlineStr">
        <is>
          <t>connpass</t>
        </is>
      </c>
      <c r="K338" s="10" t="inlineStr">
        <is>
          <t>オンライン</t>
        </is>
      </c>
      <c r="L338" s="10" t="inlineStr">
        <is>
          <t>オンライン</t>
        </is>
      </c>
      <c r="M338" s="10" t="inlineStr">
        <is>
          <t>生産性向上・業務効率化</t>
        </is>
      </c>
      <c r="N338" s="10" t="inlineStr">
        <is>
          <t>AIエージェント</t>
        </is>
      </c>
      <c r="O338" s="12" t="inlineStr">
        <is>
          <t>◎</t>
        </is>
      </c>
      <c r="P338" s="13" t="n">
        <v>22</v>
      </c>
      <c r="Q338" s="12" t="inlineStr">
        <is>
          <t>参加者数</t>
        </is>
      </c>
      <c r="R338" s="14" t="n"/>
      <c r="S338" s="10" t="n"/>
      <c r="T338" s="10" t="n"/>
      <c r="U338" s="15" t="inlineStr">
        <is>
          <t>https://polyscape.connpass.com/event/401440/</t>
        </is>
      </c>
      <c r="V338" s="10" t="n"/>
      <c r="W338" s="10" t="inlineStr">
        <is>
          <t>タイトル一致</t>
        </is>
      </c>
      <c r="X338" s="10" t="n"/>
    </row>
    <row r="339">
      <c r="A339" s="10" t="n">
        <v>338</v>
      </c>
      <c r="B339" s="24" t="n">
        <v>46252</v>
      </c>
      <c r="C339" s="24" t="n">
        <v>46252</v>
      </c>
      <c r="D339" s="10">
        <f>MONTH(B339)&amp;"月"</f>
        <v/>
      </c>
      <c r="E339" s="12" t="n">
        <v>1</v>
      </c>
      <c r="F339" s="10" t="n"/>
      <c r="G339" s="10" t="inlineStr">
        <is>
          <t>非エンジニアがClaude Codeで自部署の業務ツールを作る ー 明日試せる作り方と、部署で安全に回すまでの設計</t>
        </is>
      </c>
      <c r="H339" s="10" t="inlineStr">
        <is>
          <t>株式会社 LiberCraft</t>
        </is>
      </c>
      <c r="I339" s="10" t="n"/>
      <c r="J339" s="10" t="inlineStr">
        <is>
          <t>TECH PLAY</t>
        </is>
      </c>
      <c r="K339" s="10" t="inlineStr">
        <is>
          <t>オンライン</t>
        </is>
      </c>
      <c r="L339" s="10" t="n"/>
      <c r="M339" s="10" t="inlineStr">
        <is>
          <t>生産性向上・業務効率化</t>
        </is>
      </c>
      <c r="N339" s="10" t="inlineStr">
        <is>
          <t>AIエージェント</t>
        </is>
      </c>
      <c r="O339" s="12" t="inlineStr">
        <is>
          <t>◎</t>
        </is>
      </c>
      <c r="P339" s="13" t="n">
        <v>10</v>
      </c>
      <c r="Q339" s="12" t="inlineStr">
        <is>
          <t>申込者数</t>
        </is>
      </c>
      <c r="R339" s="14" t="n">
        <v>100</v>
      </c>
      <c r="S339" s="10" t="n"/>
      <c r="T339" s="10" t="inlineStr">
        <is>
          <t>━━━━━━━━━━━━━━━━━━━━━━━━━━━━━━━ 「使う」から「自分の業務に合わせて作る」へ ── コードを書かずに自部署のツールを作る ━━━━━━━━━━━━━━━━━━━━━━━━━━━━━━━ ✓ Excelの集計・請求書PDFの転記・毎週のレポート作りが手作業のまま ✓ ツール作りはエンジニアに頼むしかないと思っている ✓ 生成AIは使っているが、自分の業務に合わせて作るところまで進めていない ✓ 個人で便利に使</t>
        </is>
      </c>
      <c r="U339" s="15" t="inlineStr">
        <is>
          <t>https://techplay.jp/event/998057</t>
        </is>
      </c>
      <c r="V339" s="10" t="n"/>
      <c r="W339" s="10" t="inlineStr">
        <is>
          <t>タイトル一致</t>
        </is>
      </c>
      <c r="X339" s="10" t="n"/>
    </row>
    <row r="340">
      <c r="A340" s="10" t="n">
        <v>339</v>
      </c>
      <c r="B340" s="24" t="n">
        <v>46253</v>
      </c>
      <c r="C340" s="24" t="n">
        <v>46295</v>
      </c>
      <c r="D340" s="10">
        <f>MONTH(B340)&amp;"月"</f>
        <v/>
      </c>
      <c r="E340" s="12" t="n">
        <v>2</v>
      </c>
      <c r="F340" s="10" t="inlineStr">
        <is>
          <t>08/19、09/30</t>
        </is>
      </c>
      <c r="G340" s="10" t="inlineStr">
        <is>
          <t>#CodeRabbit オンラインワークショップ「AIコーディングエージェント連携」</t>
        </is>
      </c>
      <c r="H340" s="10" t="inlineStr">
        <is>
          <t>CodeRabbit</t>
        </is>
      </c>
      <c r="I340" s="10" t="n"/>
      <c r="J340" s="10" t="inlineStr">
        <is>
          <t>connpass</t>
        </is>
      </c>
      <c r="K340" s="10" t="inlineStr">
        <is>
          <t>オンライン</t>
        </is>
      </c>
      <c r="L340" s="10" t="inlineStr">
        <is>
          <t>オンライン</t>
        </is>
      </c>
      <c r="M340" s="10" t="inlineStr">
        <is>
          <t>開発生産性</t>
        </is>
      </c>
      <c r="N340" s="10" t="inlineStr">
        <is>
          <t>AIエージェント</t>
        </is>
      </c>
      <c r="O340" s="12" t="inlineStr">
        <is>
          <t>○</t>
        </is>
      </c>
      <c r="P340" s="13" t="n">
        <v>24</v>
      </c>
      <c r="Q340" s="12" t="inlineStr">
        <is>
          <t>参加者数</t>
        </is>
      </c>
      <c r="R340" s="14" t="n"/>
      <c r="S340" s="10" t="inlineStr">
        <is>
          <t>全2回の合計</t>
        </is>
      </c>
      <c r="T340" s="10" t="n"/>
      <c r="U340" s="15" t="inlineStr">
        <is>
          <t>https://coderabbit.connpass.com/event/402788/</t>
        </is>
      </c>
      <c r="V340" s="10" t="n"/>
      <c r="W340" s="10" t="inlineStr">
        <is>
          <t>タイトル一致</t>
        </is>
      </c>
      <c r="X340" s="10" t="n"/>
    </row>
    <row r="341">
      <c r="A341" s="10" t="n">
        <v>340</v>
      </c>
      <c r="B341" s="24" t="n">
        <v>46253</v>
      </c>
      <c r="C341" s="24" t="n">
        <v>46260</v>
      </c>
      <c r="D341" s="10">
        <f>MONTH(B341)&amp;"月"</f>
        <v/>
      </c>
      <c r="E341" s="12" t="n">
        <v>2</v>
      </c>
      <c r="F341" s="10" t="inlineStr">
        <is>
          <t>08/19、08/26</t>
        </is>
      </c>
      <c r="G341" s="10" t="inlineStr">
        <is>
          <t>AI Agent のための RAG System１（全2回）</t>
        </is>
      </c>
      <c r="H341" s="10" t="inlineStr">
        <is>
          <t>Scalar</t>
        </is>
      </c>
      <c r="I341" s="10" t="n"/>
      <c r="J341" s="10" t="inlineStr">
        <is>
          <t>connpass</t>
        </is>
      </c>
      <c r="K341" s="10" t="inlineStr">
        <is>
          <t>オンライン</t>
        </is>
      </c>
      <c r="L341" s="10" t="inlineStr">
        <is>
          <t>オンライン</t>
        </is>
      </c>
      <c r="M341" s="10" t="inlineStr">
        <is>
          <t>技術・AI全般</t>
        </is>
      </c>
      <c r="N341" s="10" t="inlineStr">
        <is>
          <t>AIエージェント</t>
        </is>
      </c>
      <c r="O341" s="12" t="inlineStr">
        <is>
          <t>○</t>
        </is>
      </c>
      <c r="P341" s="13" t="n">
        <v>113</v>
      </c>
      <c r="Q341" s="12" t="inlineStr">
        <is>
          <t>参加者数</t>
        </is>
      </c>
      <c r="R341" s="14" t="n">
        <v>200</v>
      </c>
      <c r="S341" s="10" t="inlineStr">
        <is>
          <t>全2回の合計</t>
        </is>
      </c>
      <c r="T341" s="10" t="n"/>
      <c r="U341" s="15" t="inlineStr">
        <is>
          <t>https://scalar.connpass.com/event/400658/</t>
        </is>
      </c>
      <c r="V341" s="10" t="n"/>
      <c r="W341" s="10" t="inlineStr">
        <is>
          <t>タイトル一致</t>
        </is>
      </c>
      <c r="X341" s="10" t="n"/>
    </row>
    <row r="342">
      <c r="A342" s="10" t="n">
        <v>341</v>
      </c>
      <c r="B342" s="24" t="n">
        <v>46253</v>
      </c>
      <c r="C342" s="24" t="n">
        <v>46253</v>
      </c>
      <c r="D342" s="10">
        <f>MONTH(B342)&amp;"月"</f>
        <v/>
      </c>
      <c r="E342" s="12" t="n">
        <v>1</v>
      </c>
      <c r="F342" s="10" t="n"/>
      <c r="G342" s="10" t="inlineStr">
        <is>
          <t>AIエージェントとの付き合い方を考える〜開発現場のセキュリティリスクとプラクティス〜</t>
        </is>
      </c>
      <c r="H342" s="10" t="inlineStr">
        <is>
          <t>レバテックフリーランス@関西/東海/九州/中四国</t>
        </is>
      </c>
      <c r="I342" s="10" t="n"/>
      <c r="J342" s="10" t="inlineStr">
        <is>
          <t>connpass</t>
        </is>
      </c>
      <c r="K342" s="10" t="inlineStr">
        <is>
          <t>オンライン</t>
        </is>
      </c>
      <c r="L342" s="10" t="inlineStr">
        <is>
          <t>オンライン</t>
        </is>
      </c>
      <c r="M342" s="10" t="inlineStr">
        <is>
          <t>開発生産性</t>
        </is>
      </c>
      <c r="N342" s="10" t="inlineStr">
        <is>
          <t>AIエージェント</t>
        </is>
      </c>
      <c r="O342" s="12" t="inlineStr">
        <is>
          <t>○</t>
        </is>
      </c>
      <c r="P342" s="13" t="n">
        <v>21</v>
      </c>
      <c r="Q342" s="12" t="inlineStr">
        <is>
          <t>参加者数</t>
        </is>
      </c>
      <c r="R342" s="14" t="n"/>
      <c r="S342" s="10" t="n"/>
      <c r="T342" s="10" t="n"/>
      <c r="U342" s="15" t="inlineStr">
        <is>
          <t>https://connpass.com/event/401479/</t>
        </is>
      </c>
      <c r="V342" s="10" t="n"/>
      <c r="W342" s="10" t="inlineStr">
        <is>
          <t>タイトル一致</t>
        </is>
      </c>
      <c r="X342" s="10" t="n"/>
    </row>
    <row r="343">
      <c r="A343" s="10" t="n">
        <v>342</v>
      </c>
      <c r="B343" s="24" t="n">
        <v>46253</v>
      </c>
      <c r="C343" s="24" t="n">
        <v>46253</v>
      </c>
      <c r="D343" s="10">
        <f>MONTH(B343)&amp;"月"</f>
        <v/>
      </c>
      <c r="E343" s="12" t="n">
        <v>1</v>
      </c>
      <c r="F343" s="10" t="n"/>
      <c r="G343" s="10" t="inlineStr">
        <is>
          <t>AIエージェントと連携する時代に人が越境することの価値</t>
        </is>
      </c>
      <c r="H343" s="10" t="inlineStr">
        <is>
          <t>SATOBITO運営事務局</t>
        </is>
      </c>
      <c r="I343" s="10" t="n"/>
      <c r="J343" s="10" t="inlineStr">
        <is>
          <t>こくちーずプロ</t>
        </is>
      </c>
      <c r="K343" s="10" t="inlineStr">
        <is>
          <t>オンライン</t>
        </is>
      </c>
      <c r="L343" s="10" t="inlineStr">
        <is>
          <t>オンライン 日本</t>
        </is>
      </c>
      <c r="M343" s="10" t="inlineStr">
        <is>
          <t>生産性向上・業務効率化</t>
        </is>
      </c>
      <c r="N343" s="10" t="inlineStr">
        <is>
          <t>AIエージェント</t>
        </is>
      </c>
      <c r="O343" s="12" t="inlineStr">
        <is>
          <t>◎</t>
        </is>
      </c>
      <c r="P343" s="13" t="n"/>
      <c r="Q343" s="12" t="inlineStr">
        <is>
          <t>不明</t>
        </is>
      </c>
      <c r="R343" s="14" t="n"/>
      <c r="S343" s="10" t="n"/>
      <c r="T343" s="10" t="inlineStr">
        <is>
          <t>内容 生成AIの活用が当たり前になりつつある今、多くの企業でAIを「使いこなせる」人材の重要性が高まっています。AIができることが増えるほど、逆に問われるのは、主体性や事業・組織を動かす思考力や周囲を巻き込む実行力、といったAIでは代替しにくい人間的な資質です。技術力だけでなく、こうした力をどう育成するか、悩んでいる企業の人事担当者は少なくありません。 Web・アプリ・システムの開発や、面白DX、技術コンサルティングなど幅広く手がける株</t>
        </is>
      </c>
      <c r="U343" s="15" t="inlineStr">
        <is>
          <t>https://www.kokuchpro.com/event/satobito_20260819/</t>
        </is>
      </c>
      <c r="V343" s="10" t="n"/>
      <c r="W343" s="10" t="inlineStr">
        <is>
          <t>タイトル一致</t>
        </is>
      </c>
      <c r="X343" s="10" t="n"/>
    </row>
    <row r="344">
      <c r="A344" s="10" t="n">
        <v>343</v>
      </c>
      <c r="B344" s="24" t="n">
        <v>46253</v>
      </c>
      <c r="C344" s="24" t="n">
        <v>46253</v>
      </c>
      <c r="D344" s="10">
        <f>MONTH(B344)&amp;"月"</f>
        <v/>
      </c>
      <c r="E344" s="12" t="n">
        <v>1</v>
      </c>
      <c r="F344" s="10" t="n"/>
      <c r="G344" s="10" t="inlineStr">
        <is>
          <t>Claude Code一強は本当か？松尾研が実践 Codex・Geminiの底力を出す使い方とは</t>
        </is>
      </c>
      <c r="H344" s="10" t="inlineStr">
        <is>
          <t>#Offers_DeepDive / オファーズ</t>
        </is>
      </c>
      <c r="I344" s="10" t="n"/>
      <c r="J344" s="10" t="inlineStr">
        <is>
          <t>connpass</t>
        </is>
      </c>
      <c r="K344" s="10" t="inlineStr">
        <is>
          <t>オンライン</t>
        </is>
      </c>
      <c r="L344" s="10" t="inlineStr">
        <is>
          <t>オンライン</t>
        </is>
      </c>
      <c r="M344" s="10" t="inlineStr">
        <is>
          <t>開発生産性</t>
        </is>
      </c>
      <c r="N344" s="10" t="inlineStr">
        <is>
          <t>AIエージェント</t>
        </is>
      </c>
      <c r="O344" s="12" t="inlineStr">
        <is>
          <t>○</t>
        </is>
      </c>
      <c r="P344" s="13" t="n">
        <v>602</v>
      </c>
      <c r="Q344" s="12" t="inlineStr">
        <is>
          <t>参加者数</t>
        </is>
      </c>
      <c r="R344" s="14" t="n"/>
      <c r="S344" s="10" t="n"/>
      <c r="T344" s="10" t="n"/>
      <c r="U344" s="15" t="inlineStr">
        <is>
          <t>https://offers-jp.connpass.com/event/399850/</t>
        </is>
      </c>
      <c r="V344" s="10" t="n"/>
      <c r="W344" s="10" t="inlineStr">
        <is>
          <t>タイトル一致</t>
        </is>
      </c>
      <c r="X344" s="10" t="n"/>
    </row>
    <row r="345">
      <c r="A345" s="10" t="n">
        <v>344</v>
      </c>
      <c r="B345" s="24" t="n">
        <v>46253</v>
      </c>
      <c r="C345" s="24" t="n">
        <v>46253</v>
      </c>
      <c r="D345" s="10">
        <f>MONTH(B345)&amp;"月"</f>
        <v/>
      </c>
      <c r="E345" s="12" t="n">
        <v>1</v>
      </c>
      <c r="F345" s="10" t="n"/>
      <c r="G345" s="10" t="inlineStr">
        <is>
          <t>LayerX、AIエージェント時代のバックオフィス変革を先進企業と議論した「バックオフィスAIサミット」の無料オンライン配信決定</t>
        </is>
      </c>
      <c r="H345" s="10" t="inlineStr">
        <is>
          <t>株式会社LayerX</t>
        </is>
      </c>
      <c r="I345" s="10" t="n"/>
      <c r="J345" s="10" t="inlineStr">
        <is>
          <t>PR TIMES</t>
        </is>
      </c>
      <c r="K345" s="10" t="inlineStr">
        <is>
          <t>online</t>
        </is>
      </c>
      <c r="L345" s="10" t="inlineStr">
        <is>
          <t>オンライン配信</t>
        </is>
      </c>
      <c r="M345" s="10" t="inlineStr">
        <is>
          <t>生産性向上・業務効率化</t>
        </is>
      </c>
      <c r="N345" s="10" t="inlineStr">
        <is>
          <t>AIエージェント</t>
        </is>
      </c>
      <c r="O345" s="12" t="inlineStr">
        <is>
          <t>◎</t>
        </is>
      </c>
      <c r="P345" s="13" t="n"/>
      <c r="Q345" s="12" t="inlineStr">
        <is>
          <t>不明</t>
        </is>
      </c>
      <c r="R345" s="14" t="n"/>
      <c r="S345" s="10" t="n"/>
      <c r="T345" s="10" t="inlineStr">
        <is>
          <t>株式会社LayerX（本社：東京都中央区、代表取締役CEO：福島良典、以下「LayerX」）は、2026年6月19日（金）に開催した「バックオフィスAIサミット 〜AIエージェントが仕事を終わらせる時代のバックオフィス再設計〜」のオンライン配信を、2026年8月19日（水）14:00より実施することをお知らせします。 視聴お申込み 本サミットは、AIエージェントが自律的に業務を遂行する実用段階に入った今、バックオフィスを単なる「処理する</t>
        </is>
      </c>
      <c r="U345" s="15" t="inlineStr">
        <is>
          <t>https://prtimes.jp/main/html/rd/p/000000626.000036528.html</t>
        </is>
      </c>
      <c r="V345" s="10" t="n"/>
      <c r="W345" s="10" t="inlineStr">
        <is>
          <t>タイトル一致</t>
        </is>
      </c>
      <c r="X345" s="10" t="n"/>
    </row>
    <row r="346">
      <c r="A346" s="10" t="n">
        <v>345</v>
      </c>
      <c r="B346" s="24" t="n">
        <v>46253</v>
      </c>
      <c r="C346" s="24" t="n">
        <v>46253</v>
      </c>
      <c r="D346" s="10">
        <f>MONTH(B346)&amp;"月"</f>
        <v/>
      </c>
      <c r="E346" s="12" t="n">
        <v>1</v>
      </c>
      <c r="F346" s="10" t="n"/>
      <c r="G346" s="10" t="inlineStr">
        <is>
          <t>RAGは本当にオワコンなのか?  〜エージェント型RAGで変わるカスタマーサポートの最前線〜</t>
        </is>
      </c>
      <c r="H346" s="10" t="inlineStr">
        <is>
          <t>Helpfeelセミナー事務局</t>
        </is>
      </c>
      <c r="I346" s="10" t="n"/>
      <c r="J346" s="10" t="inlineStr">
        <is>
          <t>こくちーずプロ</t>
        </is>
      </c>
      <c r="K346" s="10" t="inlineStr">
        <is>
          <t>オンライン</t>
        </is>
      </c>
      <c r="L346" s="10" t="inlineStr">
        <is>
          <t>オンライン 日本</t>
        </is>
      </c>
      <c r="M346" s="10" t="inlineStr">
        <is>
          <t>営業・マーケ・CS</t>
        </is>
      </c>
      <c r="N346" s="10" t="inlineStr">
        <is>
          <t>AIエージェント</t>
        </is>
      </c>
      <c r="O346" s="12" t="inlineStr">
        <is>
          <t>◎</t>
        </is>
      </c>
      <c r="P346" s="13" t="n"/>
      <c r="Q346" s="12" t="inlineStr">
        <is>
          <t>不明</t>
        </is>
      </c>
      <c r="R346" s="14" t="n"/>
      <c r="S346" s="10" t="n"/>
      <c r="T346" s="10" t="inlineStr">
        <is>
          <t>【AIエージェント×RAGで、カスタマーサポートはどう変わるか】 AIエージェントの台頭で、「RAGはもう古い」という声を耳にする機会も増えましたが、本当にRAGはオワコンなのでしょうか。実際、RAGは進化を止めておらず、AIエージェントと組み合わさることで、従来の検索×生成の枠を超えた「エージェント型RAG」として新たな価値を生み出し始めています。 本セミナーでは、カスタマーサポート領域における最新の活用例を交えながら、次世代の「エー</t>
        </is>
      </c>
      <c r="U346" s="15" t="inlineStr">
        <is>
          <t>https://www.kokuchpro.com/event/b48f849f84745dd2e3987322306c7668/</t>
        </is>
      </c>
      <c r="V346" s="10" t="n"/>
      <c r="W346" s="10" t="inlineStr">
        <is>
          <t>タイトル一致</t>
        </is>
      </c>
      <c r="X346" s="10" t="n"/>
    </row>
    <row r="347">
      <c r="A347" s="10" t="n">
        <v>346</v>
      </c>
      <c r="B347" s="24" t="n">
        <v>46253</v>
      </c>
      <c r="C347" s="24" t="n">
        <v>46253</v>
      </c>
      <c r="D347" s="10">
        <f>MONTH(B347)&amp;"月"</f>
        <v/>
      </c>
      <c r="E347" s="12" t="n">
        <v>1</v>
      </c>
      <c r="F347" s="10" t="n"/>
      <c r="G347" s="10" t="inlineStr">
        <is>
          <t>【水曜のDX道場】AIが「外部の道具」を使える仕組みは？DifyとGeminiで学ぶ「MCP」超入門</t>
        </is>
      </c>
      <c r="H347" s="10" t="inlineStr">
        <is>
          <t>水曜のDX道場</t>
        </is>
      </c>
      <c r="I347" s="10" t="n"/>
      <c r="J347" s="10" t="inlineStr">
        <is>
          <t>connpass</t>
        </is>
      </c>
      <c r="K347" s="10" t="inlineStr">
        <is>
          <t>会場</t>
        </is>
      </c>
      <c r="L347" s="10" t="inlineStr">
        <is>
          <t>大阪市北区本庄東１−１８−８</t>
        </is>
      </c>
      <c r="M347" s="10" t="inlineStr">
        <is>
          <t>生産性向上・業務効率化</t>
        </is>
      </c>
      <c r="N347" s="10" t="inlineStr">
        <is>
          <t>MCP</t>
        </is>
      </c>
      <c r="O347" s="12" t="inlineStr">
        <is>
          <t>◎</t>
        </is>
      </c>
      <c r="P347" s="13" t="n">
        <v>12</v>
      </c>
      <c r="Q347" s="12" t="inlineStr">
        <is>
          <t>参加者数</t>
        </is>
      </c>
      <c r="R347" s="14" t="n">
        <v>20</v>
      </c>
      <c r="S347" s="10" t="n"/>
      <c r="T347" s="10" t="n"/>
      <c r="U347" s="15" t="inlineStr">
        <is>
          <t>https://dxdojo.connpass.com/event/402969/</t>
        </is>
      </c>
      <c r="V347" s="10" t="n"/>
      <c r="W347" s="10" t="inlineStr">
        <is>
          <t>タイトル一致</t>
        </is>
      </c>
      <c r="X347" s="10" t="n"/>
    </row>
    <row r="348">
      <c r="A348" s="10" t="n">
        <v>347</v>
      </c>
      <c r="B348" s="24" t="n">
        <v>46253</v>
      </c>
      <c r="C348" s="24" t="n">
        <v>46253</v>
      </c>
      <c r="D348" s="10">
        <f>MONTH(B348)&amp;"月"</f>
        <v/>
      </c>
      <c r="E348" s="12" t="n">
        <v>1</v>
      </c>
      <c r="F348" s="10" t="n"/>
      <c r="G348" s="10" t="inlineStr">
        <is>
          <t>なんでもCopilot（プレビュー）#10「Copilot Studio課金体系の真相を探る(仮)」</t>
        </is>
      </c>
      <c r="H348" s="10" t="inlineStr">
        <is>
          <t>なんでもCopilot</t>
        </is>
      </c>
      <c r="I348" s="10" t="n"/>
      <c r="J348" s="10" t="inlineStr">
        <is>
          <t>connpass</t>
        </is>
      </c>
      <c r="K348" s="10" t="inlineStr">
        <is>
          <t>オンライン</t>
        </is>
      </c>
      <c r="L348" s="10" t="inlineStr">
        <is>
          <t>オンライン</t>
        </is>
      </c>
      <c r="M348" s="10" t="inlineStr">
        <is>
          <t>生産性向上・業務効率化</t>
        </is>
      </c>
      <c r="N348" s="10" t="inlineStr">
        <is>
          <t>AIエージェント</t>
        </is>
      </c>
      <c r="O348" s="12" t="inlineStr">
        <is>
          <t>◎</t>
        </is>
      </c>
      <c r="P348" s="13" t="n">
        <v>237</v>
      </c>
      <c r="Q348" s="12" t="inlineStr">
        <is>
          <t>参加者数</t>
        </is>
      </c>
      <c r="R348" s="14" t="n">
        <v>300</v>
      </c>
      <c r="S348" s="10" t="n"/>
      <c r="T348" s="10" t="n"/>
      <c r="U348" s="15" t="inlineStr">
        <is>
          <t>https://nandemo.connpass.com/event/402986/</t>
        </is>
      </c>
      <c r="V348" s="10" t="n"/>
      <c r="W348" s="10" t="inlineStr">
        <is>
          <t>タイトル一致</t>
        </is>
      </c>
      <c r="X348" s="10" t="n"/>
    </row>
    <row r="349">
      <c r="A349" s="10" t="n">
        <v>348</v>
      </c>
      <c r="B349" s="24" t="n">
        <v>46253</v>
      </c>
      <c r="C349" s="24" t="n">
        <v>46253</v>
      </c>
      <c r="D349" s="10">
        <f>MONTH(B349)&amp;"月"</f>
        <v/>
      </c>
      <c r="E349" s="12" t="n">
        <v>1</v>
      </c>
      <c r="F349" s="10" t="n"/>
      <c r="G349" s="10" t="inlineStr">
        <is>
          <t>ワークフローシステムとAIを繋ぐ ～『機能』ではなく『拡張性』で選ぶ時代へ 楽々WorkflowII × Dify 連携ウェビナー～</t>
        </is>
      </c>
      <c r="H349" s="10" t="inlineStr">
        <is>
          <t>「楽々WorkflowII」紹介ウェビナー担当</t>
        </is>
      </c>
      <c r="I349" s="10" t="n"/>
      <c r="J349" s="10" t="inlineStr">
        <is>
          <t>こくちーずプロ</t>
        </is>
      </c>
      <c r="K349" s="10" t="inlineStr">
        <is>
          <t>オンライン</t>
        </is>
      </c>
      <c r="L349" s="10" t="inlineStr">
        <is>
          <t>オンライン 日本</t>
        </is>
      </c>
      <c r="M349" s="10" t="inlineStr">
        <is>
          <t>生産性向上・業務効率化</t>
        </is>
      </c>
      <c r="N349" s="10" t="inlineStr">
        <is>
          <t>AIエージェント</t>
        </is>
      </c>
      <c r="O349" s="12" t="inlineStr">
        <is>
          <t>◎</t>
        </is>
      </c>
      <c r="P349" s="13" t="n"/>
      <c r="Q349" s="12" t="inlineStr">
        <is>
          <t>不明</t>
        </is>
      </c>
      <c r="R349" s="14" t="n"/>
      <c r="S349" s="10" t="n"/>
      <c r="T349" s="10" t="inlineStr">
        <is>
          <t>【共催ウェビナー】 ワークフローシステムとAIを繋ぐ ～『機能』ではなく『拡張性』で選ぶ時代へ 楽々WorkflowII × Dify 連携ウェビナー～ この度、リコージャパンと共同で、ワークフロー業務における生成AIの活用について解説し、ご提案するウェビナーを開催いたします。 近年、AI技術は急速に進化し、多くの業務分野で活用が広がっています。事業や部門の日々の作業において、生成AIをどのように活用すべきか見極め、最適な導入を進めるこ</t>
        </is>
      </c>
      <c r="U349" s="15" t="inlineStr">
        <is>
          <t>https://www.kokuchpro.com/event/e6fb54d0f6b3270bd58234bec2cd4700/</t>
        </is>
      </c>
      <c r="V349" s="10" t="n"/>
      <c r="W349" s="10" t="inlineStr">
        <is>
          <t>タイトル一致</t>
        </is>
      </c>
      <c r="X349" s="10" t="n"/>
    </row>
    <row r="350">
      <c r="A350" s="10" t="n">
        <v>349</v>
      </c>
      <c r="B350" s="24" t="n">
        <v>46253</v>
      </c>
      <c r="C350" s="24" t="n">
        <v>46253</v>
      </c>
      <c r="D350" s="10">
        <f>MONTH(B350)&amp;"月"</f>
        <v/>
      </c>
      <c r="E350" s="12" t="n">
        <v>1</v>
      </c>
      <c r="F350" s="10" t="n"/>
      <c r="G350" s="10" t="inlineStr">
        <is>
          <t>生成AI・AIエージェントフォーラム Online 2026 夏</t>
        </is>
      </c>
      <c r="H350" s="10" t="inlineStr">
        <is>
          <t>SBクリエイティブ株式会社（ビジネス＋IT）</t>
        </is>
      </c>
      <c r="I350" s="10" t="n"/>
      <c r="J350" s="10" t="inlineStr">
        <is>
          <t>ビジネス+IT</t>
        </is>
      </c>
      <c r="K350" s="10" t="inlineStr">
        <is>
          <t>online</t>
        </is>
      </c>
      <c r="L350" s="10" t="inlineStr">
        <is>
          <t>オンライン</t>
        </is>
      </c>
      <c r="M350" s="10" t="inlineStr">
        <is>
          <t>生産性向上・業務効率化</t>
        </is>
      </c>
      <c r="N350" s="10" t="inlineStr">
        <is>
          <t>AIエージェント</t>
        </is>
      </c>
      <c r="O350" s="12" t="inlineStr">
        <is>
          <t>◎</t>
        </is>
      </c>
      <c r="P350" s="13" t="n"/>
      <c r="Q350" s="12" t="inlineStr">
        <is>
          <t>不明</t>
        </is>
      </c>
      <c r="R350" s="14" t="n"/>
      <c r="S350" s="10" t="n"/>
      <c r="T350" s="10" t="inlineStr">
        <is>
          <t>急速に変化するビジネス環境において、企業は単なる業務効率化の枠を超え、新たな価値を創出する「共創型」のパラダイムシフトを求められています。その変革の核となるのが、生成AI、そして自律的にタスクを遂行する「AIエージェント」による業務の高度な自動化です。本カンファレンスでは、「人とAIの自律型共創社会」の実現をメインテーマに掲げ、企業のDXを加速させる次世代の戦略を深掘りします。AIエージェントによるプロセス変革、RAG（検索拡張生成）を</t>
        </is>
      </c>
      <c r="U350" s="15" t="inlineStr">
        <is>
          <t>https://www.sbbit.jp/eventinfo/89281</t>
        </is>
      </c>
      <c r="V350" s="10" t="n"/>
      <c r="W350" s="10" t="inlineStr">
        <is>
          <t>タイトル一致</t>
        </is>
      </c>
      <c r="X350" s="10" t="n"/>
    </row>
    <row r="351">
      <c r="A351" s="10" t="n">
        <v>350</v>
      </c>
      <c r="B351" s="24" t="n">
        <v>46253</v>
      </c>
      <c r="C351" s="24" t="n">
        <v>46253</v>
      </c>
      <c r="D351" s="10">
        <f>MONTH(B351)&amp;"月"</f>
        <v/>
      </c>
      <c r="E351" s="12" t="n">
        <v>1</v>
      </c>
      <c r="F351" s="10" t="n"/>
      <c r="G351" s="10" t="inlineStr">
        <is>
          <t>社内データとシームレスに連携！Claude CodeでのMCP活用術！</t>
        </is>
      </c>
      <c r="H351" s="10" t="inlineStr">
        <is>
          <t>Solvio｜生成AI活用支援</t>
        </is>
      </c>
      <c r="I351" s="10" t="n"/>
      <c r="J351" s="10" t="inlineStr">
        <is>
          <t>connpass</t>
        </is>
      </c>
      <c r="K351" s="10" t="inlineStr">
        <is>
          <t>オンライン</t>
        </is>
      </c>
      <c r="L351" s="10" t="inlineStr">
        <is>
          <t>オンライン</t>
        </is>
      </c>
      <c r="M351" s="10" t="inlineStr">
        <is>
          <t>生産性向上・業務効率化</t>
        </is>
      </c>
      <c r="N351" s="10" t="inlineStr">
        <is>
          <t>MCP</t>
        </is>
      </c>
      <c r="O351" s="12" t="inlineStr">
        <is>
          <t>◎</t>
        </is>
      </c>
      <c r="P351" s="13" t="n">
        <v>12</v>
      </c>
      <c r="Q351" s="12" t="inlineStr">
        <is>
          <t>参加者数</t>
        </is>
      </c>
      <c r="R351" s="14" t="n"/>
      <c r="S351" s="10" t="n"/>
      <c r="T351" s="10" t="n"/>
      <c r="U351" s="15" t="inlineStr">
        <is>
          <t>https://solvio.connpass.com/event/403578/</t>
        </is>
      </c>
      <c r="V351" s="10" t="n"/>
      <c r="W351" s="10" t="inlineStr">
        <is>
          <t>タイトル一致</t>
        </is>
      </c>
      <c r="X351" s="10" t="n"/>
    </row>
    <row r="352">
      <c r="A352" s="10" t="n">
        <v>351</v>
      </c>
      <c r="B352" s="24" t="n">
        <v>46253</v>
      </c>
      <c r="C352" s="24" t="n">
        <v>46253</v>
      </c>
      <c r="D352" s="10">
        <f>MONTH(B352)&amp;"月"</f>
        <v/>
      </c>
      <c r="E352" s="12" t="n">
        <v>1</v>
      </c>
      <c r="F352" s="10" t="n"/>
      <c r="G352" s="10" t="inlineStr">
        <is>
          <t>（※開催日変更）Claude Code Fable 5 meetup！ #1</t>
        </is>
      </c>
      <c r="H352" s="10" t="inlineStr">
        <is>
          <t>Findy AI+</t>
        </is>
      </c>
      <c r="I352" s="10" t="n"/>
      <c r="J352" s="10" t="inlineStr">
        <is>
          <t>connpass</t>
        </is>
      </c>
      <c r="K352" s="10" t="inlineStr">
        <is>
          <t>会場</t>
        </is>
      </c>
      <c r="L352" s="10" t="inlineStr">
        <is>
          <t>〒150-0031 東京都渋谷区桜丘町9番8号 KN渋谷3 4階</t>
        </is>
      </c>
      <c r="M352" s="10" t="inlineStr">
        <is>
          <t>開発生産性</t>
        </is>
      </c>
      <c r="N352" s="10" t="inlineStr">
        <is>
          <t>AIエージェント</t>
        </is>
      </c>
      <c r="O352" s="12" t="inlineStr">
        <is>
          <t>○</t>
        </is>
      </c>
      <c r="P352" s="13" t="n">
        <v>21</v>
      </c>
      <c r="Q352" s="12" t="inlineStr">
        <is>
          <t>参加者数</t>
        </is>
      </c>
      <c r="R352" s="14" t="n">
        <v>32</v>
      </c>
      <c r="S352" s="10" t="n"/>
      <c r="T352" s="10" t="n"/>
      <c r="U352" s="15" t="inlineStr">
        <is>
          <t>https://findy-aiplus.connpass.com/event/401663/</t>
        </is>
      </c>
      <c r="V352" s="10" t="n"/>
      <c r="W352" s="10" t="inlineStr">
        <is>
          <t>タイトル一致</t>
        </is>
      </c>
      <c r="X352" s="10" t="n"/>
    </row>
    <row r="353">
      <c r="A353" s="10" t="n">
        <v>352</v>
      </c>
      <c r="B353" s="24" t="n">
        <v>46254</v>
      </c>
      <c r="C353" s="24" t="n">
        <v>46254</v>
      </c>
      <c r="D353" s="10">
        <f>MONTH(B353)&amp;"月"</f>
        <v/>
      </c>
      <c r="E353" s="12" t="n">
        <v>1</v>
      </c>
      <c r="F353" s="10" t="n"/>
      <c r="G353" s="10" t="inlineStr">
        <is>
          <t>8/20(木)	【オンライン開催】AIO/LLMO対策セミナー　SEO対策から次のAI対策へ（動画配信）</t>
        </is>
      </c>
      <c r="H353" s="10" t="inlineStr">
        <is>
          <t>株式会社 バリューエージェント</t>
        </is>
      </c>
      <c r="I353" s="10" t="n"/>
      <c r="J353" s="10" t="inlineStr">
        <is>
          <t>TECH PLAY</t>
        </is>
      </c>
      <c r="K353" s="10" t="inlineStr">
        <is>
          <t>オンライン</t>
        </is>
      </c>
      <c r="L353" s="10" t="n"/>
      <c r="M353" s="10" t="inlineStr">
        <is>
          <t>営業・マーケ・CS</t>
        </is>
      </c>
      <c r="N353" s="10" t="inlineStr">
        <is>
          <t>AIエージェント</t>
        </is>
      </c>
      <c r="O353" s="12" t="inlineStr">
        <is>
          <t>○</t>
        </is>
      </c>
      <c r="P353" s="13" t="n">
        <v>0</v>
      </c>
      <c r="Q353" s="12" t="inlineStr">
        <is>
          <t>参加者数</t>
        </is>
      </c>
      <c r="R353" s="14" t="n">
        <v>20</v>
      </c>
      <c r="S353" s="10" t="n"/>
      <c r="T353" s="10" t="inlineStr">
        <is>
          <t>AIO/LLMO対策セミナー SEO対策から次のAI対策へ（動画配信） AIに関する知識をもっと上げたい AIを使ってのWEBマーケティングって何ができるの？と感じている AIの登場で、自社の集客がどうなるか不安がある WEBマーケティングに本格的に力を入れていきたい Webマーケティングのバリューエージェントでは、AI時代にプロがどのようにAIを活用しているかをお伝えするWEBマーケティングセミナーを開催することになりました。 AIを</t>
        </is>
      </c>
      <c r="U353" s="15" t="inlineStr">
        <is>
          <t>https://techplay.jp/event/999115</t>
        </is>
      </c>
      <c r="V353" s="15" t="inlineStr">
        <is>
          <t>https://www.kokuchpro.com/event/3ada15b7819b6275b5c4c9deb1c3c9c8/</t>
        </is>
      </c>
      <c r="W353" s="10" t="inlineStr">
        <is>
          <t>本文一致</t>
        </is>
      </c>
      <c r="X353" s="10" t="n"/>
    </row>
    <row r="354">
      <c r="A354" s="10" t="n">
        <v>353</v>
      </c>
      <c r="B354" s="24" t="n">
        <v>46254</v>
      </c>
      <c r="C354" s="24" t="n">
        <v>46294</v>
      </c>
      <c r="D354" s="10">
        <f>MONTH(B354)&amp;"月"</f>
        <v/>
      </c>
      <c r="E354" s="12" t="n">
        <v>4</v>
      </c>
      <c r="F354" s="10" t="inlineStr">
        <is>
          <t>08/20、09/02、09/16、09/29</t>
        </is>
      </c>
      <c r="G354" s="10" t="inlineStr">
        <is>
          <t>AIエージェント時代のデータ経営　モデルではなく、文脈で勝つ5つの戦略　　　　　　　　　　　第1回：生成AIを導入したのに、なぜ本番業務は変わらないのか ~セマンティックレイヤーと「AI実行境界」~</t>
        </is>
      </c>
      <c r="H354" s="10" t="inlineStr">
        <is>
          <t>DATAFLUCT</t>
        </is>
      </c>
      <c r="I354" s="10" t="n"/>
      <c r="J354" s="10" t="inlineStr">
        <is>
          <t>TECH PLAY</t>
        </is>
      </c>
      <c r="K354" s="10" t="inlineStr">
        <is>
          <t>オンライン</t>
        </is>
      </c>
      <c r="L354" s="10" t="n"/>
      <c r="M354" s="10" t="inlineStr">
        <is>
          <t>生産性向上・業務効率化</t>
        </is>
      </c>
      <c r="N354" s="10" t="inlineStr">
        <is>
          <t>AIエージェント</t>
        </is>
      </c>
      <c r="O354" s="12" t="inlineStr">
        <is>
          <t>◎</t>
        </is>
      </c>
      <c r="P354" s="13" t="n">
        <v>13</v>
      </c>
      <c r="Q354" s="12" t="inlineStr">
        <is>
          <t>申込者数</t>
        </is>
      </c>
      <c r="R354" s="14" t="n">
        <v>400</v>
      </c>
      <c r="S354" s="10" t="inlineStr">
        <is>
          <t>全4回の合計</t>
        </is>
      </c>
      <c r="T354" s="10" t="inlineStr">
        <is>
          <t>タイトル： AIエージェント時代のデータ経営 モデルではなく、文脈で勝つ5つの戦略 第1回：生成AIを導入したのに、なぜ本番業務は変わらないのか ~セマンティックレイヤーと「AI実行境界」~ 登壇日時：2026年8月20日（木）11:00-12:00 登壇者：久米村 隼人 株式会社DATAFLUCT 代表取締役CEO 【このような方におすすめ】 生成AIを導入済みだが本番業務への展開で止まっている方 AIエージェントの全社導入を検討する</t>
        </is>
      </c>
      <c r="U354" s="15" t="inlineStr">
        <is>
          <t>https://techplay.jp/event/998123</t>
        </is>
      </c>
      <c r="V354" s="10" t="n"/>
      <c r="W354" s="10" t="inlineStr">
        <is>
          <t>タイトル一致</t>
        </is>
      </c>
      <c r="X354" s="10" t="n"/>
    </row>
    <row r="355">
      <c r="A355" s="10" t="n">
        <v>354</v>
      </c>
      <c r="B355" s="24" t="n">
        <v>46254</v>
      </c>
      <c r="C355" s="24" t="n">
        <v>46254</v>
      </c>
      <c r="D355" s="10">
        <f>MONTH(B355)&amp;"月"</f>
        <v/>
      </c>
      <c r="E355" s="12" t="n">
        <v>1</v>
      </c>
      <c r="F355" s="10" t="n"/>
      <c r="G355" s="10" t="inlineStr">
        <is>
          <t>【DX推進担当者向け】脱・プロンプト依存!人とAIの役割分担で、AIを“組織の力”にする</t>
        </is>
      </c>
      <c r="H355" s="10" t="inlineStr">
        <is>
          <t>ヒューマンリソシア株式会社 DXセミナー事務局</t>
        </is>
      </c>
      <c r="I355" s="10" t="n"/>
      <c r="J355" s="10" t="inlineStr">
        <is>
          <t>こくちーずプロ</t>
        </is>
      </c>
      <c r="K355" s="10" t="inlineStr">
        <is>
          <t>オンライン</t>
        </is>
      </c>
      <c r="L355" s="10" t="inlineStr">
        <is>
          <t>オンライン 日本</t>
        </is>
      </c>
      <c r="M355" s="10" t="inlineStr">
        <is>
          <t>生産性向上・業務効率化</t>
        </is>
      </c>
      <c r="N355" s="10" t="inlineStr">
        <is>
          <t>AIエージェント</t>
        </is>
      </c>
      <c r="O355" s="12" t="inlineStr">
        <is>
          <t>○</t>
        </is>
      </c>
      <c r="P355" s="13" t="n"/>
      <c r="Q355" s="12" t="inlineStr">
        <is>
          <t>不明</t>
        </is>
      </c>
      <c r="R355" s="14" t="n"/>
      <c r="S355" s="10" t="n"/>
      <c r="T355" s="10" t="inlineStr">
        <is>
          <t>「生成AIを導入したものの、現場では検索や文章作成にしか使われていない」 「プロンプトを学ばなければAIは活用できないと感じ、組織全体へ広がらない」 このような課題を抱えていませんか。 AIへの投資が進んでも、業務の進め方が変わらなければ、 生産性向上や投資対効果は期待できません。 属人化した業務がそのまま残り、「AIを導入しただけ」で終わってしまうことは、 多くの企業が直面している課題です。 今AIは、プロンプトで指示を出す時代から、</t>
        </is>
      </c>
      <c r="U355" s="15" t="inlineStr">
        <is>
          <t>https://www.kokuchpro.com/event/seisei_ai_260820/</t>
        </is>
      </c>
      <c r="V355" s="10" t="n"/>
      <c r="W355" s="10" t="inlineStr">
        <is>
          <t>本文一致</t>
        </is>
      </c>
      <c r="X355" s="10" t="n"/>
    </row>
    <row r="356">
      <c r="A356" s="10" t="n">
        <v>355</v>
      </c>
      <c r="B356" s="24" t="n">
        <v>46254</v>
      </c>
      <c r="C356" s="24" t="n">
        <v>46282</v>
      </c>
      <c r="D356" s="10">
        <f>MONTH(B356)&amp;"月"</f>
        <v/>
      </c>
      <c r="E356" s="12" t="n">
        <v>5</v>
      </c>
      <c r="F356" s="10" t="inlineStr">
        <is>
          <t>08/20、08/27、09/03、09/10、09/17</t>
        </is>
      </c>
      <c r="G356" s="10" t="inlineStr">
        <is>
          <t>【IT知識不要】AIに出遅れた人のための、はじめての実践ワークショップ</t>
        </is>
      </c>
      <c r="H356" s="10" t="inlineStr">
        <is>
          <t>merit運営事務局</t>
        </is>
      </c>
      <c r="I356" s="10" t="n"/>
      <c r="J356" s="10" t="inlineStr">
        <is>
          <t>こくちーずプロ</t>
        </is>
      </c>
      <c r="K356" s="10" t="inlineStr">
        <is>
          <t>オフライン（会場）</t>
        </is>
      </c>
      <c r="L356" s="10" t="inlineStr">
        <is>
          <t>re:Dine 大阪府大阪市北区大深町6-38 グラングリーン大阪 北館 JAM BASE 1 階</t>
        </is>
      </c>
      <c r="M356" s="10" t="inlineStr">
        <is>
          <t>生産性向上・業務効率化</t>
        </is>
      </c>
      <c r="N356" s="10" t="inlineStr">
        <is>
          <t>AIエージェント</t>
        </is>
      </c>
      <c r="O356" s="12" t="inlineStr">
        <is>
          <t>○</t>
        </is>
      </c>
      <c r="P356" s="13" t="n">
        <v>15</v>
      </c>
      <c r="Q356" s="12" t="inlineStr">
        <is>
          <t>参加者数</t>
        </is>
      </c>
      <c r="R356" s="14" t="n">
        <v>30</v>
      </c>
      <c r="S356" s="10" t="inlineStr">
        <is>
          <t>全5回の合計</t>
        </is>
      </c>
      <c r="T356" s="10" t="inlineStr">
        <is>
          <t>MERIT AI WORKSHOP はじめてのAI活用ワークショップ 「気づけば、周りはもう使ってた」 ——その出遅れ、90分で取り戻す。 パソコン不要・むずかしい設定なし。見て・聞いて・そのまま持ち帰れる90分。 「AIが便利らしいのは分かるけど、正直まだ触れていない」 「周りは使い始めていて、なんだか自分だけ置いていかれそう…」 そんな“出遅れ感”を抱えている方に、ちょうどいい最初の一歩です。 このワークショップは、 難しい操作もプ</t>
        </is>
      </c>
      <c r="U356" s="15" t="inlineStr">
        <is>
          <t>https://www.kokuchpro.com/event/10348f3d83444093dcb91722adab3d2c/</t>
        </is>
      </c>
      <c r="V356" s="10" t="n"/>
      <c r="W356" s="10" t="inlineStr">
        <is>
          <t>本文一致</t>
        </is>
      </c>
      <c r="X356" s="10" t="n"/>
    </row>
    <row r="357">
      <c r="A357" s="10" t="n">
        <v>356</v>
      </c>
      <c r="B357" s="24" t="n">
        <v>46254</v>
      </c>
      <c r="C357" s="24" t="n">
        <v>46282</v>
      </c>
      <c r="D357" s="10">
        <f>MONTH(B357)&amp;"月"</f>
        <v/>
      </c>
      <c r="E357" s="12" t="n">
        <v>2</v>
      </c>
      <c r="F357" s="10" t="inlineStr">
        <is>
          <t>08/20、09/17</t>
        </is>
      </c>
      <c r="G357" s="10" t="inlineStr">
        <is>
          <t>【企業向け】超実践！成果を生むAIエージェント活用事例ウェビナー</t>
        </is>
      </c>
      <c r="H357" s="10" t="inlineStr">
        <is>
          <t>QueryPie AI</t>
        </is>
      </c>
      <c r="I357" s="10" t="n"/>
      <c r="J357" s="10" t="inlineStr">
        <is>
          <t>connpass</t>
        </is>
      </c>
      <c r="K357" s="10" t="inlineStr">
        <is>
          <t>オンライン</t>
        </is>
      </c>
      <c r="L357" s="10" t="inlineStr">
        <is>
          <t>オンライン</t>
        </is>
      </c>
      <c r="M357" s="10" t="inlineStr">
        <is>
          <t>技術・AI全般</t>
        </is>
      </c>
      <c r="N357" s="10" t="inlineStr">
        <is>
          <t>AIエージェント</t>
        </is>
      </c>
      <c r="O357" s="12" t="inlineStr">
        <is>
          <t>○</t>
        </is>
      </c>
      <c r="P357" s="13" t="n">
        <v>10</v>
      </c>
      <c r="Q357" s="12" t="inlineStr">
        <is>
          <t>参加者数</t>
        </is>
      </c>
      <c r="R357" s="14" t="n">
        <v>85</v>
      </c>
      <c r="S357" s="10" t="inlineStr">
        <is>
          <t>全2回の合計</t>
        </is>
      </c>
      <c r="T357" s="10" t="n"/>
      <c r="U357" s="15" t="inlineStr">
        <is>
          <t>https://querypiejapan.connpass.com/event/403408/</t>
        </is>
      </c>
      <c r="V357" s="10" t="n"/>
      <c r="W357" s="10" t="inlineStr">
        <is>
          <t>タイトル一致</t>
        </is>
      </c>
      <c r="X357" s="10" t="n"/>
    </row>
    <row r="358">
      <c r="A358" s="10" t="n">
        <v>357</v>
      </c>
      <c r="B358" s="24" t="n">
        <v>46254</v>
      </c>
      <c r="C358" s="24" t="n">
        <v>46254</v>
      </c>
      <c r="D358" s="10">
        <f>MONTH(B358)&amp;"月"</f>
        <v/>
      </c>
      <c r="E358" s="12" t="n">
        <v>1</v>
      </c>
      <c r="F358" s="10" t="n"/>
      <c r="G358" s="10" t="inlineStr">
        <is>
          <t>【無料】リザスト×Codex 集客から講座募集までつなぐAI活用セミナー</t>
        </is>
      </c>
      <c r="H358" s="10" t="inlineStr">
        <is>
          <t>杉山眞利 リザスト×AI活用事務局</t>
        </is>
      </c>
      <c r="I358" s="10" t="n"/>
      <c r="J358" s="10" t="inlineStr">
        <is>
          <t>こくちーずプロ</t>
        </is>
      </c>
      <c r="K358" s="10" t="inlineStr">
        <is>
          <t>オンライン</t>
        </is>
      </c>
      <c r="L358" s="10" t="inlineStr">
        <is>
          <t>オンライン 日本</t>
        </is>
      </c>
      <c r="M358" s="10" t="inlineStr">
        <is>
          <t>営業・マーケ・CS</t>
        </is>
      </c>
      <c r="N358" s="10" t="inlineStr">
        <is>
          <t>AIエージェント</t>
        </is>
      </c>
      <c r="O358" s="12" t="inlineStr">
        <is>
          <t>◎</t>
        </is>
      </c>
      <c r="P358" s="13" t="n">
        <v>0</v>
      </c>
      <c r="Q358" s="12" t="inlineStr">
        <is>
          <t>参加者数</t>
        </is>
      </c>
      <c r="R358" s="14" t="n">
        <v>20</v>
      </c>
      <c r="S358" s="10" t="n"/>
      <c r="T358" s="10" t="inlineStr">
        <is>
          <t>ChatGPTで文章は作れた。 でも、講座募集までは完成しなかった方へ。 リザスト×Codex 集客から講座募集までつなぐAI活用セミナー 講座案ひとつから、LP・バナー・募集メルマガ・スライド・特典・開催後のフォローまで リザストでメルマガを書いたり、講座ページを作ったりしている。ChatGPTを使えば文章も作れるようになった。 それなのに、講座の募集を始めるまでに時間がかかったり、途中で止まってしまったりすることはありませんか？ こ</t>
        </is>
      </c>
      <c r="U358" s="15" t="inlineStr">
        <is>
          <t>https://www.kokuchpro.com/event/edf6782234c42816d79ff0021fe5b0e4/3869841/</t>
        </is>
      </c>
      <c r="V358" s="10" t="n"/>
      <c r="W358" s="10" t="inlineStr">
        <is>
          <t>タイトル一致</t>
        </is>
      </c>
      <c r="X358" s="10" t="n"/>
    </row>
    <row r="359">
      <c r="A359" s="10" t="n">
        <v>358</v>
      </c>
      <c r="B359" s="24" t="n">
        <v>46254</v>
      </c>
      <c r="C359" s="24" t="n">
        <v>46254</v>
      </c>
      <c r="D359" s="10">
        <f>MONTH(B359)&amp;"月"</f>
        <v/>
      </c>
      <c r="E359" s="12" t="n">
        <v>1</v>
      </c>
      <c r="F359" s="10" t="n"/>
      <c r="G359" s="10" t="inlineStr">
        <is>
          <t>採用面接における生成AIの実践【事例紹介】</t>
        </is>
      </c>
      <c r="H359" s="10" t="inlineStr">
        <is>
          <t>株式会社samurAI Agents 事務局</t>
        </is>
      </c>
      <c r="I359" s="10" t="n"/>
      <c r="J359" s="10" t="inlineStr">
        <is>
          <t>こくちーずプロ</t>
        </is>
      </c>
      <c r="K359" s="10" t="inlineStr">
        <is>
          <t>オンライン</t>
        </is>
      </c>
      <c r="L359" s="10" t="inlineStr">
        <is>
          <t>オンライン 日本</t>
        </is>
      </c>
      <c r="M359" s="10" t="inlineStr">
        <is>
          <t>生産性向上・業務効率化</t>
        </is>
      </c>
      <c r="N359" s="10" t="inlineStr">
        <is>
          <t>AIエージェント</t>
        </is>
      </c>
      <c r="O359" s="12" t="inlineStr">
        <is>
          <t>○</t>
        </is>
      </c>
      <c r="P359" s="13" t="n">
        <v>0</v>
      </c>
      <c r="Q359" s="12" t="inlineStr">
        <is>
          <t>参加者数</t>
        </is>
      </c>
      <c r="R359" s="14" t="n">
        <v>50</v>
      </c>
      <c r="S359" s="10" t="n"/>
      <c r="T359" s="10" t="inlineStr">
        <is>
          <t>見どころ紹介 ❶ 500人規模 内定承諾率20%→40%（+20pt）を実現した生成AI活用事例を公開 ❷ 累計面接データ5,000件から生み出す 人に頼らない勝たせる技術を公開 ウェビナー概要 現場社員が面接を担うほど、「見極め」と「惹きつけ」の品質を揃えることは難しくなります。 今回のウェビナーでは、 見極めとアトラクト(意向度上げ) の属人性を解決したいというご課題に対して ❶「面接官を生成AIで育てる」 ❷「面接品質そのものをA</t>
        </is>
      </c>
      <c r="U359" s="15" t="inlineStr">
        <is>
          <t>https://www.kokuchpro.com/event/c95450f8ec53ec792062d7032bca72ab/</t>
        </is>
      </c>
      <c r="V359" s="10" t="n"/>
      <c r="W359" s="10" t="inlineStr">
        <is>
          <t>本文一致</t>
        </is>
      </c>
      <c r="X359" s="10" t="n"/>
    </row>
    <row r="360">
      <c r="A360" s="10" t="n">
        <v>359</v>
      </c>
      <c r="B360" s="24" t="n">
        <v>46254</v>
      </c>
      <c r="C360" s="24" t="n">
        <v>46255</v>
      </c>
      <c r="D360" s="10">
        <f>MONTH(B360)&amp;"月"</f>
        <v/>
      </c>
      <c r="E360" s="12" t="n">
        <v>1</v>
      </c>
      <c r="F360" s="10" t="n"/>
      <c r="G360" s="10" t="inlineStr">
        <is>
          <t>第1回【営業・マーケ・DX推進】AIエージェントDXPO東京'26【夏】</t>
        </is>
      </c>
      <c r="H360" s="10" t="inlineStr">
        <is>
          <t>株式会社ブティックス</t>
        </is>
      </c>
      <c r="I360" s="10" t="n"/>
      <c r="J360" s="10" t="inlineStr">
        <is>
          <t>個別調査（公式サイト・PR TIMES等）</t>
        </is>
      </c>
      <c r="K360" s="10" t="inlineStr">
        <is>
          <t>会場</t>
        </is>
      </c>
      <c r="L360" s="10" t="inlineStr">
        <is>
          <t>東京ビッグサイト西1-3ホール</t>
        </is>
      </c>
      <c r="M360" s="10" t="inlineStr">
        <is>
          <t>営業・マーケ・CS</t>
        </is>
      </c>
      <c r="N360" s="10" t="inlineStr">
        <is>
          <t>AIエージェント</t>
        </is>
      </c>
      <c r="O360" s="12" t="inlineStr">
        <is>
          <t>◎</t>
        </is>
      </c>
      <c r="P360" s="13" t="n"/>
      <c r="Q360" s="12" t="inlineStr">
        <is>
          <t>不明</t>
        </is>
      </c>
      <c r="R360" s="14" t="n"/>
      <c r="S360" s="10" t="inlineStr">
        <is>
          <t>同時開催のDXPO全体で予定来場者数52,200名との記載があるが、ページ本文では確認できていない</t>
        </is>
      </c>
      <c r="T360" s="10" t="inlineStr">
        <is>
          <t>営業に特化したAIエージェントの展示会。会話解析・資料作成・議事録AIなどを展示し、専門セミナーは64本。</t>
        </is>
      </c>
      <c r="U360" s="15" t="inlineStr">
        <is>
          <t>https://bizexpo.jp/exhibitions/dx-ai-dxpo-202608</t>
        </is>
      </c>
      <c r="V360" s="15" t="inlineStr">
        <is>
          <t>https://prtimes.jp/main/html/rd/p/000000247.000017704.html</t>
        </is>
      </c>
      <c r="W360" s="10" t="inlineStr">
        <is>
          <t>個別確認</t>
        </is>
      </c>
      <c r="X360" s="10" t="n"/>
    </row>
    <row r="361">
      <c r="A361" s="10" t="n">
        <v>360</v>
      </c>
      <c r="B361" s="24" t="n">
        <v>46255</v>
      </c>
      <c r="C361" s="24" t="n">
        <v>46255</v>
      </c>
      <c r="D361" s="10">
        <f>MONTH(B361)&amp;"月"</f>
        <v/>
      </c>
      <c r="E361" s="12" t="n">
        <v>1</v>
      </c>
      <c r="F361" s="10" t="n"/>
      <c r="G361" s="10" t="inlineStr">
        <is>
          <t>#23 プロンプトのみで動かす自律型AI「Gemini Spark」解説＆ライブデモ【オンライン】</t>
        </is>
      </c>
      <c r="H361" s="10" t="inlineStr">
        <is>
          <t>日本生成AIユーザ会</t>
        </is>
      </c>
      <c r="I361" s="10" t="n"/>
      <c r="J361" s="10" t="inlineStr">
        <is>
          <t>connpass</t>
        </is>
      </c>
      <c r="K361" s="10" t="inlineStr">
        <is>
          <t>オンライン</t>
        </is>
      </c>
      <c r="L361" s="10" t="inlineStr">
        <is>
          <t>オンライン</t>
        </is>
      </c>
      <c r="M361" s="10" t="inlineStr">
        <is>
          <t>技術・AI全般</t>
        </is>
      </c>
      <c r="N361" s="10" t="inlineStr">
        <is>
          <t>AIエージェント</t>
        </is>
      </c>
      <c r="O361" s="12" t="inlineStr">
        <is>
          <t>○</t>
        </is>
      </c>
      <c r="P361" s="13" t="n">
        <v>29</v>
      </c>
      <c r="Q361" s="12" t="inlineStr">
        <is>
          <t>参加者数</t>
        </is>
      </c>
      <c r="R361" s="14" t="n"/>
      <c r="S361" s="10" t="n"/>
      <c r="T361" s="10" t="n"/>
      <c r="U361" s="15" t="inlineStr">
        <is>
          <t>https://genai-users.connpass.com/event/404236/</t>
        </is>
      </c>
      <c r="V361" s="10" t="n"/>
      <c r="W361" s="10" t="inlineStr">
        <is>
          <t>タイトル一致</t>
        </is>
      </c>
      <c r="X361" s="10" t="n"/>
    </row>
    <row r="362">
      <c r="A362" s="10" t="n">
        <v>361</v>
      </c>
      <c r="B362" s="24" t="n">
        <v>46255</v>
      </c>
      <c r="C362" s="24" t="n">
        <v>46255</v>
      </c>
      <c r="D362" s="10">
        <f>MONTH(B362)&amp;"月"</f>
        <v/>
      </c>
      <c r="E362" s="12" t="n">
        <v>1</v>
      </c>
      <c r="F362" s="10" t="n"/>
      <c r="G362" s="10" t="inlineStr">
        <is>
          <t>AIでつくる解説・告知ショート動画 — Codex / Claude Code×HyperFramesで量産できる型をつくる —｜MMS公開ワークショップ</t>
        </is>
      </c>
      <c r="H362" s="10" t="inlineStr">
        <is>
          <t>MMS(MIRAICHI Moon Shot)</t>
        </is>
      </c>
      <c r="I362" s="10" t="n"/>
      <c r="J362" s="10" t="inlineStr">
        <is>
          <t>Peatix</t>
        </is>
      </c>
      <c r="K362" s="10" t="inlineStr">
        <is>
          <t>オンライン(Zoom)</t>
        </is>
      </c>
      <c r="L362" s="10" t="n"/>
      <c r="M362" s="10" t="inlineStr">
        <is>
          <t>生産管理・製造・SCM</t>
        </is>
      </c>
      <c r="N362" s="10" t="inlineStr">
        <is>
          <t>AIエージェント</t>
        </is>
      </c>
      <c r="O362" s="12" t="inlineStr">
        <is>
          <t>◎</t>
        </is>
      </c>
      <c r="P362" s="13" t="n"/>
      <c r="Q362" s="12" t="inlineStr">
        <is>
          <t>不明</t>
        </is>
      </c>
      <c r="R362" s="14" t="n"/>
      <c r="S362" s="10" t="n"/>
      <c r="T362" s="10" t="inlineStr">
        <is>
          <t>2026年8月21日(金)21:00-23:00 Zoom 無料</t>
        </is>
      </c>
      <c r="U362" s="15" t="inlineStr">
        <is>
          <t>https://peatix.com/event/5132470</t>
        </is>
      </c>
      <c r="V362" s="10" t="n"/>
      <c r="W362" s="10" t="inlineStr">
        <is>
          <t>タイトル一致</t>
        </is>
      </c>
      <c r="X362" s="10" t="n"/>
    </row>
    <row r="363">
      <c r="A363" s="10" t="n">
        <v>362</v>
      </c>
      <c r="B363" s="24" t="n">
        <v>46255</v>
      </c>
      <c r="C363" s="24" t="n">
        <v>46255</v>
      </c>
      <c r="D363" s="10">
        <f>MONTH(B363)&amp;"月"</f>
        <v/>
      </c>
      <c r="E363" s="12" t="n">
        <v>1</v>
      </c>
      <c r="F363" s="10" t="n"/>
      <c r="G363" s="10" t="inlineStr">
        <is>
          <t>AIでメール業務を自動化! ～送信・返信・フォローまでAIに任せる方法～</t>
        </is>
      </c>
      <c r="H363" s="10" t="inlineStr">
        <is>
          <t>JDネット AI活用セミナー事務局</t>
        </is>
      </c>
      <c r="I363" s="10" t="n"/>
      <c r="J363" s="10" t="inlineStr">
        <is>
          <t>こくちーずプロ</t>
        </is>
      </c>
      <c r="K363" s="10" t="inlineStr">
        <is>
          <t>オンライン</t>
        </is>
      </c>
      <c r="L363" s="10" t="inlineStr">
        <is>
          <t>オンライン 日本</t>
        </is>
      </c>
      <c r="M363" s="10" t="inlineStr">
        <is>
          <t>生産性向上・業務効率化</t>
        </is>
      </c>
      <c r="N363" s="10" t="inlineStr">
        <is>
          <t>AIエージェント</t>
        </is>
      </c>
      <c r="O363" s="12" t="inlineStr">
        <is>
          <t>○</t>
        </is>
      </c>
      <c r="P363" s="13" t="n">
        <v>2</v>
      </c>
      <c r="Q363" s="12" t="inlineStr">
        <is>
          <t>参加者数</t>
        </is>
      </c>
      <c r="R363" s="14" t="n">
        <v>50</v>
      </c>
      <c r="S363" s="10" t="n"/>
      <c r="T363" s="10" t="inlineStr">
        <is>
          <t>概要 今回のAI活用セミナーでは、「メール送付の自動化」をテーマに、 AIを活用して日々のメール業務を効率化する方法をご紹介します。 すでにChatGPTなどを使って、メール文面の作成や 添削に活用されている方は多いのではないでしょうか。 今回は、文面を作るだけで終わらず、その先の作業となる 「送信する」「決められたタイミングでフォローする」といった作業まで 自動化する方法を、分かりやすく解説します。 お問い合わせへの返信、営業メールの</t>
        </is>
      </c>
      <c r="U363" s="15" t="inlineStr">
        <is>
          <t>https://www.kokuchpro.com/event/bc802a842bd8d8b702bb5bdabf99e2df/</t>
        </is>
      </c>
      <c r="V363" s="10" t="n"/>
      <c r="W363" s="10" t="inlineStr">
        <is>
          <t>本文一致</t>
        </is>
      </c>
      <c r="X363" s="10" t="n"/>
    </row>
    <row r="364">
      <c r="A364" s="10" t="n">
        <v>363</v>
      </c>
      <c r="B364" s="24" t="n">
        <v>46255</v>
      </c>
      <c r="C364" s="24" t="n">
        <v>46255</v>
      </c>
      <c r="D364" s="10">
        <f>MONTH(B364)&amp;"月"</f>
        <v/>
      </c>
      <c r="E364" s="12" t="n">
        <v>1</v>
      </c>
      <c r="F364" s="10" t="n"/>
      <c r="G364" s="10" t="inlineStr">
        <is>
          <t>Cursor Meetup Sendai</t>
        </is>
      </c>
      <c r="H364" s="10" t="inlineStr">
        <is>
          <t>SendaiAILab</t>
        </is>
      </c>
      <c r="I364" s="10" t="n"/>
      <c r="J364" s="10" t="inlineStr">
        <is>
          <t>connpass</t>
        </is>
      </c>
      <c r="K364" s="10" t="inlineStr">
        <is>
          <t>会場</t>
        </is>
      </c>
      <c r="L364" s="10" t="inlineStr">
        <is>
          <t>宮城県仙台市青葉区一番町3丁目3-20 京阪仙台一番町ビル2階</t>
        </is>
      </c>
      <c r="M364" s="10" t="inlineStr">
        <is>
          <t>開発生産性</t>
        </is>
      </c>
      <c r="N364" s="10" t="inlineStr">
        <is>
          <t>AIエージェント</t>
        </is>
      </c>
      <c r="O364" s="12" t="inlineStr">
        <is>
          <t>○</t>
        </is>
      </c>
      <c r="P364" s="13" t="n">
        <v>0</v>
      </c>
      <c r="Q364" s="12" t="inlineStr">
        <is>
          <t>参加者数</t>
        </is>
      </c>
      <c r="R364" s="14" t="n">
        <v>20</v>
      </c>
      <c r="S364" s="10" t="n"/>
      <c r="T364" s="10" t="n"/>
      <c r="U364" s="15" t="inlineStr">
        <is>
          <t>https://connpass.com/event/400867/</t>
        </is>
      </c>
      <c r="V364" s="10" t="n"/>
      <c r="W364" s="10" t="inlineStr">
        <is>
          <t>タイトル一致</t>
        </is>
      </c>
      <c r="X364" s="10" t="n"/>
    </row>
    <row r="365">
      <c r="A365" s="10" t="n">
        <v>364</v>
      </c>
      <c r="B365" s="24" t="n">
        <v>46255</v>
      </c>
      <c r="C365" s="24" t="n">
        <v>46255</v>
      </c>
      <c r="D365" s="10">
        <f>MONTH(B365)&amp;"月"</f>
        <v/>
      </c>
      <c r="E365" s="12" t="n">
        <v>1</v>
      </c>
      <c r="F365" s="10" t="n"/>
      <c r="G365" s="10" t="inlineStr">
        <is>
          <t>「経営者向け」なぜAIは、何度指摘しても同じ間違いを返すのか 〜AIに"教える"のではなく、"育てる"。会社に知見が残る仕組みのつくり方〜</t>
        </is>
      </c>
      <c r="H365" s="10" t="inlineStr">
        <is>
          <t>AIバード事務局 @ライトアップ</t>
        </is>
      </c>
      <c r="I365" s="10" t="n"/>
      <c r="J365" s="10" t="inlineStr">
        <is>
          <t>TECH PLAY</t>
        </is>
      </c>
      <c r="K365" s="10" t="inlineStr">
        <is>
          <t>オンライン</t>
        </is>
      </c>
      <c r="L365" s="10" t="n"/>
      <c r="M365" s="10" t="inlineStr">
        <is>
          <t>生産性向上・業務効率化</t>
        </is>
      </c>
      <c r="N365" s="10" t="inlineStr">
        <is>
          <t>AIエージェント</t>
        </is>
      </c>
      <c r="O365" s="12" t="inlineStr">
        <is>
          <t>○</t>
        </is>
      </c>
      <c r="P365" s="13" t="n">
        <v>7</v>
      </c>
      <c r="Q365" s="12" t="inlineStr">
        <is>
          <t>申込者数</t>
        </is>
      </c>
      <c r="R365" s="14" t="n">
        <v>30</v>
      </c>
      <c r="S365" s="10" t="n"/>
      <c r="T365" s="10" t="inlineStr">
        <is>
          <t>AIに何度指摘しても、次はまた同じ的外れな答えが返ってくる。 原因は、AIの賢さではありません。 「なぜそれを採用して、なぜあれを捨てたか」が、どこにも残っていないからです。 そして、これはAIだけの話ではありません。同じことが、会社の中でも起きています。 ベテランがなぜその判断をしたのか。社長がなぜその案を却下したのか。 結果は残っても、理由は残らない。 だから毎回、ゼロから説明することになる。 逆に言えば—— 判断の 「理由」 を残</t>
        </is>
      </c>
      <c r="U365" s="15" t="inlineStr">
        <is>
          <t>https://techplay.jp/event/999602</t>
        </is>
      </c>
      <c r="V365" s="10" t="n"/>
      <c r="W365" s="10" t="inlineStr">
        <is>
          <t>本文一致</t>
        </is>
      </c>
      <c r="X365" s="10" t="n"/>
    </row>
    <row r="366">
      <c r="A366" s="10" t="n">
        <v>365</v>
      </c>
      <c r="B366" s="24" t="n">
        <v>46255</v>
      </c>
      <c r="C366" s="24" t="n">
        <v>46255</v>
      </c>
      <c r="D366" s="10">
        <f>MONTH(B366)&amp;"月"</f>
        <v/>
      </c>
      <c r="E366" s="12" t="n">
        <v>1</v>
      </c>
      <c r="F366" s="10" t="n"/>
      <c r="G366" s="10" t="inlineStr">
        <is>
          <t>【大分・無料】守秘義務を守りながら業務時間を半分に|士業・コンサルのための生成AI実践セミナー</t>
        </is>
      </c>
      <c r="H366" s="10" t="inlineStr">
        <is>
          <t>ほり中小企業診断士事務所</t>
        </is>
      </c>
      <c r="I366" s="10" t="n"/>
      <c r="J366" s="10" t="inlineStr">
        <is>
          <t>こくちーずプロ</t>
        </is>
      </c>
      <c r="K366" s="10" t="inlineStr">
        <is>
          <t>オフライン（会場）</t>
        </is>
      </c>
      <c r="L366" s="10" t="inlineStr">
        <is>
          <t>ユナイテッドシェア大分 大分県大分市末広町1丁目5-16 ユナイテッド末広ビル3F</t>
        </is>
      </c>
      <c r="M366" s="10" t="inlineStr">
        <is>
          <t>生産性向上・業務効率化</t>
        </is>
      </c>
      <c r="N366" s="10" t="inlineStr">
        <is>
          <t>AIエージェント</t>
        </is>
      </c>
      <c r="O366" s="12" t="inlineStr">
        <is>
          <t>○</t>
        </is>
      </c>
      <c r="P366" s="13" t="n">
        <v>0</v>
      </c>
      <c r="Q366" s="12" t="inlineStr">
        <is>
          <t>参加者数</t>
        </is>
      </c>
      <c r="R366" s="14" t="n">
        <v>8</v>
      </c>
      <c r="S366" s="10" t="n"/>
      <c r="T366" s="10" t="inlineStr">
        <is>
          <t>■ このセミナーについて 「AIを使ってみたい。でもクライアント情報を入れていいのか分からない」 税理士・社会保険労務士・行政書士・中小企業診断士。 士業の業務は生成AIとの相性が極めて良い領域ですが、多くの先生がこの一点で止まっています。 本セミナーでは、守秘義務を守りながらAIを実務に組み込む方法を、2時間で体系的にお伝えします。 中小企業診断士・大分県よろず支援拠点コーディネーターの堀寿弘が、自身の事務所で2023年から実務活用し</t>
        </is>
      </c>
      <c r="U366" s="15" t="inlineStr">
        <is>
          <t>https://www.kokuchpro.com/event/e662b5afb6fa28ab070681b45d8cca2f/</t>
        </is>
      </c>
      <c r="V366" s="10" t="n"/>
      <c r="W366" s="10" t="inlineStr">
        <is>
          <t>本文一致</t>
        </is>
      </c>
      <c r="X366" s="10" t="n"/>
    </row>
    <row r="367">
      <c r="A367" s="10" t="n">
        <v>366</v>
      </c>
      <c r="B367" s="24" t="n">
        <v>46255</v>
      </c>
      <c r="C367" s="24" t="n">
        <v>46255</v>
      </c>
      <c r="D367" s="10">
        <f>MONTH(B367)&amp;"月"</f>
        <v/>
      </c>
      <c r="E367" s="12" t="n">
        <v>1</v>
      </c>
      <c r="F367" s="10" t="n"/>
      <c r="G367" s="10" t="inlineStr">
        <is>
          <t>【無料オンライン】次世代AIチャットボット導入セミナー</t>
        </is>
      </c>
      <c r="H367" s="10" t="inlineStr">
        <is>
          <t>フロッグウェル株式会社</t>
        </is>
      </c>
      <c r="I367" s="10" t="n"/>
      <c r="J367" s="10" t="inlineStr">
        <is>
          <t>TECH PLAY</t>
        </is>
      </c>
      <c r="K367" s="10" t="inlineStr">
        <is>
          <t>オンライン</t>
        </is>
      </c>
      <c r="L367" s="10" t="n"/>
      <c r="M367" s="10" t="inlineStr">
        <is>
          <t>営業・マーケ・CS</t>
        </is>
      </c>
      <c r="N367" s="10" t="inlineStr">
        <is>
          <t>AIエージェント</t>
        </is>
      </c>
      <c r="O367" s="12" t="inlineStr">
        <is>
          <t>○</t>
        </is>
      </c>
      <c r="P367" s="13" t="n">
        <v>2</v>
      </c>
      <c r="Q367" s="12" t="inlineStr">
        <is>
          <t>申込者数</t>
        </is>
      </c>
      <c r="R367" s="14" t="n">
        <v>10</v>
      </c>
      <c r="S367" s="10" t="n"/>
      <c r="T367" s="10" t="inlineStr">
        <is>
          <t>労働力不足をAIで解決！Agentforceを活用した「次世代AIチャットボット導入」セミナーを開催 こんなお悩み・課題はありませんか？ 問い合わせ対応の量が増える一方で、人手が追いつかないとお悩みの方 夜間・休日の対応遅延や、担当者による回答ムラを何とかしたい方 従来のチャットボットを導入したが、シナリオ外の質問に対応できず困っている方 「有人チャットには限界がある。でも、AIにうまく任せる方法がわからない」――そんな課題を、一緒に解</t>
        </is>
      </c>
      <c r="U367" s="15" t="inlineStr">
        <is>
          <t>https://techplay.jp/event/995384</t>
        </is>
      </c>
      <c r="V367" s="10" t="n"/>
      <c r="W367" s="10" t="inlineStr">
        <is>
          <t>本文一致</t>
        </is>
      </c>
      <c r="X367" s="10" t="n"/>
    </row>
    <row r="368">
      <c r="A368" s="10" t="n">
        <v>367</v>
      </c>
      <c r="B368" s="24" t="n">
        <v>46256</v>
      </c>
      <c r="C368" s="24" t="n">
        <v>46256</v>
      </c>
      <c r="D368" s="10">
        <f>MONTH(B368)&amp;"月"</f>
        <v/>
      </c>
      <c r="E368" s="12" t="n">
        <v>1</v>
      </c>
      <c r="F368" s="10" t="n"/>
      <c r="G368" s="10" t="inlineStr">
        <is>
          <t>SHIFT AI 創立3周年記念イベント「AIエージェントカンファレンス」を2026年8月22日（土）に開催決定！</t>
        </is>
      </c>
      <c r="H368" s="10" t="inlineStr">
        <is>
          <t>株式会社SHIFT AI</t>
        </is>
      </c>
      <c r="I368" s="10" t="n"/>
      <c r="J368" s="10" t="inlineStr">
        <is>
          <t>PR TIMES</t>
        </is>
      </c>
      <c r="K368" s="10" t="inlineStr">
        <is>
          <t>offline</t>
        </is>
      </c>
      <c r="L368" s="10" t="inlineStr">
        <is>
          <t>東京都 高田馬場駅 周辺（※詳細な住所は申込者へ共有いたします）</t>
        </is>
      </c>
      <c r="M368" s="10" t="inlineStr">
        <is>
          <t>技術・AI全般</t>
        </is>
      </c>
      <c r="N368" s="10" t="inlineStr">
        <is>
          <t>AIエージェント</t>
        </is>
      </c>
      <c r="O368" s="12" t="inlineStr">
        <is>
          <t>○</t>
        </is>
      </c>
      <c r="P368" s="13" t="n"/>
      <c r="Q368" s="12" t="inlineStr">
        <is>
          <t>不明</t>
        </is>
      </c>
      <c r="R368" s="14" t="n"/>
      <c r="S368" s="10" t="n"/>
      <c r="T368" s="10" t="inlineStr">
        <is>
          <t>「日本をAI先進国に」をミッションに掲げ、利用者数No.1※の生成AI学習コミュニティ「SHIFT AI」を運営する株式会社SHIFT AI（本社：東京都渋谷区、代表取締役：木内翔大、以下：当社）は、創立3周年記念イベント「AIエージェントカンファレンス」を2026年8月22日（土）に開催することをお知らせいたします。 最先端知見の獲得と熱量ある交流を生む超大型リアルイベント 現在、生成AIの活用は「プロンプトによる指示や対話」から、自</t>
        </is>
      </c>
      <c r="U368" s="15" t="inlineStr">
        <is>
          <t>https://prtimes.jp/main/html/rd/p/000000278.000116644.html</t>
        </is>
      </c>
      <c r="V368" s="10" t="n"/>
      <c r="W368" s="10" t="inlineStr">
        <is>
          <t>タイトル一致</t>
        </is>
      </c>
      <c r="X368" s="10" t="n"/>
    </row>
    <row r="369">
      <c r="A369" s="10" t="n">
        <v>368</v>
      </c>
      <c r="B369" s="24" t="n">
        <v>46256</v>
      </c>
      <c r="C369" s="24" t="n">
        <v>46256</v>
      </c>
      <c r="D369" s="10">
        <f>MONTH(B369)&amp;"月"</f>
        <v/>
      </c>
      <c r="E369" s="12" t="n">
        <v>1</v>
      </c>
      <c r="F369" s="10" t="n"/>
      <c r="G369" s="10" t="inlineStr">
        <is>
          <t>「惜しいけど自分の文章じゃない」を終わらせる｜Claude Code の Skills でメール返信を任せきる</t>
        </is>
      </c>
      <c r="H369" s="10" t="inlineStr">
        <is>
          <t>デジタルレイバーズ</t>
        </is>
      </c>
      <c r="I369" s="10" t="n"/>
      <c r="J369" s="10" t="inlineStr">
        <is>
          <t>TECH PLAY</t>
        </is>
      </c>
      <c r="K369" s="10" t="inlineStr">
        <is>
          <t>オンライン</t>
        </is>
      </c>
      <c r="L369" s="10" t="n"/>
      <c r="M369" s="10" t="inlineStr">
        <is>
          <t>開発生産性</t>
        </is>
      </c>
      <c r="N369" s="10" t="inlineStr">
        <is>
          <t>AIエージェント</t>
        </is>
      </c>
      <c r="O369" s="12" t="inlineStr">
        <is>
          <t>○</t>
        </is>
      </c>
      <c r="P369" s="13" t="n">
        <v>11</v>
      </c>
      <c r="Q369" s="12" t="inlineStr">
        <is>
          <t>申込者数</t>
        </is>
      </c>
      <c r="R369" s="14" t="n">
        <v>60</v>
      </c>
      <c r="S369" s="10" t="n"/>
      <c r="T369" s="10" t="inlineStr">
        <is>
          <t>簡単な紹介 AIが書いたメールを毎回直している状態を終わらせます。自分の文体をそのまま再現させる仕組みの作り方を、実演でお伝えするセミナーです。 イベントについて 本セミナーは、日々のメール対応に時間を取られている経営者・幹部の方と、実務でAIを使っている担当者の方を対象に、AIへの指示を「毎回書くもの」から「一度だけ覚えさせるもの」へ捉え直すための、講義＋デモ形式のセミナーです。 AIに下書きを作らせても、敬語の度合いが自分と違う、前</t>
        </is>
      </c>
      <c r="U369" s="15" t="inlineStr">
        <is>
          <t>https://techplay.jp/event/998945</t>
        </is>
      </c>
      <c r="V369" s="10" t="n"/>
      <c r="W369" s="10" t="inlineStr">
        <is>
          <t>タイトル一致</t>
        </is>
      </c>
      <c r="X369" s="10" t="n"/>
    </row>
    <row r="370">
      <c r="A370" s="10" t="n">
        <v>369</v>
      </c>
      <c r="B370" s="24" t="n">
        <v>46256</v>
      </c>
      <c r="C370" s="24" t="n">
        <v>46256</v>
      </c>
      <c r="D370" s="10">
        <f>MONTH(B370)&amp;"月"</f>
        <v/>
      </c>
      <c r="E370" s="12" t="n">
        <v>1</v>
      </c>
      <c r="F370" s="10" t="n"/>
      <c r="G370" s="10" t="inlineStr">
        <is>
          <t>【8/22(土)開催】SHIFT AI 3周年記念「AIエージェントカンファレンス」〜最先端の知見を学び、経営者と繋がるビジネス交流会〜</t>
        </is>
      </c>
      <c r="H370" s="10" t="inlineStr">
        <is>
          <t>SHIFT AI</t>
        </is>
      </c>
      <c r="I370" s="10" t="n"/>
      <c r="J370" s="10" t="inlineStr">
        <is>
          <t>Peatix</t>
        </is>
      </c>
      <c r="K370" s="10" t="inlineStr">
        <is>
          <t>会場</t>
        </is>
      </c>
      <c r="L370" s="10" t="inlineStr">
        <is>
          <t>高田馬場駅近く(東京)</t>
        </is>
      </c>
      <c r="M370" s="10" t="inlineStr">
        <is>
          <t>生産性向上・業務効率化</t>
        </is>
      </c>
      <c r="N370" s="10" t="inlineStr">
        <is>
          <t>AIエージェント</t>
        </is>
      </c>
      <c r="O370" s="12" t="inlineStr">
        <is>
          <t>◎</t>
        </is>
      </c>
      <c r="P370" s="13" t="n"/>
      <c r="Q370" s="12" t="inlineStr">
        <is>
          <t>不明</t>
        </is>
      </c>
      <c r="R370" s="14" t="n"/>
      <c r="S370" s="10" t="n"/>
      <c r="T370" s="10" t="inlineStr">
        <is>
          <t>2026年8月22日(土)13:00-20:00 参加費6,000円。10名以上のAI講師、最新AIエージェント体験、経営者交流会</t>
        </is>
      </c>
      <c r="U370" s="15" t="inlineStr">
        <is>
          <t>https://peatix.com/event/5081712</t>
        </is>
      </c>
      <c r="V370" s="10" t="n"/>
      <c r="W370" s="10" t="inlineStr">
        <is>
          <t>タイトル一致</t>
        </is>
      </c>
      <c r="X370" s="10" t="n"/>
    </row>
    <row r="371">
      <c r="A371" s="10" t="n">
        <v>370</v>
      </c>
      <c r="B371" s="24" t="n">
        <v>46256</v>
      </c>
      <c r="C371" s="24" t="n">
        <v>46256</v>
      </c>
      <c r="D371" s="10">
        <f>MONTH(B371)&amp;"月"</f>
        <v/>
      </c>
      <c r="E371" s="12" t="n">
        <v>1</v>
      </c>
      <c r="F371" s="10" t="n"/>
      <c r="G371" s="10" t="inlineStr">
        <is>
          <t>【刈谷開催・第4回】生成AI（Codex）で工場向けIoT機器を作るハンズオン</t>
        </is>
      </c>
      <c r="H371" s="10" t="inlineStr">
        <is>
          <t>【刈谷開催】IoTクレーンゲームで体感する工場DX</t>
        </is>
      </c>
      <c r="I371" s="10" t="n"/>
      <c r="J371" s="10" t="inlineStr">
        <is>
          <t>connpass</t>
        </is>
      </c>
      <c r="K371" s="10" t="inlineStr">
        <is>
          <t>会場</t>
        </is>
      </c>
      <c r="L371" s="10" t="inlineStr">
        <is>
          <t>〒448-0027 愛知県刈谷市相生町２丁目20−番地 パークホテル刈谷 QS２階</t>
        </is>
      </c>
      <c r="M371" s="10" t="inlineStr">
        <is>
          <t>生産管理・製造・SCM</t>
        </is>
      </c>
      <c r="N371" s="10" t="inlineStr">
        <is>
          <t>AIエージェント</t>
        </is>
      </c>
      <c r="O371" s="12" t="inlineStr">
        <is>
          <t>◎</t>
        </is>
      </c>
      <c r="P371" s="13" t="n">
        <v>5</v>
      </c>
      <c r="Q371" s="12" t="inlineStr">
        <is>
          <t>参加者数</t>
        </is>
      </c>
      <c r="R371" s="14" t="n">
        <v>5</v>
      </c>
      <c r="S371" s="10" t="n"/>
      <c r="T371" s="10" t="n"/>
      <c r="U371" s="15" t="inlineStr">
        <is>
          <t>https://crane-game.connpass.com/event/403350/</t>
        </is>
      </c>
      <c r="V371" s="10" t="n"/>
      <c r="W371" s="10" t="inlineStr">
        <is>
          <t>タイトル一致</t>
        </is>
      </c>
      <c r="X371" s="10" t="n"/>
    </row>
    <row r="372">
      <c r="A372" s="10" t="n">
        <v>371</v>
      </c>
      <c r="B372" s="24" t="n">
        <v>46256</v>
      </c>
      <c r="C372" s="24" t="n">
        <v>46256</v>
      </c>
      <c r="D372" s="10">
        <f>MONTH(B372)&amp;"月"</f>
        <v/>
      </c>
      <c r="E372" s="12" t="n">
        <v>1</v>
      </c>
      <c r="F372" s="10" t="n"/>
      <c r="G372" s="10" t="inlineStr">
        <is>
          <t>【士業限定】AIに"作らせる"3時間 — Claude Code導入実践セミナー</t>
        </is>
      </c>
      <c r="H372" s="10" t="inlineStr">
        <is>
          <t>合同会社ウルノワ</t>
        </is>
      </c>
      <c r="I372" s="10" t="n"/>
      <c r="J372" s="10" t="inlineStr">
        <is>
          <t>こくちーずプロ</t>
        </is>
      </c>
      <c r="K372" s="10" t="inlineStr">
        <is>
          <t>オフライン（会場）</t>
        </is>
      </c>
      <c r="L372" s="10" t="inlineStr">
        <is>
          <t>ふれあい会議室秋葉原No.21 東京都東京都千代田区神田和泉町1-3-3 サフランビル1号館</t>
        </is>
      </c>
      <c r="M372" s="10" t="inlineStr">
        <is>
          <t>生産性向上・業務効率化</t>
        </is>
      </c>
      <c r="N372" s="10" t="inlineStr">
        <is>
          <t>AIエージェント</t>
        </is>
      </c>
      <c r="O372" s="12" t="inlineStr">
        <is>
          <t>◎</t>
        </is>
      </c>
      <c r="P372" s="13" t="n">
        <v>0</v>
      </c>
      <c r="Q372" s="12" t="inlineStr">
        <is>
          <t>参加者数</t>
        </is>
      </c>
      <c r="R372" s="14" t="n">
        <v>20</v>
      </c>
      <c r="S372" s="10" t="n"/>
      <c r="T372" s="10" t="inlineStr">
        <is>
          <t>■ 日時 2026年8月22日(土)13:00〜16:00(開場12:30) ■ 会場 ふれあい貸し会議室 秋葉原No.21 東京都千代田区神田和泉町1-3-3 サフランビル1号室 ■ 参加費 無料 ■ 定員 20名(先着順) ■ 対象 司法書士・税理士・弁護士・行政書士・社会保険労務士 等の士業の方 ※事務所スタッフの方のご参加も歓迎します ■ 持ち物 ノートPC(お持ちでない方は見学参加も可能です) ■ 締切 2026年8月21日(</t>
        </is>
      </c>
      <c r="U372" s="15" t="inlineStr">
        <is>
          <t>https://www.kokuchpro.com/event/09981ae4d04fdac727e80a4981f5f962/</t>
        </is>
      </c>
      <c r="V372" s="10" t="n"/>
      <c r="W372" s="10" t="inlineStr">
        <is>
          <t>タイトル一致</t>
        </is>
      </c>
      <c r="X372" s="10" t="n"/>
    </row>
    <row r="373">
      <c r="A373" s="10" t="n">
        <v>372</v>
      </c>
      <c r="B373" s="24" t="n">
        <v>46256</v>
      </c>
      <c r="C373" s="24" t="n">
        <v>46291</v>
      </c>
      <c r="D373" s="10">
        <f>MONTH(B373)&amp;"月"</f>
        <v/>
      </c>
      <c r="E373" s="12" t="n">
        <v>4</v>
      </c>
      <c r="F373" s="10" t="inlineStr">
        <is>
          <t>08/22、08/29、09/12、09/26</t>
        </is>
      </c>
      <c r="G373" s="10" t="inlineStr">
        <is>
          <t>ゼロからはじめるClaude Code入門講座（対面・無料）</t>
        </is>
      </c>
      <c r="H373" s="10" t="inlineStr">
        <is>
          <t>techgym</t>
        </is>
      </c>
      <c r="I373" s="10" t="n"/>
      <c r="J373" s="10" t="inlineStr">
        <is>
          <t>Doorkeeper</t>
        </is>
      </c>
      <c r="K373" s="10" t="inlineStr">
        <is>
          <t>会場</t>
        </is>
      </c>
      <c r="L373" s="10" t="inlineStr">
        <is>
          <t>テックジム東京本校 東京都千代田区平河町2-7-2 VORT永田町6F</t>
        </is>
      </c>
      <c r="M373" s="10" t="inlineStr">
        <is>
          <t>開発生産性</t>
        </is>
      </c>
      <c r="N373" s="10" t="inlineStr">
        <is>
          <t>AIエージェント</t>
        </is>
      </c>
      <c r="O373" s="12" t="inlineStr">
        <is>
          <t>○</t>
        </is>
      </c>
      <c r="P373" s="13" t="n">
        <v>0</v>
      </c>
      <c r="Q373" s="12" t="inlineStr">
        <is>
          <t>参加者数</t>
        </is>
      </c>
      <c r="R373" s="14" t="n">
        <v>20</v>
      </c>
      <c r="S373" s="10" t="inlineStr">
        <is>
          <t>全4回の合計</t>
        </is>
      </c>
      <c r="T373" s="10" t="inlineStr">
        <is>
          <t xml:space="preserve"> ゼロからはじめるClaude Code講座（対面・無料） 【会場開催となります】 オンラインでは出来ない細やかなサポートが、リアル開催ならでは！ 初学者から年齢、性別に限らず興味がある方に受講頂いている当講座。 どなたでもお気軽にご参加ください。講座後はテックジム会員様と混ざって頂き自習室を自由にご利用ください。 入退室は自由となっております。※ノートPC持参でお願いします。 🎯 あなたの作りたいものを作る 本講座では 「その日のうち</t>
        </is>
      </c>
      <c r="U373" s="15" t="inlineStr">
        <is>
          <t>https://techgym.doorkeeper.jp/events/198718</t>
        </is>
      </c>
      <c r="V373" s="10" t="n"/>
      <c r="W373" s="10" t="inlineStr">
        <is>
          <t>タイトル一致</t>
        </is>
      </c>
      <c r="X373" s="10" t="n"/>
    </row>
    <row r="374">
      <c r="A374" s="10" t="n">
        <v>373</v>
      </c>
      <c r="B374" s="24" t="n">
        <v>46257</v>
      </c>
      <c r="C374" s="24" t="n">
        <v>46257</v>
      </c>
      <c r="D374" s="10">
        <f>MONTH(B374)&amp;"月"</f>
        <v/>
      </c>
      <c r="E374" s="12" t="n">
        <v>1</v>
      </c>
      <c r="F374" s="10" t="n"/>
      <c r="G374" s="10" t="inlineStr">
        <is>
          <t>【初心者大歓迎!】AI活用リアル作業会 in 仙台|自分専用の「AI社員」を作ってみよう!</t>
        </is>
      </c>
      <c r="H374" s="10" t="inlineStr">
        <is>
          <t>AI活用コミュニティ「徒然」in 仙台</t>
        </is>
      </c>
      <c r="I374" s="10" t="n"/>
      <c r="J374" s="10" t="inlineStr">
        <is>
          <t>こくちーずプロ</t>
        </is>
      </c>
      <c r="K374" s="10" t="inlineStr">
        <is>
          <t>オフライン（会場）</t>
        </is>
      </c>
      <c r="L374" s="10" t="inlineStr">
        <is>
          <t>ミリヨン 宮城県仙台市青葉区花京院1-1-30 ニューライフ花京院2階</t>
        </is>
      </c>
      <c r="M374" s="10" t="inlineStr">
        <is>
          <t>営業・マーケ・CS</t>
        </is>
      </c>
      <c r="N374" s="10" t="inlineStr">
        <is>
          <t>AIエージェント</t>
        </is>
      </c>
      <c r="O374" s="12" t="inlineStr">
        <is>
          <t>○</t>
        </is>
      </c>
      <c r="P374" s="13" t="n"/>
      <c r="Q374" s="12" t="inlineStr">
        <is>
          <t>不明</t>
        </is>
      </c>
      <c r="R374" s="14" t="n"/>
      <c r="S374" s="10" t="n"/>
      <c r="T374" s="10" t="inlineStr">
        <is>
          <t>「AI社員ってよく話は聞くけど、具体的にどう作ったらいいのかわからない…」 「いまだにChatGPTやClaudeに毎回指示を出している…」 その悩み、リアル作業会で一気に解決してみませんか？ 初心者でも大丈夫！ みんなで楽しく学んで前に進みましょう。 ■イベント基本情報 開催日時：2026年8月23日（日）13:00～18:00 会場：ミリヨン（宮城県仙台市青葉区花京院1-1-30 ニューライフ花京院2階） 主催：AI活用コミュニティ</t>
        </is>
      </c>
      <c r="U374" s="15" t="inlineStr">
        <is>
          <t>https://www.kokuchpro.com/event/ac9826aec0c6506f5668d63ac912b860/</t>
        </is>
      </c>
      <c r="V374" s="10" t="n"/>
      <c r="W374" s="10" t="inlineStr">
        <is>
          <t>本文一致</t>
        </is>
      </c>
      <c r="X374" s="10" t="n"/>
    </row>
    <row r="375">
      <c r="A375" s="10" t="n">
        <v>374</v>
      </c>
      <c r="B375" s="24" t="n">
        <v>46258</v>
      </c>
      <c r="C375" s="24" t="n">
        <v>46258</v>
      </c>
      <c r="D375" s="10">
        <f>MONTH(B375)&amp;"月"</f>
        <v/>
      </c>
      <c r="E375" s="12" t="n">
        <v>1</v>
      </c>
      <c r="F375" s="10" t="n"/>
      <c r="G375" s="10" t="inlineStr">
        <is>
          <t>LLM・AIエージェントシステムベストプラクティス - FL#131</t>
        </is>
      </c>
      <c r="H375" s="10" t="inlineStr">
        <is>
          <t>Forkwell Community</t>
        </is>
      </c>
      <c r="I375" s="10" t="n"/>
      <c r="J375" s="10" t="inlineStr">
        <is>
          <t>connpass</t>
        </is>
      </c>
      <c r="K375" s="10" t="inlineStr">
        <is>
          <t>オンライン</t>
        </is>
      </c>
      <c r="L375" s="10" t="inlineStr">
        <is>
          <t>オンライン</t>
        </is>
      </c>
      <c r="M375" s="10" t="inlineStr">
        <is>
          <t>技術・AI全般</t>
        </is>
      </c>
      <c r="N375" s="10" t="inlineStr">
        <is>
          <t>AIエージェント</t>
        </is>
      </c>
      <c r="O375" s="12" t="inlineStr">
        <is>
          <t>○</t>
        </is>
      </c>
      <c r="P375" s="13" t="n">
        <v>269</v>
      </c>
      <c r="Q375" s="12" t="inlineStr">
        <is>
          <t>参加者数</t>
        </is>
      </c>
      <c r="R375" s="14" t="n"/>
      <c r="S375" s="10" t="n"/>
      <c r="T375" s="10" t="n"/>
      <c r="U375" s="15" t="inlineStr">
        <is>
          <t>https://forkwell.connpass.com/event/402142/</t>
        </is>
      </c>
      <c r="V375" s="10" t="n"/>
      <c r="W375" s="10" t="inlineStr">
        <is>
          <t>タイトル一致</t>
        </is>
      </c>
      <c r="X375" s="10" t="n"/>
    </row>
    <row r="376">
      <c r="A376" s="10" t="n">
        <v>375</v>
      </c>
      <c r="B376" s="24" t="n">
        <v>46258</v>
      </c>
      <c r="C376" s="24" t="n">
        <v>46258</v>
      </c>
      <c r="D376" s="10">
        <f>MONTH(B376)&amp;"月"</f>
        <v/>
      </c>
      <c r="E376" s="12" t="n">
        <v>1</v>
      </c>
      <c r="F376" s="10" t="n"/>
      <c r="G376" s="10" t="inlineStr">
        <is>
          <t>【30分・人気企画の続編】AIバイブデザインで作ったMVPを本番へ——品質・セキュリティ・運用の5つのゲート</t>
        </is>
      </c>
      <c r="H376" s="10" t="inlineStr">
        <is>
          <t>Ragate株式会社</t>
        </is>
      </c>
      <c r="I376" s="10" t="n"/>
      <c r="J376" s="10" t="inlineStr">
        <is>
          <t>TECH PLAY</t>
        </is>
      </c>
      <c r="K376" s="10" t="inlineStr">
        <is>
          <t>オンライン</t>
        </is>
      </c>
      <c r="L376" s="10" t="n"/>
      <c r="M376" s="10" t="inlineStr">
        <is>
          <t>生産性向上・業務効率化</t>
        </is>
      </c>
      <c r="N376" s="10" t="inlineStr">
        <is>
          <t>AIエージェント</t>
        </is>
      </c>
      <c r="O376" s="12" t="inlineStr">
        <is>
          <t>○</t>
        </is>
      </c>
      <c r="P376" s="13" t="n">
        <v>8</v>
      </c>
      <c r="Q376" s="12" t="inlineStr">
        <is>
          <t>申込者数</t>
        </is>
      </c>
      <c r="R376" s="14" t="n">
        <v>50</v>
      </c>
      <c r="S376" s="10" t="n"/>
      <c r="T376" s="10" t="inlineStr">
        <is>
          <t>Claudeなどを使ったAIバイブデザイン／コーディングにより、MVPやPoCの初期実装は短期間で進められるようになりました。しかし、画面が動くことと、本番で継続利用できることは同じではありません。 本番化では、期待する回答・処理を再現できるか、権限のないデータへ到達しないか、障害やモデル変更を検知できるか、AIを止めたときに業務を継続できるか、最終判断を誰が持つかを決める必要があります。これらを後から足すと、PoCの作り直しや承認の長</t>
        </is>
      </c>
      <c r="U376" s="15" t="inlineStr">
        <is>
          <t>https://techplay.jp/event/998459</t>
        </is>
      </c>
      <c r="V376" s="10" t="n"/>
      <c r="W376" s="10" t="inlineStr">
        <is>
          <t>本文一致</t>
        </is>
      </c>
      <c r="X376" s="10" t="n"/>
    </row>
    <row r="377">
      <c r="A377" s="10" t="n">
        <v>376</v>
      </c>
      <c r="B377" s="24" t="n">
        <v>46258</v>
      </c>
      <c r="C377" s="24" t="n">
        <v>46258</v>
      </c>
      <c r="D377" s="10">
        <f>MONTH(B377)&amp;"月"</f>
        <v/>
      </c>
      <c r="E377" s="12" t="n">
        <v>1</v>
      </c>
      <c r="F377" s="10" t="n"/>
      <c r="G377" s="10" t="inlineStr">
        <is>
          <t>生成AIで増えるコード、レビューはどう変わるべきか 〜開発スピードを落とさず、品質・セキュリティ・コストを最適化する方法〜</t>
        </is>
      </c>
      <c r="H377" s="10" t="inlineStr">
        <is>
          <t>SonarSource Japan株式会社</t>
        </is>
      </c>
      <c r="I377" s="10" t="inlineStr">
        <is>
          <t>マジセミ株式会社</t>
        </is>
      </c>
      <c r="J377" s="10" t="inlineStr">
        <is>
          <t>Doorkeeper</t>
        </is>
      </c>
      <c r="K377" s="10" t="inlineStr">
        <is>
          <t>不明</t>
        </is>
      </c>
      <c r="L377" s="10" t="n"/>
      <c r="M377" s="10" t="inlineStr">
        <is>
          <t>開発生産性</t>
        </is>
      </c>
      <c r="N377" s="10" t="inlineStr">
        <is>
          <t>AIエージェント</t>
        </is>
      </c>
      <c r="O377" s="12" t="inlineStr">
        <is>
          <t>△</t>
        </is>
      </c>
      <c r="P377" s="13" t="n">
        <v>0</v>
      </c>
      <c r="Q377" s="12" t="inlineStr">
        <is>
          <t>参加者数</t>
        </is>
      </c>
      <c r="R377" s="14" t="n"/>
      <c r="S377" s="10" t="n"/>
      <c r="T377"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生成AIでコード量が急増し、人手によるレビューが限界に達している ChatGPTやGitHub Copilotをはじめとする生成AIの活用により、コーディングのスピードは飛躍的に向上し、開発現場では日々</t>
        </is>
      </c>
      <c r="U377" s="15" t="inlineStr">
        <is>
          <t>https://majisemi-operation.doorkeeper.jp/events/198490</t>
        </is>
      </c>
      <c r="V377" s="10" t="n"/>
      <c r="W377" s="10" t="inlineStr">
        <is>
          <t>本文一致</t>
        </is>
      </c>
      <c r="X377" s="10" t="n"/>
    </row>
    <row r="378">
      <c r="A378" s="10" t="n">
        <v>377</v>
      </c>
      <c r="B378" s="24" t="n">
        <v>46258</v>
      </c>
      <c r="C378" s="24" t="n">
        <v>46258</v>
      </c>
      <c r="D378" s="10">
        <f>MONTH(B378)&amp;"月"</f>
        <v/>
      </c>
      <c r="E378" s="12" t="n">
        <v>1</v>
      </c>
      <c r="F378" s="10" t="n"/>
      <c r="G378" s="10" t="inlineStr">
        <is>
          <t>自律型コーディングエージェントを 用いた開発プロセスの最適化</t>
        </is>
      </c>
      <c r="H378" s="10" t="inlineStr">
        <is>
          <t>Scalar</t>
        </is>
      </c>
      <c r="I378" s="10" t="n"/>
      <c r="J378" s="10" t="inlineStr">
        <is>
          <t>connpass</t>
        </is>
      </c>
      <c r="K378" s="10" t="inlineStr">
        <is>
          <t>オンライン</t>
        </is>
      </c>
      <c r="L378" s="10" t="inlineStr">
        <is>
          <t>オンライン</t>
        </is>
      </c>
      <c r="M378" s="10" t="inlineStr">
        <is>
          <t>開発生産性</t>
        </is>
      </c>
      <c r="N378" s="10" t="inlineStr">
        <is>
          <t>AIエージェント</t>
        </is>
      </c>
      <c r="O378" s="12" t="inlineStr">
        <is>
          <t>○</t>
        </is>
      </c>
      <c r="P378" s="13" t="n">
        <v>43</v>
      </c>
      <c r="Q378" s="12" t="inlineStr">
        <is>
          <t>参加者数</t>
        </is>
      </c>
      <c r="R378" s="14" t="n">
        <v>100</v>
      </c>
      <c r="S378" s="10" t="n"/>
      <c r="T378" s="10" t="n"/>
      <c r="U378" s="15" t="inlineStr">
        <is>
          <t>https://scalar.connpass.com/event/404000/</t>
        </is>
      </c>
      <c r="V378" s="10" t="n"/>
      <c r="W378" s="10" t="inlineStr">
        <is>
          <t>タイトル一致</t>
        </is>
      </c>
      <c r="X378" s="10" t="n"/>
    </row>
    <row r="379">
      <c r="A379" s="10" t="n">
        <v>378</v>
      </c>
      <c r="B379" s="24" t="n">
        <v>46259</v>
      </c>
      <c r="C379" s="24" t="n">
        <v>46259</v>
      </c>
      <c r="D379" s="10">
        <f>MONTH(B379)&amp;"月"</f>
        <v/>
      </c>
      <c r="E379" s="12" t="n">
        <v>1</v>
      </c>
      <c r="F379" s="10" t="n"/>
      <c r="G379" s="10" t="inlineStr">
        <is>
          <t>AI Agent Journey 2026 第1回｜AIエージェントを安全に公開する第一歩</t>
        </is>
      </c>
      <c r="H379" s="10" t="inlineStr">
        <is>
          <t>データ分析・AI x データサイエンスコミュニティ</t>
        </is>
      </c>
      <c r="I379" s="10" t="n"/>
      <c r="J379" s="10" t="inlineStr">
        <is>
          <t>connpass</t>
        </is>
      </c>
      <c r="K379" s="10" t="inlineStr">
        <is>
          <t>会場</t>
        </is>
      </c>
      <c r="L379" s="10" t="inlineStr">
        <is>
          <t>〒541-0041 大阪府大阪市中央区北浜１丁目８−１６</t>
        </is>
      </c>
      <c r="M379" s="10" t="inlineStr">
        <is>
          <t>技術・AI全般</t>
        </is>
      </c>
      <c r="N379" s="10" t="inlineStr">
        <is>
          <t>AIエージェント</t>
        </is>
      </c>
      <c r="O379" s="12" t="inlineStr">
        <is>
          <t>○</t>
        </is>
      </c>
      <c r="P379" s="13" t="n">
        <v>43</v>
      </c>
      <c r="Q379" s="12" t="inlineStr">
        <is>
          <t>参加者数</t>
        </is>
      </c>
      <c r="R379" s="14" t="n">
        <v>50</v>
      </c>
      <c r="S379" s="10" t="n"/>
      <c r="T379" s="10" t="n"/>
      <c r="U379" s="15" t="inlineStr">
        <is>
          <t>https://datascience-mokumoku-kyobashi.connpass.com/event/401167/</t>
        </is>
      </c>
      <c r="V379" s="10" t="n"/>
      <c r="W379" s="10" t="inlineStr">
        <is>
          <t>タイトル一致</t>
        </is>
      </c>
      <c r="X379" s="10" t="n"/>
    </row>
    <row r="380">
      <c r="A380" s="10" t="n">
        <v>379</v>
      </c>
      <c r="B380" s="24" t="n">
        <v>46259</v>
      </c>
      <c r="C380" s="24" t="n">
        <v>46259</v>
      </c>
      <c r="D380" s="10">
        <f>MONTH(B380)&amp;"月"</f>
        <v/>
      </c>
      <c r="E380" s="12" t="n">
        <v>1</v>
      </c>
      <c r="F380" s="10" t="n"/>
      <c r="G380" s="10" t="inlineStr">
        <is>
          <t>AIエージェントでゲームを作ってみる会</t>
        </is>
      </c>
      <c r="H380" s="10" t="inlineStr">
        <is>
          <t>あちこち</t>
        </is>
      </c>
      <c r="I380" s="10" t="n"/>
      <c r="J380" s="10" t="inlineStr">
        <is>
          <t>connpass</t>
        </is>
      </c>
      <c r="K380" s="10" t="inlineStr">
        <is>
          <t>会場</t>
        </is>
      </c>
      <c r="L380" s="10" t="inlineStr">
        <is>
          <t>東京都千代田区神田佐久間町3-37-1 山茂登ビル 3階 FFFFF Cafe</t>
        </is>
      </c>
      <c r="M380" s="10" t="inlineStr">
        <is>
          <t>技術・AI全般</t>
        </is>
      </c>
      <c r="N380" s="10" t="inlineStr">
        <is>
          <t>AIエージェント</t>
        </is>
      </c>
      <c r="O380" s="12" t="inlineStr">
        <is>
          <t>○</t>
        </is>
      </c>
      <c r="P380" s="13" t="n">
        <v>9</v>
      </c>
      <c r="Q380" s="12" t="inlineStr">
        <is>
          <t>参加者数</t>
        </is>
      </c>
      <c r="R380" s="14" t="n">
        <v>10</v>
      </c>
      <c r="S380" s="10" t="n"/>
      <c r="T380" s="10" t="n"/>
      <c r="U380" s="15" t="inlineStr">
        <is>
          <t>https://achi-kochi.connpass.com/event/404384/</t>
        </is>
      </c>
      <c r="V380" s="10" t="n"/>
      <c r="W380" s="10" t="inlineStr">
        <is>
          <t>タイトル一致</t>
        </is>
      </c>
      <c r="X380" s="10" t="n"/>
    </row>
    <row r="381">
      <c r="A381" s="10" t="n">
        <v>380</v>
      </c>
      <c r="B381" s="24" t="n">
        <v>46259</v>
      </c>
      <c r="C381" s="24" t="n">
        <v>46259</v>
      </c>
      <c r="D381" s="10">
        <f>MONTH(B381)&amp;"月"</f>
        <v/>
      </c>
      <c r="E381" s="12" t="n">
        <v>1</v>
      </c>
      <c r="F381" s="10" t="n"/>
      <c r="G381" s="10" t="inlineStr">
        <is>
          <t>AI活用は企業データで決まる ～AIが業務を実行する時代を実現するデータ連携戦略～</t>
        </is>
      </c>
      <c r="H381" s="10" t="inlineStr">
        <is>
          <t>株式会社テクトラジャパン CData Software Japan 合同会社</t>
        </is>
      </c>
      <c r="I381" s="10" t="inlineStr">
        <is>
          <t>株式会社テクトラジャパン CData Software Japan 合同会社</t>
        </is>
      </c>
      <c r="J381" s="10" t="inlineStr">
        <is>
          <t>Doorkeeper</t>
        </is>
      </c>
      <c r="K381" s="10" t="inlineStr">
        <is>
          <t>オンライン</t>
        </is>
      </c>
      <c r="L381" s="10" t="inlineStr">
        <is>
          <t>Webセミナー（URLは主催企業からメールでお知らせします） オンライン</t>
        </is>
      </c>
      <c r="M381" s="10" t="inlineStr">
        <is>
          <t>生産性向上・業務効率化</t>
        </is>
      </c>
      <c r="N381" s="10" t="inlineStr">
        <is>
          <t>AIエージェント</t>
        </is>
      </c>
      <c r="O381" s="12" t="inlineStr">
        <is>
          <t>○</t>
        </is>
      </c>
      <c r="P381" s="13" t="n">
        <v>4</v>
      </c>
      <c r="Q381" s="12" t="inlineStr">
        <is>
          <t>参加者数</t>
        </is>
      </c>
      <c r="R381" s="14" t="n">
        <v>5</v>
      </c>
      <c r="S381" s="10" t="n"/>
      <c r="T381" s="10" t="inlineStr">
        <is>
          <t xml:space="preserve"> 本セミナーはWebセミナーです ツールはMicrosoft Teamsを使います。URLは直前にメールにてご連絡いたします。 なお、「Tectura.com」「osslabo.com」「majisemi.com」からのメールが迷惑メールとならないよう、メールの設定をご確認下さい。 AI活用は企業データで決まる― AIが業務を実行する時代を実現するデータ連携戦略 ― 「AIを導入したのに、期待した成果が出ない」 ——その原因の多くは、A</t>
        </is>
      </c>
      <c r="U381" s="15" t="inlineStr">
        <is>
          <t>https://majisemi-data.doorkeeper.jp/events/198576</t>
        </is>
      </c>
      <c r="V381" s="10" t="n"/>
      <c r="W381" s="10" t="inlineStr">
        <is>
          <t>本文一致</t>
        </is>
      </c>
      <c r="X381" s="10" t="n"/>
    </row>
    <row r="382">
      <c r="A382" s="10" t="n">
        <v>381</v>
      </c>
      <c r="B382" s="24" t="n">
        <v>46259</v>
      </c>
      <c r="C382" s="24" t="n">
        <v>46259</v>
      </c>
      <c r="D382" s="10">
        <f>MONTH(B382)&amp;"月"</f>
        <v/>
      </c>
      <c r="E382" s="12" t="n">
        <v>1</v>
      </c>
      <c r="F382" s="10" t="n"/>
      <c r="G382" s="10" t="inlineStr">
        <is>
          <t>Agentic Data Cloudの要点と活用のポイント紹介</t>
        </is>
      </c>
      <c r="H382" s="10" t="inlineStr">
        <is>
          <t>NRIネットコム株式会社</t>
        </is>
      </c>
      <c r="I382" s="10" t="n"/>
      <c r="J382" s="10" t="inlineStr">
        <is>
          <t>connpass</t>
        </is>
      </c>
      <c r="K382" s="10" t="inlineStr">
        <is>
          <t>会場</t>
        </is>
      </c>
      <c r="L382" s="10" t="inlineStr">
        <is>
          <t>(場所未定)</t>
        </is>
      </c>
      <c r="M382" s="10" t="inlineStr">
        <is>
          <t>技術・AI全般</t>
        </is>
      </c>
      <c r="N382" s="10" t="inlineStr">
        <is>
          <t>AIエージェント</t>
        </is>
      </c>
      <c r="O382" s="12" t="inlineStr">
        <is>
          <t>○</t>
        </is>
      </c>
      <c r="P382" s="13" t="n">
        <v>3</v>
      </c>
      <c r="Q382" s="12" t="inlineStr">
        <is>
          <t>参加者数</t>
        </is>
      </c>
      <c r="R382" s="14" t="n"/>
      <c r="S382" s="10" t="n"/>
      <c r="T382" s="10" t="n"/>
      <c r="U382" s="15" t="inlineStr">
        <is>
          <t>https://nrinetcom.connpass.com/event/403772/</t>
        </is>
      </c>
      <c r="V382" s="10" t="n"/>
      <c r="W382" s="10" t="inlineStr">
        <is>
          <t>タイトル一致</t>
        </is>
      </c>
      <c r="X382" s="10" t="n"/>
    </row>
    <row r="383">
      <c r="A383" s="10" t="n">
        <v>382</v>
      </c>
      <c r="B383" s="24" t="n">
        <v>46259</v>
      </c>
      <c r="C383" s="24" t="n">
        <v>46294</v>
      </c>
      <c r="D383" s="10">
        <f>MONTH(B383)&amp;"月"</f>
        <v/>
      </c>
      <c r="E383" s="12" t="n">
        <v>2</v>
      </c>
      <c r="F383" s="10" t="inlineStr">
        <is>
          <t>08/25、09/29</t>
        </is>
      </c>
      <c r="G383" s="10" t="inlineStr">
        <is>
          <t>JAWS-UG AI/ML #42：AIエージェントとAI-DLCで加速する！AI/ML実践LT大会</t>
        </is>
      </c>
      <c r="H383" s="10" t="inlineStr">
        <is>
          <t>JAWS-UG AI/ML 支部</t>
        </is>
      </c>
      <c r="I383" s="10" t="n"/>
      <c r="J383" s="10" t="inlineStr">
        <is>
          <t>connpass</t>
        </is>
      </c>
      <c r="K383" s="10" t="inlineStr">
        <is>
          <t>オンライン</t>
        </is>
      </c>
      <c r="L383" s="10" t="inlineStr">
        <is>
          <t>オンライン</t>
        </is>
      </c>
      <c r="M383" s="10" t="inlineStr">
        <is>
          <t>技術・AI全般</t>
        </is>
      </c>
      <c r="N383" s="10" t="inlineStr">
        <is>
          <t>AIエージェント</t>
        </is>
      </c>
      <c r="O383" s="12" t="inlineStr">
        <is>
          <t>○</t>
        </is>
      </c>
      <c r="P383" s="13" t="n">
        <v>196</v>
      </c>
      <c r="Q383" s="12" t="inlineStr">
        <is>
          <t>参加者数</t>
        </is>
      </c>
      <c r="R383" s="14" t="n"/>
      <c r="S383" s="10" t="inlineStr">
        <is>
          <t>全2回の合計</t>
        </is>
      </c>
      <c r="T383" s="10" t="n"/>
      <c r="U383" s="15" t="inlineStr">
        <is>
          <t>https://jawsug-ai.connpass.com/event/403490/</t>
        </is>
      </c>
      <c r="V383" s="10" t="n"/>
      <c r="W383" s="10" t="inlineStr">
        <is>
          <t>タイトル一致</t>
        </is>
      </c>
      <c r="X383" s="10" t="n"/>
    </row>
    <row r="384">
      <c r="A384" s="10" t="n">
        <v>383</v>
      </c>
      <c r="B384" s="24" t="n">
        <v>46259</v>
      </c>
      <c r="C384" s="24" t="n">
        <v>46259</v>
      </c>
      <c r="D384" s="10">
        <f>MONTH(B384)&amp;"月"</f>
        <v/>
      </c>
      <c r="E384" s="12" t="n">
        <v>1</v>
      </c>
      <c r="F384" s="10" t="n"/>
      <c r="G384" s="10" t="inlineStr">
        <is>
          <t>MCPとは何か ー AIを社内のデータ・ツールにつなぐ仕組みを業務目線で理解する</t>
        </is>
      </c>
      <c r="H384" s="10" t="inlineStr">
        <is>
          <t>株式会社 LiberCraft</t>
        </is>
      </c>
      <c r="I384" s="10" t="n"/>
      <c r="J384" s="10" t="inlineStr">
        <is>
          <t>TECH PLAY</t>
        </is>
      </c>
      <c r="K384" s="10" t="inlineStr">
        <is>
          <t>オンライン</t>
        </is>
      </c>
      <c r="L384" s="10" t="n"/>
      <c r="M384" s="10" t="inlineStr">
        <is>
          <t>生産性向上・業務効率化</t>
        </is>
      </c>
      <c r="N384" s="10" t="inlineStr">
        <is>
          <t>MCP</t>
        </is>
      </c>
      <c r="O384" s="12" t="inlineStr">
        <is>
          <t>◎</t>
        </is>
      </c>
      <c r="P384" s="13" t="n">
        <v>7</v>
      </c>
      <c r="Q384" s="12" t="inlineStr">
        <is>
          <t>申込者数</t>
        </is>
      </c>
      <c r="R384" s="14" t="n">
        <v>100</v>
      </c>
      <c r="S384" s="10" t="n"/>
      <c r="T384" s="10" t="inlineStr">
        <is>
          <t>━━━━━━━━━━━━━━━━━━━━━━━━━━━━━━━ そのつどコピペしていませんか ── AIを社内システムにつなぐ標準規格の話 ━━━━━━━━━━━━━━━━━━━━━━━━━━━━━━━ ✓ ChatGPTやClaudeは使っているが、資料をそのつどコピペして貼り付けている ✓ 社内のデータやツールにAIをつなげたいが、どうやってつなぐのか分からない ✓ 「MCP」という言葉は聞くが、技術者向けの話だと思って踏み込めてい</t>
        </is>
      </c>
      <c r="U384" s="15" t="inlineStr">
        <is>
          <t>https://techplay.jp/event/998059</t>
        </is>
      </c>
      <c r="V384" s="10" t="n"/>
      <c r="W384" s="10" t="inlineStr">
        <is>
          <t>タイトル一致</t>
        </is>
      </c>
      <c r="X384" s="10" t="n"/>
    </row>
    <row r="385">
      <c r="A385" s="10" t="n">
        <v>384</v>
      </c>
      <c r="B385" s="24" t="n">
        <v>46259</v>
      </c>
      <c r="C385" s="24" t="n">
        <v>46262</v>
      </c>
      <c r="D385" s="10">
        <f>MONTH(B385)&amp;"月"</f>
        <v/>
      </c>
      <c r="E385" s="12" t="n">
        <v>2</v>
      </c>
      <c r="F385" s="10" t="inlineStr">
        <is>
          <t>08/25、08/28</t>
        </is>
      </c>
      <c r="G385" s="10" t="inlineStr">
        <is>
          <t>OMNILINK-AI オンライン説明会|AI × Web3の最新テクノロジーを知る</t>
        </is>
      </c>
      <c r="H385" s="10" t="inlineStr">
        <is>
          <t>OMNILINK-AI オンライン説明会|AI × Web3の最新テクノロジーを知る事務局</t>
        </is>
      </c>
      <c r="I385" s="10" t="n"/>
      <c r="J385" s="10" t="inlineStr">
        <is>
          <t>こくちーずプロ</t>
        </is>
      </c>
      <c r="K385" s="10" t="inlineStr">
        <is>
          <t>オンライン</t>
        </is>
      </c>
      <c r="L385" s="10" t="inlineStr">
        <is>
          <t>オンライン 日本</t>
        </is>
      </c>
      <c r="M385" s="10" t="inlineStr">
        <is>
          <t>生産性向上・業務効率化</t>
        </is>
      </c>
      <c r="N385" s="10" t="inlineStr">
        <is>
          <t>AIエージェント</t>
        </is>
      </c>
      <c r="O385" s="12" t="inlineStr">
        <is>
          <t>○</t>
        </is>
      </c>
      <c r="P385" s="13" t="n">
        <v>3</v>
      </c>
      <c r="Q385" s="12" t="inlineStr">
        <is>
          <t>参加者数</t>
        </is>
      </c>
      <c r="R385" s="14" t="n">
        <v>10</v>
      </c>
      <c r="S385" s="10" t="inlineStr">
        <is>
          <t>全2回の合計</t>
        </is>
      </c>
      <c r="T385" s="10" t="inlineStr">
        <is>
          <t>「OMNILINK-AIとは何なのか？」 「どのような技術や仕組みを使っているのか？」 「AIエージェントとWeb3は、これからどのように発展していくのか？」 本説明会では、OMNILINK-AIの概要や特徴について、担当者から直接ご説明します。 AIやWeb3に興味がある方、最新のテクノロジーについて知りたい方、これからのデジタル社会について学びたい方におすすめのオンライン説明会です。 主な内容 ・OMNILINK-AIの概要 ・AI</t>
        </is>
      </c>
      <c r="U385" s="15" t="inlineStr">
        <is>
          <t>https://www.kokuchpro.com/event/ff2c85d09ea852f304937fe6a2026891/</t>
        </is>
      </c>
      <c r="V385" s="10" t="n"/>
      <c r="W385" s="10" t="inlineStr">
        <is>
          <t>本文一致</t>
        </is>
      </c>
      <c r="X385" s="10" t="n"/>
    </row>
    <row r="386">
      <c r="A386" s="10" t="n">
        <v>385</v>
      </c>
      <c r="B386" s="24" t="n">
        <v>46259</v>
      </c>
      <c r="C386" s="24" t="n">
        <v>46259</v>
      </c>
      <c r="D386" s="10">
        <f>MONTH(B386)&amp;"月"</f>
        <v/>
      </c>
      <c r="E386" s="12" t="n">
        <v>1</v>
      </c>
      <c r="F386" s="10" t="n"/>
      <c r="G386" s="10" t="inlineStr">
        <is>
          <t>Qlik TECH TALK セミナー： AIエージェントで実践するデータガバナンス   ― Qlik Cloudで進めるデータ品質・データプロダクト・ビジネス用語の管理 ―</t>
        </is>
      </c>
      <c r="H386" s="10" t="inlineStr">
        <is>
          <t>Qlik &amp; Talend</t>
        </is>
      </c>
      <c r="I386" s="10" t="n"/>
      <c r="J386" s="10" t="inlineStr">
        <is>
          <t>TECH PLAY</t>
        </is>
      </c>
      <c r="K386" s="10" t="inlineStr">
        <is>
          <t>オンライン</t>
        </is>
      </c>
      <c r="L386" s="10" t="n"/>
      <c r="M386" s="10" t="inlineStr">
        <is>
          <t>営業・マーケ・CS</t>
        </is>
      </c>
      <c r="N386" s="10" t="inlineStr">
        <is>
          <t>AIエージェント</t>
        </is>
      </c>
      <c r="O386" s="12" t="inlineStr">
        <is>
          <t>◎</t>
        </is>
      </c>
      <c r="P386" s="13" t="n">
        <v>14</v>
      </c>
      <c r="Q386" s="12" t="inlineStr">
        <is>
          <t>申込者数</t>
        </is>
      </c>
      <c r="R386" s="14" t="n">
        <v>50</v>
      </c>
      <c r="S386" s="10" t="n"/>
      <c r="T386" s="10" t="inlineStr">
        <is>
          <t>AI エージェントで実践するデータガバナンス ー Qlik Cloudで進めるデータ品質・データプロダクト・ビジネス用語の管理 ― 生成AIやAIエージェントの活用が広がる一方で、その回答やアクションの基礎となるデータの品質、意味、信頼性をどのように維持するかが、これまで以上に重要になっています。 本セッションでは、QlikのAIに対する方針と関連プロダクトの全体像を紹介したうえで、Qlik Cloudのデータガバナンスを支援する3つの</t>
        </is>
      </c>
      <c r="U386" s="15" t="inlineStr">
        <is>
          <t>https://techplay.jp/event/998862</t>
        </is>
      </c>
      <c r="V386" s="10" t="n"/>
      <c r="W386" s="10" t="inlineStr">
        <is>
          <t>タイトル一致</t>
        </is>
      </c>
      <c r="X386" s="10" t="n"/>
    </row>
    <row r="387">
      <c r="A387" s="10" t="n">
        <v>386</v>
      </c>
      <c r="B387" s="24" t="n">
        <v>46259</v>
      </c>
      <c r="C387" s="24" t="n">
        <v>46259</v>
      </c>
      <c r="D387" s="10">
        <f>MONTH(B387)&amp;"月"</f>
        <v/>
      </c>
      <c r="E387" s="12" t="n">
        <v>1</v>
      </c>
      <c r="F387" s="10" t="n"/>
      <c r="G387" s="10" t="inlineStr">
        <is>
          <t>「AI効率化の、その先に待ち受けるもの」</t>
        </is>
      </c>
      <c r="H387" s="10" t="inlineStr">
        <is>
          <t>株式会社ミライエ 知求人事務局</t>
        </is>
      </c>
      <c r="I387" s="10" t="n"/>
      <c r="J387" s="10" t="inlineStr">
        <is>
          <t>こくちーずプロ</t>
        </is>
      </c>
      <c r="K387" s="10" t="inlineStr">
        <is>
          <t>オフライン（会場）</t>
        </is>
      </c>
      <c r="L387" s="10" t="inlineStr">
        <is>
          <t>安城商工会議所 第1・第2研修室 愛知県安城市桜町16-1 3階</t>
        </is>
      </c>
      <c r="M387" s="10" t="inlineStr">
        <is>
          <t>生産性向上・業務効率化</t>
        </is>
      </c>
      <c r="N387" s="10" t="inlineStr">
        <is>
          <t>AIエージェント</t>
        </is>
      </c>
      <c r="O387" s="12" t="inlineStr">
        <is>
          <t>○</t>
        </is>
      </c>
      <c r="P387" s="13" t="n"/>
      <c r="Q387" s="12" t="inlineStr">
        <is>
          <t>不明</t>
        </is>
      </c>
      <c r="R387" s="14" t="n"/>
      <c r="S387" s="10" t="n"/>
      <c r="T387" s="10" t="inlineStr">
        <is>
          <t>「AI効率化の、その先に待ち受けるもの」 有料セミナーとなりますが、今日から使える具体策×次の一手まで持ち帰れる！お土産付きです。 ・皆さま、こんな悩みはございませんか? 人が採れない。ベテランが辞めそう。値下げ要求ばかり。ChatGPTは継続できなかった。効率化セミナーやAIセミナーには行ったが、その”次”が知りたい方へ ・本セミナーでは、以下の内容を予定しています。 「判断軸」のないAI導入は、現場を混乱させ、結局もとのやり方に戻っ</t>
        </is>
      </c>
      <c r="U387" s="15" t="inlineStr">
        <is>
          <t>https://www.kokuchpro.com/event/cddd071de4b6cd6cb6855d312c0263dd/</t>
        </is>
      </c>
      <c r="V387" s="10" t="n"/>
      <c r="W387" s="10" t="inlineStr">
        <is>
          <t>本文一致</t>
        </is>
      </c>
      <c r="X387" s="10" t="n"/>
    </row>
    <row r="388">
      <c r="A388" s="10" t="n">
        <v>387</v>
      </c>
      <c r="B388" s="24" t="n">
        <v>46259</v>
      </c>
      <c r="C388" s="24" t="n">
        <v>46259</v>
      </c>
      <c r="D388" s="10">
        <f>MONTH(B388)&amp;"月"</f>
        <v/>
      </c>
      <c r="E388" s="12" t="n">
        <v>1</v>
      </c>
      <c r="F388" s="10" t="n"/>
      <c r="G388" s="10" t="inlineStr">
        <is>
          <t>【All Geeks Tech】AI活用LT会〜Claude Code・AIエージェント・AI開発〜</t>
        </is>
      </c>
      <c r="H388" s="10" t="inlineStr">
        <is>
          <t>Alleeks株式会社</t>
        </is>
      </c>
      <c r="I388" s="10" t="n"/>
      <c r="J388" s="10" t="inlineStr">
        <is>
          <t>connpass</t>
        </is>
      </c>
      <c r="K388" s="10" t="inlineStr">
        <is>
          <t>会場</t>
        </is>
      </c>
      <c r="L388" s="10" t="inlineStr">
        <is>
          <t>東京都新宿区西新宿４丁目１１−２１ ホルス西新宿 2F</t>
        </is>
      </c>
      <c r="M388" s="10" t="inlineStr">
        <is>
          <t>営業・マーケ・CS</t>
        </is>
      </c>
      <c r="N388" s="10" t="inlineStr">
        <is>
          <t>AIエージェント</t>
        </is>
      </c>
      <c r="O388" s="12" t="inlineStr">
        <is>
          <t>◎</t>
        </is>
      </c>
      <c r="P388" s="13" t="n">
        <v>8</v>
      </c>
      <c r="Q388" s="12" t="inlineStr">
        <is>
          <t>参加者数</t>
        </is>
      </c>
      <c r="R388" s="14" t="n">
        <v>16</v>
      </c>
      <c r="S388" s="10" t="n"/>
      <c r="T388" s="10" t="n"/>
      <c r="U388" s="15" t="inlineStr">
        <is>
          <t>https://alleeks.connpass.com/event/402948/</t>
        </is>
      </c>
      <c r="V388" s="10" t="n"/>
      <c r="W388" s="10" t="inlineStr">
        <is>
          <t>タイトル一致</t>
        </is>
      </c>
      <c r="X388" s="10" t="n"/>
    </row>
    <row r="389">
      <c r="A389" s="10" t="n">
        <v>388</v>
      </c>
      <c r="B389" s="24" t="n">
        <v>46259</v>
      </c>
      <c r="C389" s="24" t="n">
        <v>46259</v>
      </c>
      <c r="D389" s="10">
        <f>MONTH(B389)&amp;"月"</f>
        <v/>
      </c>
      <c r="E389" s="12" t="n">
        <v>1</v>
      </c>
      <c r="F389" s="10" t="n"/>
      <c r="G389" s="10" t="inlineStr">
        <is>
          <t>【シーメンスエキスパートトーク 第5弾】エンタープライズAIを実行フェーズにもっていくために ～グラフ・オントロジーによる圧倒的競争力確保を学ぶ～</t>
        </is>
      </c>
      <c r="H389" s="10" t="inlineStr">
        <is>
          <t>シーメンス株式会社 株式会社アルネッツ 株式会社FRONTEO</t>
        </is>
      </c>
      <c r="I389" s="10" t="inlineStr">
        <is>
          <t>シーメンス株式会社 株式会社アルネッツ 株式会社FRONTEO</t>
        </is>
      </c>
      <c r="J389" s="10" t="inlineStr">
        <is>
          <t>Doorkeeper</t>
        </is>
      </c>
      <c r="K389" s="10" t="inlineStr">
        <is>
          <t>不明</t>
        </is>
      </c>
      <c r="L389" s="10" t="n"/>
      <c r="M389" s="10" t="inlineStr">
        <is>
          <t>生産管理・製造・SCM</t>
        </is>
      </c>
      <c r="N389" s="10" t="inlineStr">
        <is>
          <t>AIエージェント</t>
        </is>
      </c>
      <c r="O389" s="12" t="inlineStr">
        <is>
          <t>○</t>
        </is>
      </c>
      <c r="P389" s="13" t="n">
        <v>0</v>
      </c>
      <c r="Q389" s="12" t="inlineStr">
        <is>
          <t>参加者数</t>
        </is>
      </c>
      <c r="R389" s="14" t="n"/>
      <c r="S389" s="10" t="n"/>
      <c r="T389"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76%の産業AIプロジェクトは、生産段階に至っていない AI活用は拡大している一方で、産業分野では76%のAIプロジェクトが生産段階に至っていません。また、製造業では46%がプロセス自動化をAI投資の優</t>
        </is>
      </c>
      <c r="U389" s="15" t="inlineStr">
        <is>
          <t>https://majisemi-technology.doorkeeper.jp/events/198386</t>
        </is>
      </c>
      <c r="V389" s="10" t="n"/>
      <c r="W389" s="10" t="inlineStr">
        <is>
          <t>本文一致</t>
        </is>
      </c>
      <c r="X389" s="10" t="n"/>
    </row>
    <row r="390">
      <c r="A390" s="10" t="n">
        <v>389</v>
      </c>
      <c r="B390" s="24" t="n">
        <v>46259</v>
      </c>
      <c r="C390" s="24" t="n">
        <v>46259</v>
      </c>
      <c r="D390" s="10">
        <f>MONTH(B390)&amp;"月"</f>
        <v/>
      </c>
      <c r="E390" s="12" t="n">
        <v>1</v>
      </c>
      <c r="F390" s="10" t="n"/>
      <c r="G390" s="10" t="inlineStr">
        <is>
          <t>【セミナー開催】なぜR&amp;D部門は生成AIを導入できないのか―研究情報・未公開発明を守るAIエージェントのセキュリティー設計―</t>
        </is>
      </c>
      <c r="H390" s="10" t="inlineStr">
        <is>
          <t>リーガルテック株式会社</t>
        </is>
      </c>
      <c r="I390" s="10" t="n"/>
      <c r="J390" s="10" t="inlineStr">
        <is>
          <t>PR TIMES</t>
        </is>
      </c>
      <c r="K390" s="10" t="inlineStr">
        <is>
          <t>online</t>
        </is>
      </c>
      <c r="L390" s="10" t="inlineStr">
        <is>
          <t>オンライン（Teams）</t>
        </is>
      </c>
      <c r="M390" s="10" t="inlineStr">
        <is>
          <t>開発生産性</t>
        </is>
      </c>
      <c r="N390" s="10" t="inlineStr">
        <is>
          <t>AIエージェント</t>
        </is>
      </c>
      <c r="O390" s="12" t="inlineStr">
        <is>
          <t>○</t>
        </is>
      </c>
      <c r="P390" s="13" t="n">
        <v>3</v>
      </c>
      <c r="Q390" s="12" t="inlineStr">
        <is>
          <t>申込者数</t>
        </is>
      </c>
      <c r="R390" s="14" t="n"/>
      <c r="S390" s="10" t="n"/>
      <c r="T390" s="10" t="inlineStr">
        <is>
          <t>【開催概要】 知財×AI リーガルテックセミナー 日時：2026年8月25日（火）16:00～17:00 形式：オンライン（Teams） 参加費：無料 登壇者：志田 大輔（リーガルテック株式会社 取締役CTO）、平井 智之（リーガルテック株式会社 代表取締役CEO） ※プログラム内容や登壇者は、予告なく変更となる場合がございます。あらかじめご了承ください。 ※当日参加特典として、アンケート回答者限定で当日の資料を送付いたします。 お申込</t>
        </is>
      </c>
      <c r="U390" s="15" t="inlineStr">
        <is>
          <t>https://prtimes.jp/main/html/rd/p/000000507.000042056.html</t>
        </is>
      </c>
      <c r="V390" s="15" t="inlineStr">
        <is>
          <t>https://techplay.jp/event/998782</t>
        </is>
      </c>
      <c r="W390" s="10" t="inlineStr">
        <is>
          <t>タイトル一致</t>
        </is>
      </c>
      <c r="X390" s="10" t="n"/>
    </row>
    <row r="391">
      <c r="A391" s="10" t="n">
        <v>390</v>
      </c>
      <c r="B391" s="24" t="n">
        <v>46259</v>
      </c>
      <c r="C391" s="24" t="n">
        <v>46259</v>
      </c>
      <c r="D391" s="10">
        <f>MONTH(B391)&amp;"月"</f>
        <v/>
      </c>
      <c r="E391" s="12" t="n">
        <v>1</v>
      </c>
      <c r="F391" s="10" t="n"/>
      <c r="G391" s="10" t="inlineStr">
        <is>
          <t>【再放送】【1000名以上の企業向け】AI活用が進む中、AIエージェントにどこまでアクセス権限を与えるべきか？ ～人間・非人間ID・AIエージェントをどう統制するか、AI時代のアクセス管理を解説～</t>
        </is>
      </c>
      <c r="H391" s="10" t="inlineStr">
        <is>
          <t>Saviynt Inc 株式会社マクニカ</t>
        </is>
      </c>
      <c r="I391" s="10" t="inlineStr">
        <is>
          <t>Saviynt Inc 株式会社マクニカ</t>
        </is>
      </c>
      <c r="J391" s="10" t="inlineStr">
        <is>
          <t>Doorkeeper</t>
        </is>
      </c>
      <c r="K391" s="10" t="inlineStr">
        <is>
          <t>不明</t>
        </is>
      </c>
      <c r="L391" s="10" t="n"/>
      <c r="M391" s="10" t="inlineStr">
        <is>
          <t>生産性向上・業務効率化</t>
        </is>
      </c>
      <c r="N391" s="10" t="inlineStr">
        <is>
          <t>AIエージェント</t>
        </is>
      </c>
      <c r="O391" s="12" t="inlineStr">
        <is>
          <t>◎</t>
        </is>
      </c>
      <c r="P391" s="13" t="n">
        <v>0</v>
      </c>
      <c r="Q391" s="12" t="inlineStr">
        <is>
          <t>参加者数</t>
        </is>
      </c>
      <c r="R391" s="14" t="n"/>
      <c r="S391" s="10" t="n"/>
      <c r="T391" s="10" t="inlineStr">
        <is>
          <t xml:space="preserve"> 本セミナーはWebセミナーです。 ツールはSPEAKERSを使います。URLは直前にメールにてご連絡いたします。 なお、「osslabo.com」「majisemi.com」からのメールが迷惑メールとならないよう、メールの設定をご確認ください。 本セミナーは2026年06月17日に開催されたセミナーの再放送です。 多くのご要望をいただきましたので、再放送の開催が決まりました。 AI活用が進む一方、人間前提のID管理では統制が難しくなる</t>
        </is>
      </c>
      <c r="U391" s="15" t="inlineStr">
        <is>
          <t>https://majisemi-idaas.doorkeeper.jp/events/198491</t>
        </is>
      </c>
      <c r="V391" s="10" t="n"/>
      <c r="W391" s="10" t="inlineStr">
        <is>
          <t>タイトル一致</t>
        </is>
      </c>
      <c r="X391" s="10" t="n"/>
    </row>
    <row r="392">
      <c r="A392" s="10" t="n">
        <v>391</v>
      </c>
      <c r="B392" s="24" t="n">
        <v>46259</v>
      </c>
      <c r="C392" s="24" t="n">
        <v>46259</v>
      </c>
      <c r="D392" s="10">
        <f>MONTH(B392)&amp;"月"</f>
        <v/>
      </c>
      <c r="E392" s="12" t="n">
        <v>1</v>
      </c>
      <c r="F392" s="10" t="n"/>
      <c r="G392" s="10" t="inlineStr">
        <is>
          <t>【無料】【実践型】自分だけの「AI脳」を育てる!生成AI×Obsidianナレッジ構築セミナー</t>
        </is>
      </c>
      <c r="H392" s="10" t="inlineStr">
        <is>
          <t>WEB3LAB事務局</t>
        </is>
      </c>
      <c r="I392" s="10" t="n"/>
      <c r="J392" s="10" t="inlineStr">
        <is>
          <t>こくちーずプロ</t>
        </is>
      </c>
      <c r="K392" s="10" t="inlineStr">
        <is>
          <t>オフライン（会場）</t>
        </is>
      </c>
      <c r="L392" s="10" t="inlineStr">
        <is>
          <t>ハバスミーティングルーム 愛媛県松山市大手町1-12-5 イーストプレス2A</t>
        </is>
      </c>
      <c r="M392" s="10" t="inlineStr">
        <is>
          <t>生産性向上・業務効率化</t>
        </is>
      </c>
      <c r="N392" s="10" t="inlineStr">
        <is>
          <t>AIエージェント</t>
        </is>
      </c>
      <c r="O392" s="12" t="inlineStr">
        <is>
          <t>○</t>
        </is>
      </c>
      <c r="P392" s="13" t="n">
        <v>1</v>
      </c>
      <c r="Q392" s="12" t="inlineStr">
        <is>
          <t>参加者数</t>
        </is>
      </c>
      <c r="R392" s="14" t="n">
        <v>10</v>
      </c>
      <c r="S392" s="10" t="n"/>
      <c r="T392" s="10" t="inlineStr">
        <is>
          <t>■テーマ 【実践型】自分だけの「AI脳」を育てる！生成AI×Obsidianナレッジ構築セミナー AI時代における自分の立ち位置と、パーソナルデータを活かした未来の働き方 ■概要 一歩先のAI活用を考える時間にしましょう。 急速に進化するAI業界の「現在地と未来の見通し」を解説する座学からスタートし、後半はObsidianとCodexを活用した実践ワークショップを行います。 今回は、自分の得意なことや経験（パーソナルデータ）をAIにイン</t>
        </is>
      </c>
      <c r="U392" s="15" t="inlineStr">
        <is>
          <t>https://www.kokuchpro.com/event/3d9602343ea13a1d1b58323e5149ccb6/</t>
        </is>
      </c>
      <c r="V392" s="10" t="n"/>
      <c r="W392" s="10" t="inlineStr">
        <is>
          <t>本文一致</t>
        </is>
      </c>
      <c r="X392" s="10" t="n"/>
    </row>
    <row r="393">
      <c r="A393" s="10" t="n">
        <v>392</v>
      </c>
      <c r="B393" s="24" t="n">
        <v>46259</v>
      </c>
      <c r="C393" s="24" t="n">
        <v>46259</v>
      </c>
      <c r="D393" s="10">
        <f>MONTH(B393)&amp;"月"</f>
        <v/>
      </c>
      <c r="E393" s="12" t="n">
        <v>1</v>
      </c>
      <c r="F393" s="10" t="n"/>
      <c r="G393" s="10" t="inlineStr">
        <is>
          <t>【経営者・事業責任者向け／無料】Claude Code × AI秘書 実践セミナー｜社長の仕事に、AI秘書を配属する60分</t>
        </is>
      </c>
      <c r="H393" s="10" t="inlineStr">
        <is>
          <t>UnionAI</t>
        </is>
      </c>
      <c r="I393" s="10" t="n"/>
      <c r="J393" s="10" t="inlineStr">
        <is>
          <t>Peatix</t>
        </is>
      </c>
      <c r="K393" s="10" t="inlineStr">
        <is>
          <t>オンライン(Zoom)</t>
        </is>
      </c>
      <c r="L393" s="10" t="n"/>
      <c r="M393" s="10" t="inlineStr">
        <is>
          <t>生産性向上・業務効率化</t>
        </is>
      </c>
      <c r="N393" s="10" t="inlineStr">
        <is>
          <t>AIエージェント</t>
        </is>
      </c>
      <c r="O393" s="12" t="inlineStr">
        <is>
          <t>◎</t>
        </is>
      </c>
      <c r="P393" s="13" t="n"/>
      <c r="Q393" s="12" t="inlineStr">
        <is>
          <t>不明</t>
        </is>
      </c>
      <c r="R393" s="14" t="n"/>
      <c r="S393" s="10" t="n"/>
      <c r="T393" s="10" t="inlineStr">
        <is>
          <t>2026年8月25日(火)19:00-20:30 Zoom 無料</t>
        </is>
      </c>
      <c r="U393" s="15" t="inlineStr">
        <is>
          <t>https://unionai-claude-code.peatix.com/</t>
        </is>
      </c>
      <c r="V393" s="10" t="n"/>
      <c r="W393" s="10" t="inlineStr">
        <is>
          <t>タイトル一致</t>
        </is>
      </c>
      <c r="X393" s="10" t="n"/>
    </row>
    <row r="394">
      <c r="A394" s="10" t="n">
        <v>393</v>
      </c>
      <c r="B394" s="24" t="n">
        <v>46259</v>
      </c>
      <c r="C394" s="24" t="n">
        <v>46259</v>
      </c>
      <c r="D394" s="10">
        <f>MONTH(B394)&amp;"月"</f>
        <v/>
      </c>
      <c r="E394" s="12" t="n">
        <v>1</v>
      </c>
      <c r="F394" s="10" t="n"/>
      <c r="G394" s="10" t="inlineStr">
        <is>
          <t>企業内検索×生成AIで業務改革【ナレッジ活用のよくある課題と解決法】</t>
        </is>
      </c>
      <c r="H394" s="10" t="inlineStr">
        <is>
          <t>「QuickSolution」紹介ウェビナー担当</t>
        </is>
      </c>
      <c r="I394" s="10" t="n"/>
      <c r="J394" s="10" t="inlineStr">
        <is>
          <t>こくちーずプロ</t>
        </is>
      </c>
      <c r="K394" s="10" t="inlineStr">
        <is>
          <t>オンライン</t>
        </is>
      </c>
      <c r="L394" s="10" t="inlineStr">
        <is>
          <t>オンライン 日本</t>
        </is>
      </c>
      <c r="M394" s="10" t="inlineStr">
        <is>
          <t>生産性向上・業務効率化</t>
        </is>
      </c>
      <c r="N394" s="10" t="inlineStr">
        <is>
          <t>AIエージェント</t>
        </is>
      </c>
      <c r="O394" s="12" t="inlineStr">
        <is>
          <t>○</t>
        </is>
      </c>
      <c r="P394" s="13" t="n"/>
      <c r="Q394" s="12" t="inlineStr">
        <is>
          <t>不明</t>
        </is>
      </c>
      <c r="R394" s="14" t="n"/>
      <c r="S394" s="10" t="n"/>
      <c r="T394" s="10" t="inlineStr">
        <is>
          <t>企業内検索×生成AIで業務改革 ～オンプレ・クラウドの横断検索、RAG・検索エージェントで業務効率化やナレッジ活用～ 普段の業務の中で「あの資料、どこにあるかな…」と長い時間をかけて探したことはありませんか？頑張って探したのに、結局見つからなかった経験があるのではないでしょうか。 エンタープライズサーチ QuickSolution(クイックソリューション)を使えば、社内ファイルサーバやクラウドサービスを横断的に文書の中身まで検索して、欲</t>
        </is>
      </c>
      <c r="U394" s="15" t="inlineStr">
        <is>
          <t>https://www.kokuchpro.com/event/6c513e6d4f8e3d1f65f8595f1f56ea1c/</t>
        </is>
      </c>
      <c r="V394" s="10" t="n"/>
      <c r="W394" s="10" t="inlineStr">
        <is>
          <t>本文一致</t>
        </is>
      </c>
      <c r="X394" s="10" t="n"/>
    </row>
    <row r="395">
      <c r="A395" s="10" t="n">
        <v>394</v>
      </c>
      <c r="B395" s="24" t="n">
        <v>46259</v>
      </c>
      <c r="C395" s="24" t="n">
        <v>46259</v>
      </c>
      <c r="D395" s="10">
        <f>MONTH(B395)&amp;"月"</f>
        <v/>
      </c>
      <c r="E395" s="12" t="n">
        <v>1</v>
      </c>
      <c r="F395" s="10" t="n"/>
      <c r="G395" s="10" t="inlineStr">
        <is>
          <t>製造現場にマニュアルはあるのに、なぜ判断が属人化するのか？</t>
        </is>
      </c>
      <c r="H395" s="10" t="inlineStr">
        <is>
          <t>株式会社トゥモロー・ネット（協力：マジセミ株式会社）</t>
        </is>
      </c>
      <c r="I395" s="10" t="n"/>
      <c r="J395" s="10" t="inlineStr">
        <is>
          <t>マジセミ</t>
        </is>
      </c>
      <c r="K395" s="10" t="inlineStr">
        <is>
          <t>online</t>
        </is>
      </c>
      <c r="L395" s="10" t="inlineStr">
        <is>
          <t>オンライン</t>
        </is>
      </c>
      <c r="M395" s="10" t="inlineStr">
        <is>
          <t>生産管理・製造・SCM</t>
        </is>
      </c>
      <c r="N395" s="10" t="inlineStr">
        <is>
          <t>AIエージェント</t>
        </is>
      </c>
      <c r="O395" s="12" t="inlineStr">
        <is>
          <t>○</t>
        </is>
      </c>
      <c r="P395" s="13" t="n">
        <v>1</v>
      </c>
      <c r="Q395" s="12" t="inlineStr">
        <is>
          <t>参加者数</t>
        </is>
      </c>
      <c r="R395" s="14" t="n"/>
      <c r="S395" s="10" t="n"/>
      <c r="T395" s="10" t="inlineStr">
        <is>
          <t>■製造業で、社内ナレッジをAIで活用する動きが進む 生成AIの活用は、社内文書を検索するRAGから、業務を支援するAIエージェントへと進化しつつあります。製造業でも、マニュアルや技術資料、過去のトラブル事例などをAIで活用し、必要な情報へすばやくたどり着ける環境づくりが進んでいます。一方で、AIを試験的に導入したものの、日々の業務で十分に使いこなせていない企業も少なくありません。 ■マニュアルを検索できても、判断は依然として属人化したま</t>
        </is>
      </c>
      <c r="U395" s="15" t="inlineStr">
        <is>
          <t>https://prtimes.jp/main/html/rd/p/000005511.000054842.html</t>
        </is>
      </c>
      <c r="V395" s="15" t="inlineStr">
        <is>
          <t>https://majisemi-technology.doorkeeper.jp/events/198488</t>
        </is>
      </c>
      <c r="W395" s="10" t="inlineStr">
        <is>
          <t>本文一致</t>
        </is>
      </c>
      <c r="X395" s="10" t="n"/>
    </row>
    <row r="396">
      <c r="A396" s="10" t="n">
        <v>395</v>
      </c>
      <c r="B396" s="24" t="n">
        <v>46260</v>
      </c>
      <c r="C396" s="24" t="n">
        <v>46260</v>
      </c>
      <c r="D396" s="10">
        <f>MONTH(B396)&amp;"月"</f>
        <v/>
      </c>
      <c r="E396" s="12" t="n">
        <v>1</v>
      </c>
      <c r="F396" s="10" t="n"/>
      <c r="G396" s="10" t="inlineStr">
        <is>
          <t>8/26(水)13:00- Agentic AI Transformation Day 2026 「Microsoft Copilot」活用の現在地と、次なるアプローチ</t>
        </is>
      </c>
      <c r="H396" s="10" t="inlineStr">
        <is>
          <t>skillupai</t>
        </is>
      </c>
      <c r="I396" s="10" t="n"/>
      <c r="J396" s="10" t="inlineStr">
        <is>
          <t>Doorkeeper</t>
        </is>
      </c>
      <c r="K396" s="10" t="inlineStr">
        <is>
          <t>不明</t>
        </is>
      </c>
      <c r="L396" s="10" t="n"/>
      <c r="M396" s="10" t="inlineStr">
        <is>
          <t>生産性向上・業務効率化</t>
        </is>
      </c>
      <c r="N396" s="10" t="inlineStr">
        <is>
          <t>AIエージェント</t>
        </is>
      </c>
      <c r="O396" s="12" t="inlineStr">
        <is>
          <t>◎</t>
        </is>
      </c>
      <c r="P396" s="13" t="n">
        <v>3</v>
      </c>
      <c r="Q396" s="12" t="inlineStr">
        <is>
          <t>参加者数</t>
        </is>
      </c>
      <c r="R396" s="14" t="n">
        <v>30</v>
      </c>
      <c r="S396" s="10" t="n"/>
      <c r="T396" s="10" t="inlineStr">
        <is>
          <t xml:space="preserve"> 「導入」で終わらせない。 「実践現場のリアルな試行錯誤と、 「Copilotの最新機能から読み解く、次世代ワークスタイル。 AIは今、私たちの働き方だけでなく、業務プロセスや企業経営のあり方を根本から変えつつあります。 数あるソリューションの中でも 「Microsoft 365 Copilot」 は、日経225企業の94%が導入し、企業の生産性を支える基盤として急速に普及しました。 現在、多くの企業が単なるツール導入のフェーズを終え、</t>
        </is>
      </c>
      <c r="U396" s="15" t="inlineStr">
        <is>
          <t>https://skillupai.doorkeeper.jp/events/198586</t>
        </is>
      </c>
      <c r="V396" s="10" t="n"/>
      <c r="W396" s="10" t="inlineStr">
        <is>
          <t>タイトル一致</t>
        </is>
      </c>
      <c r="X396" s="10" t="n"/>
    </row>
    <row r="397">
      <c r="A397" s="10" t="n">
        <v>396</v>
      </c>
      <c r="B397" s="24" t="n">
        <v>46260</v>
      </c>
      <c r="C397" s="24" t="n">
        <v>46260</v>
      </c>
      <c r="D397" s="10">
        <f>MONTH(B397)&amp;"月"</f>
        <v/>
      </c>
      <c r="E397" s="12" t="n">
        <v>1</v>
      </c>
      <c r="F397" s="10" t="n"/>
      <c r="G397" s="10" t="inlineStr">
        <is>
          <t>AIを"使う"から"雇う"へ — Coworkで組み立てる自社専用の業務エージェント</t>
        </is>
      </c>
      <c r="H397" s="10" t="inlineStr">
        <is>
          <t>Solvio｜生成AI活用支援</t>
        </is>
      </c>
      <c r="I397" s="10" t="n"/>
      <c r="J397" s="10" t="inlineStr">
        <is>
          <t>connpass</t>
        </is>
      </c>
      <c r="K397" s="10" t="inlineStr">
        <is>
          <t>オンライン</t>
        </is>
      </c>
      <c r="L397" s="10" t="inlineStr">
        <is>
          <t>オンライン</t>
        </is>
      </c>
      <c r="M397" s="10" t="inlineStr">
        <is>
          <t>生産性向上・業務効率化</t>
        </is>
      </c>
      <c r="N397" s="10" t="inlineStr">
        <is>
          <t>AIエージェント</t>
        </is>
      </c>
      <c r="O397" s="12" t="inlineStr">
        <is>
          <t>◎</t>
        </is>
      </c>
      <c r="P397" s="13" t="n">
        <v>10</v>
      </c>
      <c r="Q397" s="12" t="inlineStr">
        <is>
          <t>参加者数</t>
        </is>
      </c>
      <c r="R397" s="14" t="n">
        <v>100</v>
      </c>
      <c r="S397" s="10" t="n"/>
      <c r="T397" s="10" t="n"/>
      <c r="U397" s="15" t="inlineStr">
        <is>
          <t>https://solvio.connpass.com/event/403766/</t>
        </is>
      </c>
      <c r="V397" s="10" t="n"/>
      <c r="W397" s="10" t="inlineStr">
        <is>
          <t>タイトル一致</t>
        </is>
      </c>
      <c r="X397" s="10" t="n"/>
    </row>
    <row r="398">
      <c r="A398" s="10" t="n">
        <v>397</v>
      </c>
      <c r="B398" s="24" t="n">
        <v>46260</v>
      </c>
      <c r="C398" s="24" t="n">
        <v>46260</v>
      </c>
      <c r="D398" s="10">
        <f>MONTH(B398)&amp;"月"</f>
        <v/>
      </c>
      <c r="E398" s="12" t="n">
        <v>1</v>
      </c>
      <c r="F398" s="10" t="n"/>
      <c r="G398" s="10" t="inlineStr">
        <is>
          <t>AIエージェントキャッチアップ #89 - Beads</t>
        </is>
      </c>
      <c r="H398" s="10" t="inlineStr">
        <is>
          <t>ジェネラティブエージェンツ / Generative Agents</t>
        </is>
      </c>
      <c r="I398" s="10" t="n"/>
      <c r="J398" s="10" t="inlineStr">
        <is>
          <t>connpass</t>
        </is>
      </c>
      <c r="K398" s="10" t="inlineStr">
        <is>
          <t>オンライン</t>
        </is>
      </c>
      <c r="L398" s="10" t="inlineStr">
        <is>
          <t>オンライン</t>
        </is>
      </c>
      <c r="M398" s="10" t="inlineStr">
        <is>
          <t>技術・AI全般</t>
        </is>
      </c>
      <c r="N398" s="10" t="inlineStr">
        <is>
          <t>AIエージェント</t>
        </is>
      </c>
      <c r="O398" s="12" t="inlineStr">
        <is>
          <t>○</t>
        </is>
      </c>
      <c r="P398" s="13" t="n">
        <v>50</v>
      </c>
      <c r="Q398" s="12" t="inlineStr">
        <is>
          <t>参加者数</t>
        </is>
      </c>
      <c r="R398" s="14" t="n">
        <v>200</v>
      </c>
      <c r="S398" s="10" t="n"/>
      <c r="T398" s="10" t="n"/>
      <c r="U398" s="15" t="inlineStr">
        <is>
          <t>https://generative-agents.connpass.com/event/403963/</t>
        </is>
      </c>
      <c r="V398" s="10" t="n"/>
      <c r="W398" s="10" t="inlineStr">
        <is>
          <t>タイトル一致</t>
        </is>
      </c>
      <c r="X398" s="10" t="n"/>
    </row>
    <row r="399">
      <c r="A399" s="10" t="n">
        <v>398</v>
      </c>
      <c r="B399" s="24" t="n">
        <v>46260</v>
      </c>
      <c r="C399" s="24" t="n">
        <v>46261</v>
      </c>
      <c r="D399" s="10">
        <f>MONTH(B399)&amp;"月"</f>
        <v/>
      </c>
      <c r="E399" s="12" t="n">
        <v>1</v>
      </c>
      <c r="F399" s="10" t="n"/>
      <c r="G399" s="10" t="inlineStr">
        <is>
          <t>AI博覧会 Summer 2026</t>
        </is>
      </c>
      <c r="H399" s="10" t="inlineStr">
        <is>
          <t>株式会社アイスマイリー</t>
        </is>
      </c>
      <c r="I399" s="10" t="inlineStr">
        <is>
          <t>出展80社</t>
        </is>
      </c>
      <c r="J399" s="10" t="inlineStr">
        <is>
          <t>個別調査（公式サイト・PR TIMES等）</t>
        </is>
      </c>
      <c r="K399" s="10" t="inlineStr">
        <is>
          <t>会場</t>
        </is>
      </c>
      <c r="L399" s="10" t="inlineStr">
        <is>
          <t>新宿住友ビル三角広場</t>
        </is>
      </c>
      <c r="M399" s="10" t="inlineStr">
        <is>
          <t>大型カンファレンス・展示会</t>
        </is>
      </c>
      <c r="N399" s="10" t="inlineStr">
        <is>
          <t>AIエージェント</t>
        </is>
      </c>
      <c r="O399" s="12" t="inlineStr">
        <is>
          <t>◎</t>
        </is>
      </c>
      <c r="P399" s="13" t="n">
        <v>8739</v>
      </c>
      <c r="Q399" s="12" t="inlineStr">
        <is>
          <t>来場者数</t>
        </is>
      </c>
      <c r="R399" s="14" t="n"/>
      <c r="S399" s="10" t="inlineStr">
        <is>
          <t>初日4,245名、2日目4,494名</t>
        </is>
      </c>
      <c r="T399" s="10" t="inlineStr">
        <is>
          <t>80社が200以上のAI製品を展示し、講演は約40本。AIエージェントやフィジカルAIのゾーンがある。</t>
        </is>
      </c>
      <c r="U399" s="15" t="inlineStr">
        <is>
          <t>https://aismiley.co.jp/ai_news/aihaku-sum2026-report02/</t>
        </is>
      </c>
      <c r="V399" s="10" t="n"/>
      <c r="W399" s="10" t="inlineStr">
        <is>
          <t>個別確認</t>
        </is>
      </c>
      <c r="X399" s="10" t="n"/>
    </row>
    <row r="400">
      <c r="A400" s="10" t="n">
        <v>399</v>
      </c>
      <c r="B400" s="24" t="n">
        <v>46260</v>
      </c>
      <c r="C400" s="24" t="n">
        <v>46260</v>
      </c>
      <c r="D400" s="10">
        <f>MONTH(B400)&amp;"月"</f>
        <v/>
      </c>
      <c r="E400" s="12" t="n">
        <v>1</v>
      </c>
      <c r="F400" s="10" t="n"/>
      <c r="G400" s="10" t="inlineStr">
        <is>
          <t>AI駆動開発でいずれ直面するテストの壁 〜先回りして備えるべき環境構築(スタブ)と「テスト実行のスマート化」〜</t>
        </is>
      </c>
      <c r="H400" s="10" t="inlineStr">
        <is>
          <t>テクマトリックス株式会社　ソフトウェアエンジニアリング事業部</t>
        </is>
      </c>
      <c r="I400" s="10" t="n"/>
      <c r="J400" s="10" t="inlineStr">
        <is>
          <t>TECH PLAY</t>
        </is>
      </c>
      <c r="K400" s="10" t="inlineStr">
        <is>
          <t>オンライン</t>
        </is>
      </c>
      <c r="L400" s="10" t="n"/>
      <c r="M400" s="10" t="inlineStr">
        <is>
          <t>開発生産性</t>
        </is>
      </c>
      <c r="N400" s="10" t="inlineStr">
        <is>
          <t>両方</t>
        </is>
      </c>
      <c r="O400" s="12" t="inlineStr">
        <is>
          <t>△</t>
        </is>
      </c>
      <c r="P400" s="13" t="n">
        <v>6</v>
      </c>
      <c r="Q400" s="12" t="inlineStr">
        <is>
          <t>申込者数</t>
        </is>
      </c>
      <c r="R400" s="14" t="n">
        <v>100</v>
      </c>
      <c r="S400" s="10" t="n"/>
      <c r="T400" s="10" t="inlineStr">
        <is>
          <t>✍️概要 昨今の開発現場では、AIを活用して設計、実装、レビューをおこなう「AI駆動開発」への関心が非常に高まっています。プロトタイプを用いた技術調査の段階から、すでに本格的な移行を進めている先行プロジェクトまで、開発のあり方は徐々に、しかし確実に変化しつつあります。このようにコード生成や開発のスピードが上がる一方で、新たなボトルネックとして浮上しているのが「テスト環境の準備」と「テスト実行・保守の肥大化」です。 特に、AIエージェント</t>
        </is>
      </c>
      <c r="U400" s="15" t="inlineStr">
        <is>
          <t>https://techplay.jp/event/998794</t>
        </is>
      </c>
      <c r="V400" s="10" t="n"/>
      <c r="W400" s="10" t="inlineStr">
        <is>
          <t>本文一致</t>
        </is>
      </c>
      <c r="X400" s="10" t="n"/>
    </row>
    <row r="401">
      <c r="A401" s="10" t="n">
        <v>400</v>
      </c>
      <c r="B401" s="24" t="n">
        <v>46260</v>
      </c>
      <c r="C401" s="24" t="n">
        <v>46260</v>
      </c>
      <c r="D401" s="10">
        <f>MONTH(B401)&amp;"月"</f>
        <v/>
      </c>
      <c r="E401" s="12" t="n">
        <v>1</v>
      </c>
      <c r="F401" s="10" t="n"/>
      <c r="G401" s="10" t="inlineStr">
        <is>
          <t>「導入しただけ」で終わらせない！現場を変えるAI活用ウェビナー</t>
        </is>
      </c>
      <c r="H401" s="10" t="inlineStr">
        <is>
          <t>株式会社アイスマイリー</t>
        </is>
      </c>
      <c r="I401" s="10" t="inlineStr">
        <is>
          <t>中央コンピューター株式会社ほか（3社共催）</t>
        </is>
      </c>
      <c r="J401" s="10" t="inlineStr">
        <is>
          <t>個別調査（公式サイト・PR TIMES等）</t>
        </is>
      </c>
      <c r="K401" s="10" t="inlineStr">
        <is>
          <t>オンライン</t>
        </is>
      </c>
      <c r="L401" s="10" t="n"/>
      <c r="M401" s="10" t="inlineStr">
        <is>
          <t>生産性向上・業務効率化</t>
        </is>
      </c>
      <c r="N401" s="10" t="inlineStr">
        <is>
          <t>AIエージェント</t>
        </is>
      </c>
      <c r="O401" s="12" t="inlineStr">
        <is>
          <t>◎</t>
        </is>
      </c>
      <c r="P401" s="13" t="n">
        <v>4</v>
      </c>
      <c r="Q401" s="12" t="inlineStr">
        <is>
          <t>申込者数</t>
        </is>
      </c>
      <c r="R401" s="14" t="n"/>
      <c r="S401" s="10" t="n"/>
      <c r="T401" s="10" t="inlineStr">
        <is>
          <t>AIエージェントを適用する業務の選び方、社内ナレッジの活用、現場への定着を、デモを交えて解説する。</t>
        </is>
      </c>
      <c r="U401" s="15" t="inlineStr">
        <is>
          <t>https://www.chuo-computer.co.jp/news/20260821/</t>
        </is>
      </c>
      <c r="V401" s="15" t="inlineStr">
        <is>
          <t>https://techplay.jp/event/999067</t>
        </is>
      </c>
      <c r="W401" s="10" t="inlineStr">
        <is>
          <t>個別確認</t>
        </is>
      </c>
      <c r="X401" s="10" t="n"/>
    </row>
    <row r="402">
      <c r="A402" s="10" t="n">
        <v>401</v>
      </c>
      <c r="B402" s="24" t="n">
        <v>46260</v>
      </c>
      <c r="C402" s="24" t="n">
        <v>46295</v>
      </c>
      <c r="D402" s="10">
        <f>MONTH(B402)&amp;"月"</f>
        <v/>
      </c>
      <c r="E402" s="12" t="n">
        <v>2</v>
      </c>
      <c r="F402" s="10" t="inlineStr">
        <is>
          <t>08/26、09/30</t>
        </is>
      </c>
      <c r="G402" s="10" t="inlineStr">
        <is>
          <t>【WACA会員向けオフィスアワー8月】小川卓さんに直接GA4の質問ができる会</t>
        </is>
      </c>
      <c r="H402" s="10" t="inlineStr">
        <is>
          <t>web-mining</t>
        </is>
      </c>
      <c r="I402" s="10" t="n"/>
      <c r="J402" s="10" t="inlineStr">
        <is>
          <t>Doorkeeper</t>
        </is>
      </c>
      <c r="K402" s="10" t="inlineStr">
        <is>
          <t>不明</t>
        </is>
      </c>
      <c r="L402" s="10" t="n"/>
      <c r="M402" s="10" t="inlineStr">
        <is>
          <t>技術・AI全般</t>
        </is>
      </c>
      <c r="N402" s="10" t="inlineStr">
        <is>
          <t>AIエージェント</t>
        </is>
      </c>
      <c r="O402" s="12" t="inlineStr">
        <is>
          <t>△</t>
        </is>
      </c>
      <c r="P402" s="13" t="n">
        <v>60</v>
      </c>
      <c r="Q402" s="12" t="inlineStr">
        <is>
          <t>参加者数</t>
        </is>
      </c>
      <c r="R402" s="14" t="n">
        <v>500</v>
      </c>
      <c r="S402" s="10" t="inlineStr">
        <is>
          <t>全2回の合計</t>
        </is>
      </c>
      <c r="T402" s="10" t="inlineStr">
        <is>
          <t xml:space="preserve"> こちらのセミナーは「参加要件」がございます。 必ずお読みください。 セミナー概要 2026年ウェブ解析士協会 会員向け企画 【カリキュラムセミナー】小川卓さんに直接GA4の質問ができる会 （スピーカー：株式会社HAPPY ANALYTICS 代表取締役社長 小川 卓 氏） Google アナリティクスといえば、小川卓さん と言っても過言ではないくらい、著書や講演実績も多く、第一線で活躍されています。 そんな小川卓さんですが、実はウェブ</t>
        </is>
      </c>
      <c r="U402" s="15" t="inlineStr">
        <is>
          <t>https://web-mining.doorkeeper.jp/events/198676</t>
        </is>
      </c>
      <c r="V402" s="10" t="n"/>
      <c r="W402" s="10" t="inlineStr">
        <is>
          <t>本文一致</t>
        </is>
      </c>
      <c r="X402" s="10" t="n"/>
    </row>
    <row r="403">
      <c r="A403" s="10" t="n">
        <v>402</v>
      </c>
      <c r="B403" s="24" t="n">
        <v>46260</v>
      </c>
      <c r="C403" s="24" t="n">
        <v>46260</v>
      </c>
      <c r="D403" s="10">
        <f>MONTH(B403)&amp;"月"</f>
        <v/>
      </c>
      <c r="E403" s="12" t="n">
        <v>1</v>
      </c>
      <c r="F403" s="10" t="n"/>
      <c r="G403" s="10" t="inlineStr">
        <is>
          <t>【サイバーエージェント × LINEヤフー × メルペイ】AI時代のエンジニアマネジメント再設計 〜変わる育成、変わる評価、変わらない本質〜</t>
        </is>
      </c>
      <c r="H403" s="10" t="inlineStr">
        <is>
          <t>Findy/ファインディ</t>
        </is>
      </c>
      <c r="I403" s="10" t="n"/>
      <c r="J403" s="10" t="inlineStr">
        <is>
          <t>TECH PLAY</t>
        </is>
      </c>
      <c r="K403" s="10" t="inlineStr">
        <is>
          <t>ハイブリッド</t>
        </is>
      </c>
      <c r="L403" s="10" t="inlineStr">
        <is>
          <t>Findyイベントスペース 東京都品川区大崎1-2-2 アートヴィレッジ大崎セントラルタワー 5階</t>
        </is>
      </c>
      <c r="M403" s="10" t="inlineStr">
        <is>
          <t>開発生産性</t>
        </is>
      </c>
      <c r="N403" s="10" t="inlineStr">
        <is>
          <t>AIエージェント</t>
        </is>
      </c>
      <c r="O403" s="12" t="inlineStr">
        <is>
          <t>○</t>
        </is>
      </c>
      <c r="P403" s="13" t="n"/>
      <c r="Q403" s="12" t="inlineStr">
        <is>
          <t>非公開</t>
        </is>
      </c>
      <c r="R403" s="14" t="n">
        <v>400</v>
      </c>
      <c r="S403" s="10" t="n"/>
      <c r="T403" s="10" t="inlineStr">
        <is>
          <t>開催概要 生成AIの普及で、エンジニア組織は「体制・評価・育成」の前提を同時に組み替える必要に迫られています。プロダクト開発が少人数化・役割再配置へ向かう中で、コード量や実装スピードで人を測る評価は通用しなくなり、それに連なる育成のあり方も問い直されています。 本イベントでは、サイバーエージェント・LINEヤフー・メルペイの3社が、「組織体制の変化に合わせて、評価と育成をどうアップデートしているか」を、パネルディスカッションを中心に深掘</t>
        </is>
      </c>
      <c r="U403" s="15" t="inlineStr">
        <is>
          <t>https://techplay.jp/event/998596</t>
        </is>
      </c>
      <c r="V403" s="10" t="n"/>
      <c r="W403" s="10" t="inlineStr">
        <is>
          <t>タイトル一致</t>
        </is>
      </c>
      <c r="X403" s="10" t="n"/>
    </row>
    <row r="404">
      <c r="A404" s="10" t="n">
        <v>403</v>
      </c>
      <c r="B404" s="24" t="n">
        <v>46260</v>
      </c>
      <c r="C404" s="24" t="n">
        <v>46260</v>
      </c>
      <c r="D404" s="10">
        <f>MONTH(B404)&amp;"月"</f>
        <v/>
      </c>
      <c r="E404" s="12" t="n">
        <v>1</v>
      </c>
      <c r="F404" s="10" t="n"/>
      <c r="G404" s="10" t="inlineStr">
        <is>
          <t>【無料ウェビナー】非エンジニアのための Codex 入門——ChatGPT感覚で始める"任せる働き方"</t>
        </is>
      </c>
      <c r="H404" s="10" t="inlineStr">
        <is>
          <t>株式会社AI Orchestra</t>
        </is>
      </c>
      <c r="I404" s="10" t="n"/>
      <c r="J404" s="10" t="inlineStr">
        <is>
          <t>こくちーずプロ</t>
        </is>
      </c>
      <c r="K404" s="10" t="inlineStr">
        <is>
          <t>オンライン</t>
        </is>
      </c>
      <c r="L404" s="10" t="inlineStr">
        <is>
          <t>オンライン 日本</t>
        </is>
      </c>
      <c r="M404" s="10" t="inlineStr">
        <is>
          <t>生産性向上・業務効率化</t>
        </is>
      </c>
      <c r="N404" s="10" t="inlineStr">
        <is>
          <t>AIエージェント</t>
        </is>
      </c>
      <c r="O404" s="12" t="inlineStr">
        <is>
          <t>◎</t>
        </is>
      </c>
      <c r="P404" s="13" t="n"/>
      <c r="Q404" s="12" t="inlineStr">
        <is>
          <t>不明</t>
        </is>
      </c>
      <c r="R404" s="14" t="n"/>
      <c r="S404" s="10" t="n"/>
      <c r="T404" s="10" t="inlineStr">
        <is>
          <t>【無料ウェビナー】非エンジニアのための Codex 入門 ——ChatGPT感覚で始める"任せる働き方" ChatGPTは、毎日のように使っている。 文章づくりも、調べものも、確かに速くなった。 それなのに——仕事の総量は、思ったほど減っていない。 資料も、議事録も、メール対応も、最後は自分の手で仕上げている。 AIに"聞く"ことはできても、"任せる"ことができていないからです。 そのChatGPTをつくったOpenAIが提供しているA</t>
        </is>
      </c>
      <c r="U404" s="15" t="inlineStr">
        <is>
          <t>https://www.kokuchpro.com/event/414c894be3d62002b5839830bded9990/</t>
        </is>
      </c>
      <c r="V404" s="10" t="n"/>
      <c r="W404" s="10" t="inlineStr">
        <is>
          <t>タイトル一致</t>
        </is>
      </c>
      <c r="X404" s="10" t="n"/>
    </row>
    <row r="405">
      <c r="A405" s="10" t="n">
        <v>404</v>
      </c>
      <c r="B405" s="24" t="n">
        <v>46260</v>
      </c>
      <c r="C405" s="24" t="n">
        <v>46260</v>
      </c>
      <c r="D405" s="10">
        <f>MONTH(B405)&amp;"月"</f>
        <v/>
      </c>
      <c r="E405" s="12" t="n">
        <v>1</v>
      </c>
      <c r="F405" s="10" t="n"/>
      <c r="G405" s="10" t="inlineStr">
        <is>
          <t>【無料オンライン】はじめてのClaude Code｜非エンジニアのための環境構築と“最初の仕事”の任せ方</t>
        </is>
      </c>
      <c r="H405" s="10" t="inlineStr">
        <is>
          <t>株式会社GORO</t>
        </is>
      </c>
      <c r="I405" s="10" t="n"/>
      <c r="J405" s="10" t="inlineStr">
        <is>
          <t>TECH PLAY</t>
        </is>
      </c>
      <c r="K405" s="10" t="inlineStr">
        <is>
          <t>オンライン</t>
        </is>
      </c>
      <c r="L405" s="10" t="n"/>
      <c r="M405" s="10" t="inlineStr">
        <is>
          <t>生産性向上・業務効率化</t>
        </is>
      </c>
      <c r="N405" s="10" t="inlineStr">
        <is>
          <t>AIエージェント</t>
        </is>
      </c>
      <c r="O405" s="12" t="inlineStr">
        <is>
          <t>◎</t>
        </is>
      </c>
      <c r="P405" s="13" t="n">
        <v>17</v>
      </c>
      <c r="Q405" s="12" t="inlineStr">
        <is>
          <t>申込者数</t>
        </is>
      </c>
      <c r="R405" s="14" t="n">
        <v>12</v>
      </c>
      <c r="S405" s="10" t="n"/>
      <c r="T405" s="10" t="inlineStr">
        <is>
          <t>「Claude Codeが気になっているが、難しそうで手を出せていない」——そんな非エンジニアの方に向けた無料セミナーです。環境構築の全手順から、はじめての仕事を1つ任せるところまでを、講師がその場のライブデモで通しでお見せします。単なる始め方の紹介ではなく、応答が英語になる・プランの選び方・利用制限との付き合い方といった「始めた直後につまずきやすいポイント」の回避までセットで扱います。Claude Code入門の“最初の一歩”に的を絞</t>
        </is>
      </c>
      <c r="U405" s="15" t="inlineStr">
        <is>
          <t>https://techplay.jp/event/999031</t>
        </is>
      </c>
      <c r="V405" s="10" t="n"/>
      <c r="W405" s="10" t="inlineStr">
        <is>
          <t>タイトル一致</t>
        </is>
      </c>
      <c r="X405" s="10" t="n"/>
    </row>
    <row r="406">
      <c r="A406" s="10" t="n">
        <v>405</v>
      </c>
      <c r="B406" s="24" t="n">
        <v>46260</v>
      </c>
      <c r="C406" s="24" t="n">
        <v>46260</v>
      </c>
      <c r="D406" s="10">
        <f>MONTH(B406)&amp;"月"</f>
        <v/>
      </c>
      <c r="E406" s="12" t="n">
        <v>1</v>
      </c>
      <c r="F406" s="10" t="n"/>
      <c r="G406" s="10" t="inlineStr">
        <is>
          <t>それ、本当にClaude Codeじゃないとダメ？より安全でラクに使えるCowork公開デモ</t>
        </is>
      </c>
      <c r="H406" s="10" t="inlineStr">
        <is>
          <t>#Offers_DeepDive / オファーズ</t>
        </is>
      </c>
      <c r="I406" s="10" t="n"/>
      <c r="J406" s="10" t="inlineStr">
        <is>
          <t>connpass</t>
        </is>
      </c>
      <c r="K406" s="10" t="inlineStr">
        <is>
          <t>オンライン</t>
        </is>
      </c>
      <c r="L406" s="10" t="inlineStr">
        <is>
          <t>オンライン</t>
        </is>
      </c>
      <c r="M406" s="10" t="inlineStr">
        <is>
          <t>開発生産性</t>
        </is>
      </c>
      <c r="N406" s="10" t="inlineStr">
        <is>
          <t>AIエージェント</t>
        </is>
      </c>
      <c r="O406" s="12" t="inlineStr">
        <is>
          <t>○</t>
        </is>
      </c>
      <c r="P406" s="13" t="n">
        <v>416</v>
      </c>
      <c r="Q406" s="12" t="inlineStr">
        <is>
          <t>参加者数</t>
        </is>
      </c>
      <c r="R406" s="14" t="n"/>
      <c r="S406" s="10" t="n"/>
      <c r="T406" s="10" t="n"/>
      <c r="U406" s="15" t="inlineStr">
        <is>
          <t>https://offers-jp.connpass.com/event/401450/</t>
        </is>
      </c>
      <c r="V406" s="10" t="n"/>
      <c r="W406" s="10" t="inlineStr">
        <is>
          <t>タイトル一致</t>
        </is>
      </c>
      <c r="X406" s="10" t="n"/>
    </row>
    <row r="407">
      <c r="A407" s="10" t="n">
        <v>406</v>
      </c>
      <c r="B407" s="24" t="n">
        <v>46260</v>
      </c>
      <c r="C407" s="24" t="n">
        <v>46260</v>
      </c>
      <c r="D407" s="10">
        <f>MONTH(B407)&amp;"月"</f>
        <v/>
      </c>
      <c r="E407" s="12" t="n">
        <v>1</v>
      </c>
      <c r="F407" s="10" t="n"/>
      <c r="G407" s="10" t="inlineStr">
        <is>
          <t>スキルアップNeXt、オンラインカンファレンス『Agentic AI Transformation Day 2026』を8/26（水）に開催</t>
        </is>
      </c>
      <c r="H407" s="10" t="inlineStr">
        <is>
          <t>株式会社スキルアップNeXt（「Microsoft Copilot」Specialization 認定パートナー）</t>
        </is>
      </c>
      <c r="I407" s="10" t="n"/>
      <c r="J407" s="10" t="inlineStr">
        <is>
          <t>PR TIMES</t>
        </is>
      </c>
      <c r="K407" s="10" t="inlineStr">
        <is>
          <t>online</t>
        </is>
      </c>
      <c r="L407" s="10" t="inlineStr">
        <is>
          <t>オンライン配信</t>
        </is>
      </c>
      <c r="M407" s="10" t="inlineStr">
        <is>
          <t>営業・マーケ・CS</t>
        </is>
      </c>
      <c r="N407" s="10" t="inlineStr">
        <is>
          <t>AIエージェント</t>
        </is>
      </c>
      <c r="O407" s="12" t="inlineStr">
        <is>
          <t>◎</t>
        </is>
      </c>
      <c r="P407" s="13" t="n"/>
      <c r="Q407" s="12" t="inlineStr">
        <is>
          <t>不明</t>
        </is>
      </c>
      <c r="R407" s="14" t="n"/>
      <c r="S407" s="10" t="n"/>
      <c r="T407" s="10" t="inlineStr">
        <is>
          <t>マイクロソフトの最上位パートナー資格「Microsoft Copilot」Specialization取得企業である株式会社スキルアップNeXt（本社：東京都千代田区、代表取締役：田原 眞一、以下「スキルアップNeXt」）は、2026年8月26日（水）に、オンラインカンファレンス『Agentic AI Transformation Day 2026 〜「Microsoft Copilot」活用の現在地と、次なるアプローチ〜』を、（一社）</t>
        </is>
      </c>
      <c r="U407" s="15" t="inlineStr">
        <is>
          <t>https://prtimes.jp/main/html/rd/p/000000206.000035215.html</t>
        </is>
      </c>
      <c r="V407" s="10" t="n"/>
      <c r="W407" s="10" t="inlineStr">
        <is>
          <t>タイトル一致</t>
        </is>
      </c>
      <c r="X407" s="10" t="n"/>
    </row>
    <row r="408">
      <c r="A408" s="10" t="n">
        <v>407</v>
      </c>
      <c r="B408" s="24" t="n">
        <v>46260</v>
      </c>
      <c r="C408" s="24" t="n">
        <v>46260</v>
      </c>
      <c r="D408" s="10">
        <f>MONTH(B408)&amp;"月"</f>
        <v/>
      </c>
      <c r="E408" s="12" t="n">
        <v>1</v>
      </c>
      <c r="F408" s="10" t="n"/>
      <c r="G408" s="10" t="inlineStr">
        <is>
          <t>情シスへの「問い合わせ」対応を自動化するAIエージェント活用</t>
        </is>
      </c>
      <c r="H408" s="10" t="inlineStr">
        <is>
          <t>シスクル</t>
        </is>
      </c>
      <c r="I408" s="10" t="n"/>
      <c r="J408" s="10" t="inlineStr">
        <is>
          <t>connpass</t>
        </is>
      </c>
      <c r="K408" s="10" t="inlineStr">
        <is>
          <t>会場</t>
        </is>
      </c>
      <c r="L408" s="10" t="inlineStr">
        <is>
          <t>(場所未定)</t>
        </is>
      </c>
      <c r="M408" s="10" t="inlineStr">
        <is>
          <t>営業・マーケ・CS</t>
        </is>
      </c>
      <c r="N408" s="10" t="inlineStr">
        <is>
          <t>AIエージェント</t>
        </is>
      </c>
      <c r="O408" s="12" t="inlineStr">
        <is>
          <t>◎</t>
        </is>
      </c>
      <c r="P408" s="13" t="n">
        <v>8</v>
      </c>
      <c r="Q408" s="12" t="inlineStr">
        <is>
          <t>参加者数</t>
        </is>
      </c>
      <c r="R408" s="14" t="n"/>
      <c r="S408" s="10" t="n"/>
      <c r="T408" s="10" t="n"/>
      <c r="U408" s="15" t="inlineStr">
        <is>
          <t>https://dxer.connpass.com/event/402509/</t>
        </is>
      </c>
      <c r="V408" s="10" t="n"/>
      <c r="W408" s="10" t="inlineStr">
        <is>
          <t>タイトル一致</t>
        </is>
      </c>
      <c r="X408" s="10" t="n"/>
    </row>
    <row r="409">
      <c r="A409" s="10" t="n">
        <v>408</v>
      </c>
      <c r="B409" s="24" t="n">
        <v>46260</v>
      </c>
      <c r="C409" s="24" t="n">
        <v>46260</v>
      </c>
      <c r="D409" s="10">
        <f>MONTH(B409)&amp;"月"</f>
        <v/>
      </c>
      <c r="E409" s="12" t="n">
        <v>1</v>
      </c>
      <c r="F409" s="10" t="n"/>
      <c r="G409" s="10" t="inlineStr">
        <is>
          <t>株式会社kozokaAI、ベル・データ株式会社と共同ウェビナーを開催 「受注入力はAIに任せる時代へ ～ただのOCRじゃない！ 手書きにも強く、あらゆる業種に対応する受注AIエージェント～」</t>
        </is>
      </c>
      <c r="H409" s="10" t="inlineStr">
        <is>
          <t>ベル・データ株式会社 / 株式会社kozokaAI</t>
        </is>
      </c>
      <c r="I409" s="10" t="n"/>
      <c r="J409" s="10" t="inlineStr">
        <is>
          <t>PR TIMES</t>
        </is>
      </c>
      <c r="K409" s="10" t="inlineStr">
        <is>
          <t>online</t>
        </is>
      </c>
      <c r="L409" s="10" t="inlineStr">
        <is>
          <t>オンライン形式（Zoom）</t>
        </is>
      </c>
      <c r="M409" s="10" t="inlineStr">
        <is>
          <t>生産性向上・業務効率化</t>
        </is>
      </c>
      <c r="N409" s="10" t="inlineStr">
        <is>
          <t>AIエージェント</t>
        </is>
      </c>
      <c r="O409" s="12" t="inlineStr">
        <is>
          <t>◎</t>
        </is>
      </c>
      <c r="P409" s="13" t="n"/>
      <c r="Q409" s="12" t="inlineStr">
        <is>
          <t>定員</t>
        </is>
      </c>
      <c r="R409" s="14" t="n">
        <v>50</v>
      </c>
      <c r="S409" s="10" t="n"/>
      <c r="T409" s="10" t="inlineStr">
        <is>
          <t>株式会社kozokaAIは、ベル・データ株式会社と共同で、オンラインセミナー「受注入力はAIに任せる時代へ ～ただのOCRじゃない！ 手書きにも強く、あらゆる業種に対応する受注AIエージェント～」を2026年8月26日（水）に開催いたします。 ■ ウェビナー開催の背景・内容 取引先ごとに異なる注文書のフォーマット、手書き文字の判読、そして終わりの見えない確認作業など、受注業務には多くの煩雑な課題が存在します。こうした課題を解決するのが、</t>
        </is>
      </c>
      <c r="U409" s="15" t="inlineStr">
        <is>
          <t>https://prtimes.jp/main/html/rd/p/000000018.000175889.html</t>
        </is>
      </c>
      <c r="V409" s="10" t="n"/>
      <c r="W409" s="10" t="inlineStr">
        <is>
          <t>タイトル一致</t>
        </is>
      </c>
      <c r="X409" s="10" t="n"/>
    </row>
    <row r="410">
      <c r="A410" s="10" t="n">
        <v>409</v>
      </c>
      <c r="B410" s="24" t="n">
        <v>46260</v>
      </c>
      <c r="C410" s="24" t="n">
        <v>46260</v>
      </c>
      <c r="D410" s="10">
        <f>MONTH(B410)&amp;"月"</f>
        <v/>
      </c>
      <c r="E410" s="12" t="n">
        <v>1</v>
      </c>
      <c r="F410" s="10" t="n"/>
      <c r="G410" s="10" t="inlineStr">
        <is>
          <t>生成AIシェア会_LT編〜使ってみた・調べてみたをみんなに共有しませんか?〜</t>
        </is>
      </c>
      <c r="H410" s="10" t="inlineStr">
        <is>
          <t>生成AIシェア会_LT編〜使ってみた・調べてみたをみんなに共有しませんか?〜事務局</t>
        </is>
      </c>
      <c r="I410" s="10" t="n"/>
      <c r="J410" s="10" t="inlineStr">
        <is>
          <t>こくちーずプロ</t>
        </is>
      </c>
      <c r="K410" s="10" t="inlineStr">
        <is>
          <t>オンライン</t>
        </is>
      </c>
      <c r="L410" s="10" t="inlineStr">
        <is>
          <t>オンライン 日本</t>
        </is>
      </c>
      <c r="M410" s="10" t="inlineStr">
        <is>
          <t>生産性向上・業務効率化</t>
        </is>
      </c>
      <c r="N410" s="10" t="inlineStr">
        <is>
          <t>AIエージェント</t>
        </is>
      </c>
      <c r="O410" s="12" t="inlineStr">
        <is>
          <t>○</t>
        </is>
      </c>
      <c r="P410" s="13" t="n">
        <v>1</v>
      </c>
      <c r="Q410" s="12" t="inlineStr">
        <is>
          <t>参加者数</t>
        </is>
      </c>
      <c r="R410" s="14" t="n">
        <v>20</v>
      </c>
      <c r="S410" s="10" t="n"/>
      <c r="T410" s="10" t="inlineStr">
        <is>
          <t>このイベントについて ChatGPT、Claude、Gemini、GitHub Copilotなど、生成AIを仕事や開発で活用する機会がどんどん増えています。 一方で、 「他の人は生成AIをどう使っているんだろう？」 「仕事で使ってみた事例を聞いてみたい」 「最近調べたAI技術について誰かと話したい」 「便利だった使い方や、逆にうまくいかなかった話も聞いてみたい」 と思うことはありませんか？ このイベントは、 生成AIについて「使ってみ</t>
        </is>
      </c>
      <c r="U410" s="15" t="inlineStr">
        <is>
          <t>https://www.kokuchpro.com/event/6dc0b2cd4e8e341a978ac2a0490762a1/</t>
        </is>
      </c>
      <c r="V410" s="10" t="n"/>
      <c r="W410" s="10" t="inlineStr">
        <is>
          <t>本文一致</t>
        </is>
      </c>
      <c r="X410" s="10" t="n"/>
    </row>
    <row r="411">
      <c r="A411" s="10" t="n">
        <v>410</v>
      </c>
      <c r="B411" s="24" t="n">
        <v>46261</v>
      </c>
      <c r="C411" s="24" t="n">
        <v>46289</v>
      </c>
      <c r="D411" s="10">
        <f>MONTH(B411)&amp;"月"</f>
        <v/>
      </c>
      <c r="E411" s="12" t="n">
        <v>2</v>
      </c>
      <c r="F411" s="10" t="inlineStr">
        <is>
          <t>08/27、09/24</t>
        </is>
      </c>
      <c r="G411" s="10" t="inlineStr">
        <is>
          <t>1日で追いつく Claude Codeを学ぶ入門講座</t>
        </is>
      </c>
      <c r="H411" s="10" t="inlineStr">
        <is>
          <t>HELATH株式会社</t>
        </is>
      </c>
      <c r="I411" s="10" t="n"/>
      <c r="J411" s="10" t="inlineStr">
        <is>
          <t>TECH PLAY</t>
        </is>
      </c>
      <c r="K411" s="10" t="inlineStr">
        <is>
          <t>オンライン</t>
        </is>
      </c>
      <c r="L411" s="10" t="n"/>
      <c r="M411" s="10" t="inlineStr">
        <is>
          <t>開発生産性</t>
        </is>
      </c>
      <c r="N411" s="10" t="inlineStr">
        <is>
          <t>AIエージェント</t>
        </is>
      </c>
      <c r="O411" s="12" t="inlineStr">
        <is>
          <t>○</t>
        </is>
      </c>
      <c r="P411" s="13" t="n">
        <v>46</v>
      </c>
      <c r="Q411" s="12" t="inlineStr">
        <is>
          <t>申込者数</t>
        </is>
      </c>
      <c r="R411" s="14" t="n">
        <v>50</v>
      </c>
      <c r="S411" s="10" t="inlineStr">
        <is>
          <t>全2回の合計</t>
        </is>
      </c>
      <c r="T411" s="10" t="inlineStr">
        <is>
          <t>セミナー概要 生成AIを使って調べる、文章を作成するだけでなく、実際の業務を動かす時代が始まっています。本セミナーでは、AIエージェントの基本からClaude Codeの使い方まで、初心者向けに0から解説します。Web検索による情報収集、Webサイト作成、過去の見積書や品番を参照した帳簿作成、クラウド環境との接続まで、実際の画面を使いながら実演。さらに、Webサイトの自動更新やAIによるお問い合わせ対応など、実務での活用事例もご紹介しま</t>
        </is>
      </c>
      <c r="U411" s="15" t="inlineStr">
        <is>
          <t>https://techplay.jp/event/999385</t>
        </is>
      </c>
      <c r="V411" s="10" t="n"/>
      <c r="W411" s="10" t="inlineStr">
        <is>
          <t>タイトル一致</t>
        </is>
      </c>
      <c r="X411" s="10" t="n"/>
    </row>
    <row r="412">
      <c r="A412" s="10" t="n">
        <v>411</v>
      </c>
      <c r="B412" s="24" t="n">
        <v>46261</v>
      </c>
      <c r="C412" s="24" t="n">
        <v>46261</v>
      </c>
      <c r="D412" s="10">
        <f>MONTH(B412)&amp;"月"</f>
        <v/>
      </c>
      <c r="E412" s="12" t="n">
        <v>1</v>
      </c>
      <c r="F412" s="10" t="n"/>
      <c r="G412" s="10" t="inlineStr">
        <is>
          <t>20分）Azure MCP サーバを使ってAzureリソースを自然言語で操作してみる！</t>
        </is>
      </c>
      <c r="H412" s="10" t="inlineStr">
        <is>
          <t>WEST-CLOUD-demo</t>
        </is>
      </c>
      <c r="I412" s="10" t="n"/>
      <c r="J412" s="10" t="inlineStr">
        <is>
          <t>connpass</t>
        </is>
      </c>
      <c r="K412" s="10" t="inlineStr">
        <is>
          <t>会場</t>
        </is>
      </c>
      <c r="L412" s="10" t="inlineStr">
        <is>
          <t>(場所未定)</t>
        </is>
      </c>
      <c r="M412" s="10" t="inlineStr">
        <is>
          <t>技術・AI全般</t>
        </is>
      </c>
      <c r="N412" s="10" t="inlineStr">
        <is>
          <t>MCP</t>
        </is>
      </c>
      <c r="O412" s="12" t="inlineStr">
        <is>
          <t>○</t>
        </is>
      </c>
      <c r="P412" s="13" t="n">
        <v>4</v>
      </c>
      <c r="Q412" s="12" t="inlineStr">
        <is>
          <t>参加者数</t>
        </is>
      </c>
      <c r="R412" s="14" t="n"/>
      <c r="S412" s="10" t="n"/>
      <c r="T412" s="10" t="n"/>
      <c r="U412" s="15" t="inlineStr">
        <is>
          <t>https://mitsurumemo.connpass.com/event/404695/</t>
        </is>
      </c>
      <c r="V412" s="10" t="n"/>
      <c r="W412" s="10" t="inlineStr">
        <is>
          <t>タイトル一致</t>
        </is>
      </c>
      <c r="X412" s="10" t="n"/>
    </row>
    <row r="413">
      <c r="A413" s="10" t="n">
        <v>412</v>
      </c>
      <c r="B413" s="24" t="n">
        <v>46261</v>
      </c>
      <c r="C413" s="24" t="n">
        <v>46261</v>
      </c>
      <c r="D413" s="10">
        <f>MONTH(B413)&amp;"月"</f>
        <v/>
      </c>
      <c r="E413" s="12" t="n">
        <v>1</v>
      </c>
      <c r="F413" s="10" t="n"/>
      <c r="G413" s="10" t="inlineStr">
        <is>
          <t>AIエージェントのためのデータベース設計</t>
        </is>
      </c>
      <c r="H413" s="10" t="inlineStr">
        <is>
          <t>日本データマネジメント・コンソーシアム（JDMC）コミュニティ</t>
        </is>
      </c>
      <c r="I413" s="10" t="n"/>
      <c r="J413" s="10" t="inlineStr">
        <is>
          <t>connpass</t>
        </is>
      </c>
      <c r="K413" s="10" t="inlineStr">
        <is>
          <t>オンライン</t>
        </is>
      </c>
      <c r="L413" s="10" t="inlineStr">
        <is>
          <t>オンライン</t>
        </is>
      </c>
      <c r="M413" s="10" t="inlineStr">
        <is>
          <t>技術・AI全般</t>
        </is>
      </c>
      <c r="N413" s="10" t="inlineStr">
        <is>
          <t>AIエージェント</t>
        </is>
      </c>
      <c r="O413" s="12" t="inlineStr">
        <is>
          <t>○</t>
        </is>
      </c>
      <c r="P413" s="13" t="n">
        <v>294</v>
      </c>
      <c r="Q413" s="12" t="inlineStr">
        <is>
          <t>参加者数</t>
        </is>
      </c>
      <c r="R413" s="14" t="n"/>
      <c r="S413" s="10" t="n"/>
      <c r="T413" s="10" t="n"/>
      <c r="U413" s="15" t="inlineStr">
        <is>
          <t>https://jdmc.connpass.com/event/400197/</t>
        </is>
      </c>
      <c r="V413" s="10" t="n"/>
      <c r="W413" s="10" t="inlineStr">
        <is>
          <t>タイトル一致</t>
        </is>
      </c>
      <c r="X413" s="10" t="n"/>
    </row>
    <row r="414">
      <c r="A414" s="10" t="n">
        <v>413</v>
      </c>
      <c r="B414" s="24" t="n">
        <v>46261</v>
      </c>
      <c r="C414" s="24" t="n">
        <v>46261</v>
      </c>
      <c r="D414" s="10">
        <f>MONTH(B414)&amp;"月"</f>
        <v/>
      </c>
      <c r="E414" s="12" t="n">
        <v>1</v>
      </c>
      <c r="F414" s="10" t="n"/>
      <c r="G414" s="10" t="inlineStr">
        <is>
          <t>AIエージェントの利用実態とリスク、把握できていますか？ 〜端末の設定不備・脆弱性・AIリスクをまとめて評価〜</t>
        </is>
      </c>
      <c r="H414" s="10" t="inlineStr">
        <is>
          <t>TeamT5株式会社</t>
        </is>
      </c>
      <c r="I414" s="10" t="inlineStr">
        <is>
          <t>マジセミ株式会社</t>
        </is>
      </c>
      <c r="J414" s="10" t="inlineStr">
        <is>
          <t>Doorkeeper</t>
        </is>
      </c>
      <c r="K414" s="10" t="inlineStr">
        <is>
          <t>不明</t>
        </is>
      </c>
      <c r="L414" s="10" t="n"/>
      <c r="M414" s="10" t="inlineStr">
        <is>
          <t>営業・マーケ・CS</t>
        </is>
      </c>
      <c r="N414" s="10" t="inlineStr">
        <is>
          <t>AIエージェント</t>
        </is>
      </c>
      <c r="O414" s="12" t="inlineStr">
        <is>
          <t>◎</t>
        </is>
      </c>
      <c r="P414" s="13" t="n">
        <v>0</v>
      </c>
      <c r="Q414" s="12" t="inlineStr">
        <is>
          <t>参加者数</t>
        </is>
      </c>
      <c r="R414" s="14" t="n"/>
      <c r="S414" s="10" t="n"/>
      <c r="T414"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AIエージェントの普及で広がるエンドポイントリスク 生成AIの業務活用が進み、ChatGPTやClaudeなどの生成AIサービスに加え、外部ツールやファイル、APIにアクセスして処理を実行するAIエージ</t>
        </is>
      </c>
      <c r="U414" s="15" t="inlineStr">
        <is>
          <t>https://majisemi-technology.doorkeeper.jp/events/198546</t>
        </is>
      </c>
      <c r="V414" s="10" t="n"/>
      <c r="W414" s="10" t="inlineStr">
        <is>
          <t>タイトル一致</t>
        </is>
      </c>
      <c r="X414" s="10" t="n"/>
    </row>
    <row r="415">
      <c r="A415" s="10" t="n">
        <v>414</v>
      </c>
      <c r="B415" s="24" t="n">
        <v>46261</v>
      </c>
      <c r="C415" s="24" t="n">
        <v>46261</v>
      </c>
      <c r="D415" s="10">
        <f>MONTH(B415)&amp;"月"</f>
        <v/>
      </c>
      <c r="E415" s="12" t="n">
        <v>1</v>
      </c>
      <c r="F415" s="10" t="n"/>
      <c r="G415" s="10" t="inlineStr">
        <is>
          <t>CodexとClaude Code、結局何を使えばいい？使い分け完全整理</t>
        </is>
      </c>
      <c r="H415" s="10" t="inlineStr">
        <is>
          <t>Polyscape</t>
        </is>
      </c>
      <c r="I415" s="10" t="n"/>
      <c r="J415" s="10" t="inlineStr">
        <is>
          <t>connpass</t>
        </is>
      </c>
      <c r="K415" s="10" t="inlineStr">
        <is>
          <t>オンライン</t>
        </is>
      </c>
      <c r="L415" s="10" t="inlineStr">
        <is>
          <t>オンライン</t>
        </is>
      </c>
      <c r="M415" s="10" t="inlineStr">
        <is>
          <t>開発生産性</t>
        </is>
      </c>
      <c r="N415" s="10" t="inlineStr">
        <is>
          <t>AIエージェント</t>
        </is>
      </c>
      <c r="O415" s="12" t="inlineStr">
        <is>
          <t>○</t>
        </is>
      </c>
      <c r="P415" s="13" t="n">
        <v>15</v>
      </c>
      <c r="Q415" s="12" t="inlineStr">
        <is>
          <t>参加者数</t>
        </is>
      </c>
      <c r="R415" s="14" t="n"/>
      <c r="S415" s="10" t="n"/>
      <c r="T415" s="10" t="n"/>
      <c r="U415" s="15" t="inlineStr">
        <is>
          <t>https://polyscape.connpass.com/event/402426/</t>
        </is>
      </c>
      <c r="V415" s="10" t="n"/>
      <c r="W415" s="10" t="inlineStr">
        <is>
          <t>タイトル一致</t>
        </is>
      </c>
      <c r="X415" s="10" t="n"/>
    </row>
    <row r="416">
      <c r="A416" s="10" t="n">
        <v>415</v>
      </c>
      <c r="B416" s="24" t="n">
        <v>46261</v>
      </c>
      <c r="C416" s="24" t="n">
        <v>46261</v>
      </c>
      <c r="D416" s="10">
        <f>MONTH(B416)&amp;"月"</f>
        <v/>
      </c>
      <c r="E416" s="12" t="n">
        <v>1</v>
      </c>
      <c r="F416" s="10" t="n"/>
      <c r="G416" s="10" t="inlineStr">
        <is>
          <t>OpenAI Codex - Fast Hacks in Tokyo</t>
        </is>
      </c>
      <c r="H416" s="10" t="inlineStr">
        <is>
          <t>CreatorLabo</t>
        </is>
      </c>
      <c r="I416" s="10" t="n"/>
      <c r="J416" s="10" t="inlineStr">
        <is>
          <t>connpass</t>
        </is>
      </c>
      <c r="K416" s="10" t="inlineStr">
        <is>
          <t>会場</t>
        </is>
      </c>
      <c r="L416" s="10" t="inlineStr">
        <is>
          <t>FinGATE KAYABA 3F 303, １丁目-８-1 日本橋茅場町 中央区 東京都</t>
        </is>
      </c>
      <c r="M416" s="10" t="inlineStr">
        <is>
          <t>開発生産性</t>
        </is>
      </c>
      <c r="N416" s="10" t="inlineStr">
        <is>
          <t>AIエージェント</t>
        </is>
      </c>
      <c r="O416" s="12" t="inlineStr">
        <is>
          <t>○</t>
        </is>
      </c>
      <c r="P416" s="13" t="n">
        <v>6</v>
      </c>
      <c r="Q416" s="12" t="inlineStr">
        <is>
          <t>参加者数</t>
        </is>
      </c>
      <c r="R416" s="14" t="n"/>
      <c r="S416" s="10" t="n"/>
      <c r="T416" s="10" t="n"/>
      <c r="U416" s="15" t="inlineStr">
        <is>
          <t>https://connpass.com/event/402927/</t>
        </is>
      </c>
      <c r="V416" s="10" t="n"/>
      <c r="W416" s="10" t="inlineStr">
        <is>
          <t>タイトル一致</t>
        </is>
      </c>
      <c r="X416" s="10" t="n"/>
    </row>
    <row r="417">
      <c r="A417" s="10" t="n">
        <v>416</v>
      </c>
      <c r="B417" s="24" t="n">
        <v>46261</v>
      </c>
      <c r="C417" s="24" t="n">
        <v>46261</v>
      </c>
      <c r="D417" s="10">
        <f>MONTH(B417)&amp;"月"</f>
        <v/>
      </c>
      <c r="E417" s="12" t="n">
        <v>1</v>
      </c>
      <c r="F417" s="10" t="n"/>
      <c r="G417" s="10" t="inlineStr">
        <is>
          <t>【8/27(木)18:00】AIを自分専属の参謀にする方法 〜プロンプトより大切な“コンテクスト”の作り方〜</t>
        </is>
      </c>
      <c r="H417" s="10" t="inlineStr">
        <is>
          <t>AIビジネスフォーラム事務局</t>
        </is>
      </c>
      <c r="I417" s="10" t="n"/>
      <c r="J417" s="10" t="inlineStr">
        <is>
          <t>こくちーずプロ</t>
        </is>
      </c>
      <c r="K417" s="10" t="inlineStr">
        <is>
          <t>オンライン</t>
        </is>
      </c>
      <c r="L417" s="10" t="inlineStr">
        <is>
          <t>オンライン 日本</t>
        </is>
      </c>
      <c r="M417" s="10" t="inlineStr">
        <is>
          <t>技術・AI全般</t>
        </is>
      </c>
      <c r="N417" s="10" t="inlineStr">
        <is>
          <t>AIエージェント</t>
        </is>
      </c>
      <c r="O417" s="12" t="inlineStr">
        <is>
          <t>△</t>
        </is>
      </c>
      <c r="P417" s="13" t="n">
        <v>0</v>
      </c>
      <c r="Q417" s="12" t="inlineStr">
        <is>
          <t>参加者数</t>
        </is>
      </c>
      <c r="R417" s="14" t="n">
        <v>30</v>
      </c>
      <c r="S417" s="10" t="n"/>
      <c r="T417" s="10" t="inlineStr">
        <is>
          <t>AIを自分専属の参謀にする方法 〜プロンプトより大切な“コンテクスト”の作り方〜 以前Obsidianを使ったAIセカンドブレインの基本構造について紹介しました。 今回はその発展版として、単なるメモ管理やAI要約を超えて、自分の背景・仕事・プロジェクト・判断基準を理解してくれる「AI参謀」の構築方法と運営方法を解説します。 多くのAI活用は、プロンプトの書き方やAIモデルの性能に注目しがちです。 しかし本当に重要なのは、AIが「あなたが</t>
        </is>
      </c>
      <c r="U417" s="15" t="inlineStr">
        <is>
          <t>https://www.kokuchpro.com/event/1fee470b2c03f29d184815e54f8a5ba5/</t>
        </is>
      </c>
      <c r="V417" s="10" t="n"/>
      <c r="W417" s="10" t="inlineStr">
        <is>
          <t>本文一致</t>
        </is>
      </c>
      <c r="X417" s="10" t="n"/>
    </row>
    <row r="418">
      <c r="A418" s="10" t="n">
        <v>417</v>
      </c>
      <c r="B418" s="24" t="n">
        <v>46261</v>
      </c>
      <c r="C418" s="24" t="n">
        <v>46261</v>
      </c>
      <c r="D418" s="10">
        <f>MONTH(B418)&amp;"月"</f>
        <v/>
      </c>
      <c r="E418" s="12" t="n">
        <v>1</v>
      </c>
      <c r="F418" s="10" t="n"/>
      <c r="G418" s="10" t="inlineStr">
        <is>
          <t>【トランスコスモスオンラインセミナー】Agentic Commerce 2026「AIが判断を担う時代」のEC事業設計とはを8月27日（木）に開催</t>
        </is>
      </c>
      <c r="H418" s="10" t="inlineStr">
        <is>
          <t>トランスコスモス株式会社</t>
        </is>
      </c>
      <c r="I418" s="10" t="n"/>
      <c r="J418" s="10" t="inlineStr">
        <is>
          <t>PR TIMES</t>
        </is>
      </c>
      <c r="K418" s="10" t="inlineStr">
        <is>
          <t>online</t>
        </is>
      </c>
      <c r="L418" s="10" t="inlineStr">
        <is>
          <t>オンライン開催（ZOOM）</t>
        </is>
      </c>
      <c r="M418" s="10" t="inlineStr">
        <is>
          <t>営業・マーケ・CS</t>
        </is>
      </c>
      <c r="N418" s="10" t="inlineStr">
        <is>
          <t>AIエージェント</t>
        </is>
      </c>
      <c r="O418" s="12" t="inlineStr">
        <is>
          <t>◎</t>
        </is>
      </c>
      <c r="P418" s="13" t="n"/>
      <c r="Q418" s="12" t="inlineStr">
        <is>
          <t>不明</t>
        </is>
      </c>
      <c r="R418" s="14" t="n"/>
      <c r="S418" s="10" t="n"/>
      <c r="T418" s="10" t="inlineStr">
        <is>
          <t>トランスコスモスは、Agentic Commerce 2026「AIが判断を担う時代」のEC事業設計とは～トランスコスモス×Shopifyが実務視点で整理～を8月27日（木）に開催します。 生成AIの進展により、EC領域でも意思決定と実行をAIが担う「Agentic Commerce」への移行が現実的になっています。一方で多くのEC事業者ではAI活用が部分最適に留まり、業務構造やEC基盤の再設計まで踏み込めていません。本セミナーでは、S</t>
        </is>
      </c>
      <c r="U418" s="15" t="inlineStr">
        <is>
          <t>https://prtimes.jp/main/html/rd/p/000002118.000000183.html</t>
        </is>
      </c>
      <c r="V418" s="10" t="n"/>
      <c r="W418" s="10" t="inlineStr">
        <is>
          <t>タイトル一致</t>
        </is>
      </c>
      <c r="X418" s="10" t="n"/>
    </row>
    <row r="419">
      <c r="A419" s="10" t="n">
        <v>418</v>
      </c>
      <c r="B419" s="24" t="n">
        <v>46261</v>
      </c>
      <c r="C419" s="24" t="n">
        <v>46261</v>
      </c>
      <c r="D419" s="10">
        <f>MONTH(B419)&amp;"月"</f>
        <v/>
      </c>
      <c r="E419" s="12" t="n">
        <v>1</v>
      </c>
      <c r="F419" s="10" t="n"/>
      <c r="G419" s="10" t="inlineStr">
        <is>
          <t>メールでOffice資料が届く！Office CLIで自分用AIエージェント開発 #ProtoOut</t>
        </is>
      </c>
      <c r="H419" s="10" t="inlineStr">
        <is>
          <t>プロトアウトスタジオ</t>
        </is>
      </c>
      <c r="I419" s="10" t="n"/>
      <c r="J419" s="10" t="inlineStr">
        <is>
          <t>connpass</t>
        </is>
      </c>
      <c r="K419" s="10" t="inlineStr">
        <is>
          <t>オンライン</t>
        </is>
      </c>
      <c r="L419" s="10" t="inlineStr">
        <is>
          <t>オンライン</t>
        </is>
      </c>
      <c r="M419" s="10" t="inlineStr">
        <is>
          <t>開発生産性</t>
        </is>
      </c>
      <c r="N419" s="10" t="inlineStr">
        <is>
          <t>AIエージェント</t>
        </is>
      </c>
      <c r="O419" s="12" t="inlineStr">
        <is>
          <t>○</t>
        </is>
      </c>
      <c r="P419" s="13" t="n">
        <v>23</v>
      </c>
      <c r="Q419" s="12" t="inlineStr">
        <is>
          <t>参加者数</t>
        </is>
      </c>
      <c r="R419" s="14" t="n">
        <v>30</v>
      </c>
      <c r="S419" s="10" t="n"/>
      <c r="T419" s="10" t="n"/>
      <c r="U419" s="15" t="inlineStr">
        <is>
          <t>https://protoout.connpass.com/event/401712/</t>
        </is>
      </c>
      <c r="V419" s="10" t="n"/>
      <c r="W419" s="10" t="inlineStr">
        <is>
          <t>タイトル一致</t>
        </is>
      </c>
      <c r="X419" s="10" t="n"/>
    </row>
    <row r="420">
      <c r="A420" s="10" t="n">
        <v>419</v>
      </c>
      <c r="B420" s="24" t="n">
        <v>46261</v>
      </c>
      <c r="C420" s="24" t="n">
        <v>46261</v>
      </c>
      <c r="D420" s="10">
        <f>MONTH(B420)&amp;"月"</f>
        <v/>
      </c>
      <c r="E420" s="12" t="n">
        <v>1</v>
      </c>
      <c r="F420" s="10" t="n"/>
      <c r="G420" s="10" t="inlineStr">
        <is>
          <t>現場を動かすAIエージェント〜製造・リテール・モビリティ各業界の実践〜</t>
        </is>
      </c>
      <c r="H420" s="10" t="inlineStr">
        <is>
          <t>KINTOテクノロジーズ株式会社</t>
        </is>
      </c>
      <c r="I420" s="10" t="n"/>
      <c r="J420" s="10" t="inlineStr">
        <is>
          <t>connpass</t>
        </is>
      </c>
      <c r="K420" s="10" t="inlineStr">
        <is>
          <t>会場</t>
        </is>
      </c>
      <c r="L420" s="10" t="inlineStr">
        <is>
          <t>〒810-0021 福岡県福岡市中央区今泉１丁目１９−２２ 西鉄天神クラス 3階</t>
        </is>
      </c>
      <c r="M420" s="10" t="inlineStr">
        <is>
          <t>生産管理・製造・SCM</t>
        </is>
      </c>
      <c r="N420" s="10" t="inlineStr">
        <is>
          <t>AIエージェント</t>
        </is>
      </c>
      <c r="O420" s="12" t="inlineStr">
        <is>
          <t>◎</t>
        </is>
      </c>
      <c r="P420" s="13" t="n">
        <v>62</v>
      </c>
      <c r="Q420" s="12" t="inlineStr">
        <is>
          <t>参加者数</t>
        </is>
      </c>
      <c r="R420" s="14" t="n">
        <v>75</v>
      </c>
      <c r="S420" s="10" t="n"/>
      <c r="T420" s="10" t="n"/>
      <c r="U420" s="15" t="inlineStr">
        <is>
          <t>https://kinto-technologies.connpass.com/event/400133/</t>
        </is>
      </c>
      <c r="V420" s="10" t="n"/>
      <c r="W420" s="10" t="inlineStr">
        <is>
          <t>タイトル一致</t>
        </is>
      </c>
      <c r="X420" s="10" t="n"/>
    </row>
    <row r="421">
      <c r="A421" s="10" t="n">
        <v>420</v>
      </c>
      <c r="B421" s="24" t="n">
        <v>46261</v>
      </c>
      <c r="C421" s="24" t="n">
        <v>46261</v>
      </c>
      <c r="D421" s="10">
        <f>MONTH(B421)&amp;"月"</f>
        <v/>
      </c>
      <c r="E421" s="12" t="n">
        <v>1</v>
      </c>
      <c r="F421" s="10" t="n"/>
      <c r="G421" s="10" t="inlineStr">
        <is>
          <t>生成AIを業務に組み込みたいのに、技術的課題とノウハウ不足で現場利用が進まない ～権限制御を効かせた社内データの横断検索とノーコード自動化をAmazon Quickで実現～</t>
        </is>
      </c>
      <c r="H421" s="10" t="inlineStr">
        <is>
          <t>株式会社アシスト クラウド&amp;データベース技術統括部 クラウド技術部</t>
        </is>
      </c>
      <c r="I421" s="10" t="inlineStr">
        <is>
          <t>マジセミ株式会社</t>
        </is>
      </c>
      <c r="J421" s="10" t="inlineStr">
        <is>
          <t>Doorkeeper</t>
        </is>
      </c>
      <c r="K421" s="10" t="inlineStr">
        <is>
          <t>不明</t>
        </is>
      </c>
      <c r="L421" s="10" t="n"/>
      <c r="M421" s="10" t="inlineStr">
        <is>
          <t>生産性向上・業務効率化</t>
        </is>
      </c>
      <c r="N421" s="10" t="inlineStr">
        <is>
          <t>AIエージェント</t>
        </is>
      </c>
      <c r="O421" s="12" t="inlineStr">
        <is>
          <t>○</t>
        </is>
      </c>
      <c r="P421" s="13" t="n">
        <v>3</v>
      </c>
      <c r="Q421" s="12" t="inlineStr">
        <is>
          <t>参加者数</t>
        </is>
      </c>
      <c r="R421" s="14" t="n">
        <v>3</v>
      </c>
      <c r="S421" s="10" t="n"/>
      <c r="T421"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生成AIの活用は広がる一方、「社内データの横断検索」と「業務の自動化」は思うように進まない 汎用生成AI・AIエージェントの活用は急速に広がり、日常業務に生成AIを取り入れる企業が増えています。しかし、</t>
        </is>
      </c>
      <c r="U421" s="15" t="inlineStr">
        <is>
          <t>https://majisemi-technology.doorkeeper.jp/events/198520</t>
        </is>
      </c>
      <c r="V421" s="10" t="n"/>
      <c r="W421" s="10" t="inlineStr">
        <is>
          <t>本文一致</t>
        </is>
      </c>
      <c r="X421" s="10" t="n"/>
    </row>
    <row r="422">
      <c r="A422" s="10" t="n">
        <v>421</v>
      </c>
      <c r="B422" s="24" t="n">
        <v>46261</v>
      </c>
      <c r="C422" s="24" t="n">
        <v>46261</v>
      </c>
      <c r="D422" s="10">
        <f>MONTH(B422)&amp;"月"</f>
        <v/>
      </c>
      <c r="E422" s="12" t="n">
        <v>1</v>
      </c>
      <c r="F422" s="10" t="n"/>
      <c r="G422" s="10" t="inlineStr">
        <is>
          <t>製造DXセミナー #1「見積支援AIエージェント『匠フォース』」</t>
        </is>
      </c>
      <c r="H422" s="10" t="inlineStr">
        <is>
          <t>茨城県産業技術イノベーションセンター</t>
        </is>
      </c>
      <c r="I422" s="10" t="n"/>
      <c r="J422" s="10" t="inlineStr">
        <is>
          <t>個別調査（公式サイト・PR TIMES等）</t>
        </is>
      </c>
      <c r="K422" s="10" t="inlineStr">
        <is>
          <t>ハイブリッド</t>
        </is>
      </c>
      <c r="L422" s="10" t="n"/>
      <c r="M422" s="10" t="inlineStr">
        <is>
          <t>生産管理・製造・SCM</t>
        </is>
      </c>
      <c r="N422" s="10" t="inlineStr">
        <is>
          <t>AIエージェント</t>
        </is>
      </c>
      <c r="O422" s="12" t="inlineStr">
        <is>
          <t>◎</t>
        </is>
      </c>
      <c r="P422" s="13" t="n">
        <v>80</v>
      </c>
      <c r="Q422" s="12" t="inlineStr">
        <is>
          <t>定員</t>
        </is>
      </c>
      <c r="R422" s="14" t="n">
        <v>80</v>
      </c>
      <c r="S422" s="10" t="inlineStr">
        <is>
          <t>現地30名とオンライン50名の合計</t>
        </is>
      </c>
      <c r="T422" s="10" t="inlineStr">
        <is>
          <t>見積と原価管理を自律的に進める、製造業向けAIエージェントを紹介する。対象は県内の中小製造業。</t>
        </is>
      </c>
      <c r="U422" s="15" t="inlineStr">
        <is>
          <t>https://www.itic.pref.ibaraki.jp/infolist/seminar_training/info-20260731/</t>
        </is>
      </c>
      <c r="V422" s="10" t="n"/>
      <c r="W422" s="10" t="inlineStr">
        <is>
          <t>個別確認</t>
        </is>
      </c>
      <c r="X422" s="10" t="inlineStr">
        <is>
          <t>生産管理（見積・原価）に直結するテーマ</t>
        </is>
      </c>
    </row>
    <row r="423">
      <c r="A423" s="10" t="n">
        <v>422</v>
      </c>
      <c r="B423" s="24" t="n">
        <v>46261</v>
      </c>
      <c r="C423" s="24" t="n">
        <v>46261</v>
      </c>
      <c r="D423" s="10">
        <f>MONTH(B423)&amp;"月"</f>
        <v/>
      </c>
      <c r="E423" s="12" t="n">
        <v>1</v>
      </c>
      <c r="F423" s="10" t="n"/>
      <c r="G423" s="10" t="inlineStr">
        <is>
          <t>開発業務のレポーティングにも「Claude Code」が活用できる!?「Claude Code」を用いた“AI臭くない”スライド作成術</t>
        </is>
      </c>
      <c r="H423" s="10" t="inlineStr">
        <is>
          <t>PE-BANK</t>
        </is>
      </c>
      <c r="I423" s="10" t="n"/>
      <c r="J423" s="10" t="inlineStr">
        <is>
          <t>TECH PLAY</t>
        </is>
      </c>
      <c r="K423" s="10" t="inlineStr">
        <is>
          <t>オンライン</t>
        </is>
      </c>
      <c r="L423" s="10" t="n"/>
      <c r="M423" s="10" t="inlineStr">
        <is>
          <t>生産性向上・業務効率化</t>
        </is>
      </c>
      <c r="N423" s="10" t="inlineStr">
        <is>
          <t>AIエージェント</t>
        </is>
      </c>
      <c r="O423" s="12" t="inlineStr">
        <is>
          <t>◎</t>
        </is>
      </c>
      <c r="P423" s="13" t="n"/>
      <c r="Q423" s="12" t="inlineStr">
        <is>
          <t>非公開</t>
        </is>
      </c>
      <c r="R423" s="14" t="n">
        <v>100</v>
      </c>
      <c r="S423" s="10" t="n"/>
      <c r="T423" s="10" t="inlineStr">
        <is>
          <t>イベントテーマ 開発業務のレポーティングにも「Claude Code」が活用できる!? 「Claude Code」を用いた“AI臭くない”スライド作成術 「AI」は私たちの生活や業務から、切っても切り離せない存在になりつつあります。 ただ「AI」に任せると、どうしても仕上がりが“AI臭く”なる。この違和感はどこから来るのでしょうか。 本セミナーでは、「Claude Code」を使った「スライド作成」に焦点を当ててお話しします。 エンジニ</t>
        </is>
      </c>
      <c r="U423" s="15" t="inlineStr">
        <is>
          <t>https://techplay.jp/event/999463</t>
        </is>
      </c>
      <c r="V423" s="10" t="n"/>
      <c r="W423" s="10" t="inlineStr">
        <is>
          <t>タイトル一致</t>
        </is>
      </c>
      <c r="X423" s="10" t="n"/>
    </row>
    <row r="424">
      <c r="A424" s="10" t="n">
        <v>423</v>
      </c>
      <c r="B424" s="24" t="n">
        <v>46261</v>
      </c>
      <c r="C424" s="24" t="n">
        <v>46261</v>
      </c>
      <c r="D424" s="10">
        <f>MONTH(B424)&amp;"月"</f>
        <v/>
      </c>
      <c r="E424" s="12" t="n">
        <v>1</v>
      </c>
      <c r="F424" s="10" t="n"/>
      <c r="G424" s="10" t="inlineStr">
        <is>
          <t>電通デジタル CX Shift Session 2026 Vol.2 人と生成AIが共創する次世代CRM・シナリオ設計</t>
        </is>
      </c>
      <c r="H424" s="10" t="inlineStr">
        <is>
          <t>株式会社電通デジタル</t>
        </is>
      </c>
      <c r="I424" s="10" t="n"/>
      <c r="J424" s="10" t="inlineStr">
        <is>
          <t>個別調査（公式サイト・PR TIMES等）</t>
        </is>
      </c>
      <c r="K424" s="10" t="inlineStr">
        <is>
          <t>会場</t>
        </is>
      </c>
      <c r="L424" s="10" t="inlineStr">
        <is>
          <t>電通本社</t>
        </is>
      </c>
      <c r="M424" s="10" t="inlineStr">
        <is>
          <t>営業・マーケ・CS</t>
        </is>
      </c>
      <c r="N424" s="10" t="inlineStr">
        <is>
          <t>AIエージェント</t>
        </is>
      </c>
      <c r="O424" s="12" t="inlineStr">
        <is>
          <t>◎</t>
        </is>
      </c>
      <c r="P424" s="13" t="n">
        <v>40</v>
      </c>
      <c r="Q424" s="12" t="inlineStr">
        <is>
          <t>定員</t>
        </is>
      </c>
      <c r="R424" s="14" t="n">
        <v>40</v>
      </c>
      <c r="S424" s="10" t="inlineStr">
        <is>
          <t>申込多数のため受付終了</t>
        </is>
      </c>
      <c r="T424" s="10" t="inlineStr">
        <is>
          <t>CDP上に作ったAIエージェントを使い、CRM施策のシナリオ設計から実行・運用までを実演し、参加者も体験する。</t>
        </is>
      </c>
      <c r="U424" s="15" t="inlineStr">
        <is>
          <t>https://pages2.dentsudigital.co.jp/seminar/20260827/</t>
        </is>
      </c>
      <c r="V424" s="10" t="n"/>
      <c r="W424" s="10" t="inlineStr">
        <is>
          <t>個別確認</t>
        </is>
      </c>
      <c r="X424" s="10" t="n"/>
    </row>
    <row r="425">
      <c r="A425" s="10" t="n">
        <v>424</v>
      </c>
      <c r="B425" s="24" t="n">
        <v>46262</v>
      </c>
      <c r="C425" s="24" t="n">
        <v>46262</v>
      </c>
      <c r="D425" s="10">
        <f>MONTH(B425)&amp;"月"</f>
        <v/>
      </c>
      <c r="E425" s="12" t="n">
        <v>1</v>
      </c>
      <c r="F425" s="10" t="n"/>
      <c r="G425" s="10" t="inlineStr">
        <is>
          <t>AIエージェント実践活用LT会～現場のエンジニアはこう使う～（Claude Code/Codex）</t>
        </is>
      </c>
      <c r="H425" s="10" t="inlineStr">
        <is>
          <t>SREホールディングス</t>
        </is>
      </c>
      <c r="I425" s="10" t="n"/>
      <c r="J425" s="10" t="inlineStr">
        <is>
          <t>connpass</t>
        </is>
      </c>
      <c r="K425" s="10" t="inlineStr">
        <is>
          <t>会場</t>
        </is>
      </c>
      <c r="L425" s="10" t="inlineStr">
        <is>
          <t>東京都港区赤坂1-8-1 赤坂インターシティAIR 14階</t>
        </is>
      </c>
      <c r="M425" s="10" t="inlineStr">
        <is>
          <t>開発生産性</t>
        </is>
      </c>
      <c r="N425" s="10" t="inlineStr">
        <is>
          <t>AIエージェント</t>
        </is>
      </c>
      <c r="O425" s="12" t="inlineStr">
        <is>
          <t>○</t>
        </is>
      </c>
      <c r="P425" s="13" t="n">
        <v>76</v>
      </c>
      <c r="Q425" s="12" t="inlineStr">
        <is>
          <t>参加者数</t>
        </is>
      </c>
      <c r="R425" s="14" t="n"/>
      <c r="S425" s="10" t="n"/>
      <c r="T425" s="10" t="n"/>
      <c r="U425" s="15" t="inlineStr">
        <is>
          <t>https://sre-holdings.connpass.com/event/401894/</t>
        </is>
      </c>
      <c r="V425" s="10" t="n"/>
      <c r="W425" s="10" t="inlineStr">
        <is>
          <t>タイトル一致</t>
        </is>
      </c>
      <c r="X425" s="10" t="n"/>
    </row>
    <row r="426">
      <c r="A426" s="10" t="n">
        <v>425</v>
      </c>
      <c r="B426" s="24" t="n">
        <v>46262</v>
      </c>
      <c r="C426" s="24" t="n">
        <v>46262</v>
      </c>
      <c r="D426" s="10">
        <f>MONTH(B426)&amp;"月"</f>
        <v/>
      </c>
      <c r="E426" s="12" t="n">
        <v>1</v>
      </c>
      <c r="F426" s="10" t="n"/>
      <c r="G426" s="10" t="inlineStr">
        <is>
          <t>AIエージェント時代「会社はどう変わるのか?」経営者が最初に考えるべきこと</t>
        </is>
      </c>
      <c r="H426" s="10" t="inlineStr">
        <is>
          <t>Equi 井上 比奈</t>
        </is>
      </c>
      <c r="I426" s="10" t="n"/>
      <c r="J426" s="10" t="inlineStr">
        <is>
          <t>こくちーずプロ</t>
        </is>
      </c>
      <c r="K426" s="10" t="inlineStr">
        <is>
          <t>オフライン（会場）</t>
        </is>
      </c>
      <c r="L426" s="10" t="inlineStr">
        <is>
          <t>オープンイノベーション拠点ARKade 兵庫県尼崎市神田中通2丁目27番地</t>
        </is>
      </c>
      <c r="M426" s="10" t="inlineStr">
        <is>
          <t>生産性向上・業務効率化</t>
        </is>
      </c>
      <c r="N426" s="10" t="inlineStr">
        <is>
          <t>AIエージェント</t>
        </is>
      </c>
      <c r="O426" s="12" t="inlineStr">
        <is>
          <t>◎</t>
        </is>
      </c>
      <c r="P426" s="13" t="n"/>
      <c r="Q426" s="12" t="inlineStr">
        <is>
          <t>不明</t>
        </is>
      </c>
      <c r="R426" s="14" t="n"/>
      <c r="S426" s="10" t="n"/>
      <c r="T426" s="10" t="inlineStr">
        <is>
          <t>AIが作業、人が判断する新しい働き方 「AIを使えば業務が効率化し、生産性が向上する」——そう信じてAIツールを導入したものの、個人の利用にとどまり組織的な成果に繋がっていない中小企業は少なくありません。 AIエージェントの登場により、AIは単なる質問ツールから「仕事を任せる存在」へと進化していますが、計画なしに導入を進めることは不要なコストや失敗のリスクを伴います。 本セミナーは、ツールの操作方法を学ぶ講座ではありません。 AIエージ</t>
        </is>
      </c>
      <c r="U426" s="15" t="inlineStr">
        <is>
          <t>https://www.kokuchpro.com/event/aiagent0828/</t>
        </is>
      </c>
      <c r="V426" s="10" t="n"/>
      <c r="W426" s="10" t="inlineStr">
        <is>
          <t>タイトル一致</t>
        </is>
      </c>
      <c r="X426" s="10" t="n"/>
    </row>
    <row r="427">
      <c r="A427" s="10" t="n">
        <v>426</v>
      </c>
      <c r="B427" s="24" t="n">
        <v>46262</v>
      </c>
      <c r="C427" s="24" t="n">
        <v>46262</v>
      </c>
      <c r="D427" s="10">
        <f>MONTH(B427)&amp;"月"</f>
        <v/>
      </c>
      <c r="E427" s="12" t="n">
        <v>1</v>
      </c>
      <c r="F427" s="10" t="n"/>
      <c r="G427" s="10" t="inlineStr">
        <is>
          <t>ChatGPT×Claude Code バイブコーディング交流会 〜実務で使えるAI開発〜</t>
        </is>
      </c>
      <c r="H427" s="10" t="inlineStr">
        <is>
          <t>AI ハックラボ</t>
        </is>
      </c>
      <c r="I427" s="10" t="n"/>
      <c r="J427" s="10" t="inlineStr">
        <is>
          <t>connpass</t>
        </is>
      </c>
      <c r="K427" s="10" t="inlineStr">
        <is>
          <t>会場</t>
        </is>
      </c>
      <c r="L427" s="10" t="inlineStr">
        <is>
          <t>大阪府大阪市北区芝田2丁目621PMO梅田4F</t>
        </is>
      </c>
      <c r="M427" s="10" t="inlineStr">
        <is>
          <t>開発生産性</t>
        </is>
      </c>
      <c r="N427" s="10" t="inlineStr">
        <is>
          <t>AIエージェント</t>
        </is>
      </c>
      <c r="O427" s="12" t="inlineStr">
        <is>
          <t>○</t>
        </is>
      </c>
      <c r="P427" s="13" t="n">
        <v>19</v>
      </c>
      <c r="Q427" s="12" t="inlineStr">
        <is>
          <t>参加者数</t>
        </is>
      </c>
      <c r="R427" s="14" t="n">
        <v>25</v>
      </c>
      <c r="S427" s="10" t="n"/>
      <c r="T427" s="10" t="n"/>
      <c r="U427" s="15" t="inlineStr">
        <is>
          <t>https://aihacklabo.connpass.com/event/402216/</t>
        </is>
      </c>
      <c r="V427" s="10" t="n"/>
      <c r="W427" s="10" t="inlineStr">
        <is>
          <t>タイトル一致</t>
        </is>
      </c>
      <c r="X427" s="10" t="n"/>
    </row>
    <row r="428">
      <c r="A428" s="10" t="n">
        <v>427</v>
      </c>
      <c r="B428" s="24" t="n">
        <v>46262</v>
      </c>
      <c r="C428" s="24" t="n">
        <v>46262</v>
      </c>
      <c r="D428" s="10">
        <f>MONTH(B428)&amp;"月"</f>
        <v/>
      </c>
      <c r="E428" s="12" t="n">
        <v>1</v>
      </c>
      <c r="F428" s="10" t="n"/>
      <c r="G428" s="10" t="inlineStr">
        <is>
          <t>Claude Code Meetup Japan #7（Claude Code祭り!）</t>
        </is>
      </c>
      <c r="H428" s="10" t="inlineStr">
        <is>
          <t>AI駆動開発勉強会</t>
        </is>
      </c>
      <c r="I428" s="10" t="n"/>
      <c r="J428" s="10" t="inlineStr">
        <is>
          <t>個別調査（公式サイト・PR TIMES等）</t>
        </is>
      </c>
      <c r="K428" s="10" t="inlineStr">
        <is>
          <t>ハイブリッド</t>
        </is>
      </c>
      <c r="L428" s="10" t="inlineStr">
        <is>
          <t>麻布台ヒルズ森JPタワー48F（SHIFT本社）</t>
        </is>
      </c>
      <c r="M428" s="10" t="inlineStr">
        <is>
          <t>開発生産性</t>
        </is>
      </c>
      <c r="N428" s="10" t="inlineStr">
        <is>
          <t>AIエージェント</t>
        </is>
      </c>
      <c r="O428" s="12" t="inlineStr">
        <is>
          <t>○</t>
        </is>
      </c>
      <c r="P428" s="13" t="n">
        <v>1190</v>
      </c>
      <c r="Q428" s="12" t="inlineStr">
        <is>
          <t>参加者数</t>
        </is>
      </c>
      <c r="R428" s="14" t="n"/>
      <c r="S428" s="10" t="inlineStr">
        <is>
          <t>現地191名（定員250名）とリモート999名（定員1,000名）の合計。connpassの表示</t>
        </is>
      </c>
      <c r="T428" s="10" t="inlineStr">
        <is>
          <t>自律型エージェントによるAI駆動開発がテーマ。「開発以外の業務も爆速化」など、非開発業務での活用も扱った。</t>
        </is>
      </c>
      <c r="U428" s="15" t="inlineStr">
        <is>
          <t>https://aid.connpass.com/event/402949/</t>
        </is>
      </c>
      <c r="V428" s="10" t="n"/>
      <c r="W428" s="10" t="inlineStr">
        <is>
          <t>個別確認</t>
        </is>
      </c>
      <c r="X428" s="10" t="n"/>
    </row>
    <row r="429">
      <c r="A429" s="10" t="n">
        <v>428</v>
      </c>
      <c r="B429" s="24" t="n">
        <v>46262</v>
      </c>
      <c r="C429" s="24" t="n">
        <v>46262</v>
      </c>
      <c r="D429" s="10">
        <f>MONTH(B429)&amp;"月"</f>
        <v/>
      </c>
      <c r="E429" s="12" t="n">
        <v>1</v>
      </c>
      <c r="F429" s="10" t="n"/>
      <c r="G429" s="10" t="inlineStr">
        <is>
          <t>Claude Code業務自動化ワークショップ</t>
        </is>
      </c>
      <c r="H429" s="10" t="inlineStr">
        <is>
          <t>スマイルアップ合資会社</t>
        </is>
      </c>
      <c r="I429" s="10" t="n"/>
      <c r="J429" s="10" t="inlineStr">
        <is>
          <t>TECH PLAY</t>
        </is>
      </c>
      <c r="K429" s="10" t="inlineStr">
        <is>
          <t>オンライン</t>
        </is>
      </c>
      <c r="L429" s="10" t="n"/>
      <c r="M429" s="10" t="inlineStr">
        <is>
          <t>生産性向上・業務効率化</t>
        </is>
      </c>
      <c r="N429" s="10" t="inlineStr">
        <is>
          <t>AIエージェント</t>
        </is>
      </c>
      <c r="O429" s="12" t="inlineStr">
        <is>
          <t>◎</t>
        </is>
      </c>
      <c r="P429" s="13" t="n"/>
      <c r="Q429" s="12" t="inlineStr">
        <is>
          <t>非公開</t>
        </is>
      </c>
      <c r="R429" s="14" t="n">
        <v>20</v>
      </c>
      <c r="S429" s="10" t="n"/>
      <c r="T429" s="10" t="inlineStr">
        <is>
          <t>イベントタイトルイベントタイトルイベントタイトル 概要 AIに仕事を任せる時代へ ClaudeCode業務自動化ワークショップ【参加無料】 「AIは使っている。でも、仕事はそこまで変わっていない。」 そんな方に向けた実践型セミナーです。 ChatGPTやClaudeで文章を作ったり質問をしたりするだけでは、AIの力を十分に活かせていません。 本当に業務が変わるのは、 AIに仕事を任せられるようになったとき。 本セミナーでは、生成AI「C</t>
        </is>
      </c>
      <c r="U429" s="15" t="inlineStr">
        <is>
          <t>https://techplay.jp/event/999550</t>
        </is>
      </c>
      <c r="V429" s="10" t="n"/>
      <c r="W429" s="10" t="inlineStr">
        <is>
          <t>タイトル一致</t>
        </is>
      </c>
      <c r="X429" s="10" t="n"/>
    </row>
    <row r="430">
      <c r="A430" s="10" t="n">
        <v>429</v>
      </c>
      <c r="B430" s="24" t="n">
        <v>46262</v>
      </c>
      <c r="C430" s="24" t="n">
        <v>46280</v>
      </c>
      <c r="D430" s="10">
        <f>MONTH(B430)&amp;"月"</f>
        <v/>
      </c>
      <c r="E430" s="12" t="n">
        <v>1</v>
      </c>
      <c r="F430" s="10" t="n"/>
      <c r="G430" s="10" t="inlineStr">
        <is>
          <t>freee Advisor Day 2026「その業務、AIに預けて。その思考、もっと自由に。」</t>
        </is>
      </c>
      <c r="H430" s="10" t="inlineStr">
        <is>
          <t>freee株式会社</t>
        </is>
      </c>
      <c r="I430" s="10" t="inlineStr">
        <is>
          <t>Anthropic Japanが登壇</t>
        </is>
      </c>
      <c r="J430" s="10" t="inlineStr">
        <is>
          <t>個別調査（公式サイト・PR TIMES等）</t>
        </is>
      </c>
      <c r="K430" s="10" t="inlineStr">
        <is>
          <t>会場</t>
        </is>
      </c>
      <c r="L430" s="10" t="inlineStr">
        <is>
          <t>福岡国際会議場（8/28）、うめきたSOUTHホール（9/3）、高輪ゲートウェイコンベンションセンター（9/15）</t>
        </is>
      </c>
      <c r="M430" s="10" t="inlineStr">
        <is>
          <t>生産性向上・業務効率化</t>
        </is>
      </c>
      <c r="N430" s="10" t="inlineStr">
        <is>
          <t>両方（要確認）</t>
        </is>
      </c>
      <c r="O430" s="12" t="inlineStr">
        <is>
          <t>◎</t>
        </is>
      </c>
      <c r="P430" s="13" t="n"/>
      <c r="Q430" s="12" t="inlineStr">
        <is>
          <t>不明</t>
        </is>
      </c>
      <c r="R430" s="14" t="n"/>
      <c r="S430" s="10" t="inlineStr">
        <is>
          <t>今年の数値は未公表。前年は3都市合計で約2,000名が参加（公式LPの記載）</t>
        </is>
      </c>
      <c r="T430" s="10" t="inlineStr">
        <is>
          <t>会計事務所のAI活用がテーマ。士業向けのAIエージェント開発基盤「freee Agent Hub」を体験できる。</t>
        </is>
      </c>
      <c r="U430" s="15" t="inlineStr">
        <is>
          <t>https://www.freee.co.jp/lp2/freee-advisor-day/</t>
        </is>
      </c>
      <c r="V430" s="15" t="inlineStr">
        <is>
          <t>https://corp.freee.co.jp/news/20260807freee_AIagent&amp;fAH.html</t>
        </is>
      </c>
      <c r="W430" s="10" t="inlineStr">
        <is>
          <t>個別確認</t>
        </is>
      </c>
      <c r="X430" s="10" t="inlineStr">
        <is>
          <t>MCPを扱ったかどうかは関連リリースからの推測</t>
        </is>
      </c>
    </row>
    <row r="431">
      <c r="A431" s="10" t="n">
        <v>430</v>
      </c>
      <c r="B431" s="24" t="n">
        <v>46262</v>
      </c>
      <c r="C431" s="24" t="n">
        <v>46262</v>
      </c>
      <c r="D431" s="10">
        <f>MONTH(B431)&amp;"月"</f>
        <v/>
      </c>
      <c r="E431" s="12" t="n">
        <v>1</v>
      </c>
      <c r="F431" s="10" t="n"/>
      <c r="G431" s="10" t="inlineStr">
        <is>
          <t>【8/28】第13回Roblox×AIで、自分だけの ゲームを作ろう！ 最寄駅：南与野駅・与野本町駅</t>
        </is>
      </c>
      <c r="H431" s="10" t="inlineStr">
        <is>
          <t>gameschool</t>
        </is>
      </c>
      <c r="I431" s="10" t="n"/>
      <c r="J431" s="10" t="inlineStr">
        <is>
          <t>Doorkeeper</t>
        </is>
      </c>
      <c r="K431" s="10" t="inlineStr">
        <is>
          <t>会場</t>
        </is>
      </c>
      <c r="L431" s="10" t="inlineStr">
        <is>
          <t>路地裏GarageMarket 〒338-0013 埼玉県さいたま市中央区鈴谷７丁目７−３</t>
        </is>
      </c>
      <c r="M431" s="10" t="inlineStr">
        <is>
          <t>生産管理・製造・SCM</t>
        </is>
      </c>
      <c r="N431" s="10" t="inlineStr">
        <is>
          <t>AIエージェント</t>
        </is>
      </c>
      <c r="O431" s="12" t="inlineStr">
        <is>
          <t>○</t>
        </is>
      </c>
      <c r="P431" s="13" t="n">
        <v>3</v>
      </c>
      <c r="Q431" s="12" t="inlineStr">
        <is>
          <t>参加者数</t>
        </is>
      </c>
      <c r="R431" s="14" t="n">
        <v>7</v>
      </c>
      <c r="S431" s="10" t="n"/>
      <c r="T431" s="10" t="inlineStr">
        <is>
          <t xml:space="preserve"> こども向けゲームクリエイター体験会 🎮 ゲームクリエイターと一緒に、自分だけのゲームを作ろう 「遊ぶだけ」から「作る喜び」へ。 この体験会では、ゲーム業界歴20年以上のプロクリエイターと一緒に、企画から完成まで「自分のゲーム」を作ります。 これからの時代は、ただ遊ぶだけでなく「自分で作って届ける力」が大きな武器になります。 📊 安心してご参加いただけます ゲーム制作20年以上 のプロが指導 参加した 3人に1人 がリピート 9割 が「</t>
        </is>
      </c>
      <c r="U431" s="15" t="inlineStr">
        <is>
          <t>https://gameschool.doorkeeper.jp/events/198459</t>
        </is>
      </c>
      <c r="V431" s="10" t="n"/>
      <c r="W431" s="10" t="inlineStr">
        <is>
          <t>本文一致</t>
        </is>
      </c>
      <c r="X431" s="10" t="n"/>
    </row>
    <row r="432">
      <c r="A432" s="10" t="n">
        <v>431</v>
      </c>
      <c r="B432" s="24" t="n">
        <v>46262</v>
      </c>
      <c r="C432" s="24" t="n">
        <v>46262</v>
      </c>
      <c r="D432" s="10">
        <f>MONTH(B432)&amp;"月"</f>
        <v/>
      </c>
      <c r="E432" s="12" t="n">
        <v>1</v>
      </c>
      <c r="F432" s="10" t="n"/>
      <c r="G432" s="10" t="inlineStr">
        <is>
          <t>【生成AIでコードは書けるのに】なぜ社内の業務アプリ開発は進まないのか？ ～コード生成だけでは足りない、社内システムとの接続から実行・運用までをRetoolで実現～</t>
        </is>
      </c>
      <c r="H432" s="10" t="inlineStr">
        <is>
          <t>株式会社GxP</t>
        </is>
      </c>
      <c r="I432" s="10" t="inlineStr">
        <is>
          <t>マジセミ株式会社</t>
        </is>
      </c>
      <c r="J432" s="10" t="inlineStr">
        <is>
          <t>Doorkeeper</t>
        </is>
      </c>
      <c r="K432" s="10" t="inlineStr">
        <is>
          <t>不明</t>
        </is>
      </c>
      <c r="L432" s="10" t="n"/>
      <c r="M432" s="10" t="inlineStr">
        <is>
          <t>生産性向上・業務効率化</t>
        </is>
      </c>
      <c r="N432" s="10" t="inlineStr">
        <is>
          <t>AIエージェント</t>
        </is>
      </c>
      <c r="O432" s="12" t="inlineStr">
        <is>
          <t>○</t>
        </is>
      </c>
      <c r="P432" s="13" t="n">
        <v>1</v>
      </c>
      <c r="Q432" s="12" t="inlineStr">
        <is>
          <t>参加者数</t>
        </is>
      </c>
      <c r="R432" s="14" t="n">
        <v>1</v>
      </c>
      <c r="S432" s="10" t="n"/>
      <c r="T432"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生成AIの進化で、業務アプリ開発への期待が高まっている 生成AIの進化により、自然言語で指示するだけで、アプリケーションの画面やコードを短時間で生成できるようになりました。 これまで開発部門や外部ベンダ</t>
        </is>
      </c>
      <c r="U432" s="15" t="inlineStr">
        <is>
          <t>https://majisemi-dev.doorkeeper.jp/events/198507</t>
        </is>
      </c>
      <c r="V432" s="10" t="n"/>
      <c r="W432" s="10" t="inlineStr">
        <is>
          <t>本文一致</t>
        </is>
      </c>
      <c r="X432" s="10" t="n"/>
    </row>
    <row r="433">
      <c r="A433" s="10" t="n">
        <v>432</v>
      </c>
      <c r="B433" s="24" t="n">
        <v>46262</v>
      </c>
      <c r="C433" s="24" t="n">
        <v>46262</v>
      </c>
      <c r="D433" s="10">
        <f>MONTH(B433)&amp;"月"</f>
        <v/>
      </c>
      <c r="E433" s="12" t="n">
        <v>1</v>
      </c>
      <c r="F433" s="10" t="n"/>
      <c r="G433" s="10" t="inlineStr">
        <is>
          <t>【製造業向け】現場改革＆DX推進ウェビナー！AI導入を全社DXにつなげるには？</t>
        </is>
      </c>
      <c r="H433" s="10" t="inlineStr">
        <is>
          <t>株式会社アイスマイリー</t>
        </is>
      </c>
      <c r="I433" s="10" t="n"/>
      <c r="J433" s="10" t="inlineStr">
        <is>
          <t>個別調査（公式サイト・PR TIMES等）</t>
        </is>
      </c>
      <c r="K433" s="10" t="inlineStr">
        <is>
          <t>オンライン</t>
        </is>
      </c>
      <c r="L433" s="10" t="n"/>
      <c r="M433" s="10" t="inlineStr">
        <is>
          <t>生産管理・製造・SCM</t>
        </is>
      </c>
      <c r="N433" s="10" t="inlineStr">
        <is>
          <t>AIエージェント（扱いは小さい）</t>
        </is>
      </c>
      <c r="O433" s="12" t="inlineStr">
        <is>
          <t>◎</t>
        </is>
      </c>
      <c r="P433" s="13" t="n"/>
      <c r="Q433" s="12" t="inlineStr">
        <is>
          <t>不明</t>
        </is>
      </c>
      <c r="R433" s="14" t="n"/>
      <c r="S433" s="10" t="n"/>
      <c r="T433" s="10" t="inlineStr">
        <is>
          <t>トラブルデータのAI活用、品質の作り込み、全社DXの進め方を紹介する。</t>
        </is>
      </c>
      <c r="U433" s="15" t="inlineStr">
        <is>
          <t>https://aismiley.co.jp/ai_news/20260828webinar/</t>
        </is>
      </c>
      <c r="V433" s="10" t="n"/>
      <c r="W433" s="10" t="inlineStr">
        <is>
          <t>個別確認</t>
        </is>
      </c>
      <c r="X433" s="10" t="inlineStr">
        <is>
          <t>AIエージェントはテーマの中心ではない</t>
        </is>
      </c>
    </row>
    <row r="434">
      <c r="A434" s="10" t="n">
        <v>433</v>
      </c>
      <c r="B434" s="24" t="n">
        <v>46262</v>
      </c>
      <c r="C434" s="24" t="n">
        <v>46262</v>
      </c>
      <c r="D434" s="10">
        <f>MONTH(B434)&amp;"月"</f>
        <v/>
      </c>
      <c r="E434" s="12" t="n">
        <v>1</v>
      </c>
      <c r="F434" s="10" t="n"/>
      <c r="G434" s="10" t="inlineStr">
        <is>
          <t>コーディングエージェントを使った最新の開発技法</t>
        </is>
      </c>
      <c r="H434" s="10" t="inlineStr">
        <is>
          <t>アポロ株式会社</t>
        </is>
      </c>
      <c r="I434" s="10" t="n"/>
      <c r="J434" s="10" t="inlineStr">
        <is>
          <t>connpass</t>
        </is>
      </c>
      <c r="K434" s="10" t="inlineStr">
        <is>
          <t>オンライン</t>
        </is>
      </c>
      <c r="L434" s="10" t="inlineStr">
        <is>
          <t>オンライン</t>
        </is>
      </c>
      <c r="M434" s="10" t="inlineStr">
        <is>
          <t>開発生産性</t>
        </is>
      </c>
      <c r="N434" s="10" t="inlineStr">
        <is>
          <t>AIエージェント</t>
        </is>
      </c>
      <c r="O434" s="12" t="inlineStr">
        <is>
          <t>○</t>
        </is>
      </c>
      <c r="P434" s="13" t="n">
        <v>0</v>
      </c>
      <c r="Q434" s="12" t="inlineStr">
        <is>
          <t>参加者数</t>
        </is>
      </c>
      <c r="R434" s="14" t="n">
        <v>100</v>
      </c>
      <c r="S434" s="10" t="n"/>
      <c r="T434" s="10" t="n"/>
      <c r="U434" s="15" t="inlineStr">
        <is>
          <t>https://apol2020.connpass.com/event/403011/</t>
        </is>
      </c>
      <c r="V434" s="10" t="n"/>
      <c r="W434" s="10" t="inlineStr">
        <is>
          <t>タイトル一致</t>
        </is>
      </c>
      <c r="X434" s="10" t="n"/>
    </row>
    <row r="435">
      <c r="A435" s="10" t="n">
        <v>434</v>
      </c>
      <c r="B435" s="24" t="n">
        <v>46262</v>
      </c>
      <c r="C435" s="24" t="n">
        <v>46262</v>
      </c>
      <c r="D435" s="10">
        <f>MONTH(B435)&amp;"月"</f>
        <v/>
      </c>
      <c r="E435" s="12" t="n">
        <v>1</v>
      </c>
      <c r="F435" s="10" t="n"/>
      <c r="G435" s="10" t="inlineStr">
        <is>
          <t>初めてのAI エージェント体験会 (オンライン) - GDGoC 東京都立大 [無料]</t>
        </is>
      </c>
      <c r="H435" s="10" t="inlineStr">
        <is>
          <t>Google DGoC (GDSC) Tokyo Metropolitan University</t>
        </is>
      </c>
      <c r="I435" s="10" t="n"/>
      <c r="J435" s="10" t="inlineStr">
        <is>
          <t>connpass</t>
        </is>
      </c>
      <c r="K435" s="10" t="inlineStr">
        <is>
          <t>オンライン</t>
        </is>
      </c>
      <c r="L435" s="10" t="inlineStr">
        <is>
          <t>(場所未定)</t>
        </is>
      </c>
      <c r="M435" s="10" t="inlineStr">
        <is>
          <t>技術・AI全般</t>
        </is>
      </c>
      <c r="N435" s="10" t="inlineStr">
        <is>
          <t>AIエージェント</t>
        </is>
      </c>
      <c r="O435" s="12" t="inlineStr">
        <is>
          <t>○</t>
        </is>
      </c>
      <c r="P435" s="13" t="n">
        <v>15</v>
      </c>
      <c r="Q435" s="12" t="inlineStr">
        <is>
          <t>参加者数</t>
        </is>
      </c>
      <c r="R435" s="14" t="n">
        <v>100</v>
      </c>
      <c r="S435" s="10" t="n"/>
      <c r="T435" s="10" t="n"/>
      <c r="U435" s="15" t="inlineStr">
        <is>
          <t>https://gdsc-tmu.connpass.com/event/401139/</t>
        </is>
      </c>
      <c r="V435" s="10" t="n"/>
      <c r="W435" s="10" t="inlineStr">
        <is>
          <t>タイトル一致</t>
        </is>
      </c>
      <c r="X435" s="10" t="n"/>
    </row>
    <row r="436">
      <c r="A436" s="10" t="n">
        <v>435</v>
      </c>
      <c r="B436" s="24" t="n">
        <v>46262</v>
      </c>
      <c r="C436" s="24" t="n">
        <v>46262</v>
      </c>
      <c r="D436" s="10">
        <f>MONTH(B436)&amp;"月"</f>
        <v/>
      </c>
      <c r="E436" s="12" t="n">
        <v>1</v>
      </c>
      <c r="F436" s="10" t="n"/>
      <c r="G436" s="10" t="inlineStr">
        <is>
          <t>持続可能な組織戦略の要ー AX時代に求められる階層別人材育成と評価制度</t>
        </is>
      </c>
      <c r="H436" s="10" t="inlineStr">
        <is>
          <t>株式会社STANDARD</t>
        </is>
      </c>
      <c r="I436" s="10" t="n"/>
      <c r="J436" s="10" t="inlineStr">
        <is>
          <t>TECH PLAY</t>
        </is>
      </c>
      <c r="K436" s="10" t="inlineStr">
        <is>
          <t>オンライン</t>
        </is>
      </c>
      <c r="L436" s="10" t="n"/>
      <c r="M436" s="10" t="inlineStr">
        <is>
          <t>生産性向上・業務効率化</t>
        </is>
      </c>
      <c r="N436" s="10" t="inlineStr">
        <is>
          <t>AIエージェント</t>
        </is>
      </c>
      <c r="O436" s="12" t="inlineStr">
        <is>
          <t>○</t>
        </is>
      </c>
      <c r="P436" s="13" t="n"/>
      <c r="Q436" s="12" t="inlineStr">
        <is>
          <t>非公開</t>
        </is>
      </c>
      <c r="R436" s="14" t="n">
        <v>100</v>
      </c>
      <c r="S436" s="10" t="n"/>
      <c r="T436" s="10" t="inlineStr">
        <is>
          <t>～セミナー概要～ AIエージェントの台頭がトリガーとなり、AI活用（AX）を前提とした組織づくりが本格的に問われ始めています。 しかし多くの企業では、「DX/AX人材」の定義が曖昧なまま研修や制度設計が先行し、”誰に・何を・どのレベルまで”求めるのかが人事要件・昇格要件に落とし込まれていないという課題を抱えています。 本セミナーでは、1,500社以上のDX/AX支援実績をもとに、STANDARDが考えるAX時代の組織に必要な階層別スキル</t>
        </is>
      </c>
      <c r="U436" s="15" t="inlineStr">
        <is>
          <t>https://techplay.jp/event/999447</t>
        </is>
      </c>
      <c r="V436" s="10" t="n"/>
      <c r="W436" s="10" t="inlineStr">
        <is>
          <t>本文一致</t>
        </is>
      </c>
      <c r="X436" s="10" t="n"/>
    </row>
    <row r="437">
      <c r="A437" s="10" t="n">
        <v>436</v>
      </c>
      <c r="B437" s="24" t="n">
        <v>46262</v>
      </c>
      <c r="C437" s="24" t="n">
        <v>46262</v>
      </c>
      <c r="D437" s="10">
        <f>MONTH(B437)&amp;"月"</f>
        <v/>
      </c>
      <c r="E437" s="12" t="n">
        <v>1</v>
      </c>
      <c r="F437" s="10" t="n"/>
      <c r="G437" s="10" t="inlineStr">
        <is>
          <t>特許検索競技大会三分野ゴールド制覇賞受賞者が教える！生成AI×MCPサーバーによる「特許調査」「明細書作成」実践演習セミナーを東京で開催（8月28日・9月3日）</t>
        </is>
      </c>
      <c r="H437" s="10" t="inlineStr">
        <is>
          <t>株式会社AI Samurai</t>
        </is>
      </c>
      <c r="I437" s="10" t="n"/>
      <c r="J437" s="10" t="inlineStr">
        <is>
          <t>PR TIMES</t>
        </is>
      </c>
      <c r="K437" s="10" t="inlineStr">
        <is>
          <t>offline</t>
        </is>
      </c>
      <c r="L437" s="10" t="inlineStr">
        <is>
          <t>大手町ビル4階 FINOLABイベントスペース</t>
        </is>
      </c>
      <c r="M437" s="10" t="inlineStr">
        <is>
          <t>生産性向上・業務効率化</t>
        </is>
      </c>
      <c r="N437" s="10" t="inlineStr">
        <is>
          <t>MCP</t>
        </is>
      </c>
      <c r="O437" s="12" t="inlineStr">
        <is>
          <t>◎</t>
        </is>
      </c>
      <c r="P437" s="13" t="n"/>
      <c r="Q437" s="12" t="inlineStr">
        <is>
          <t>定員</t>
        </is>
      </c>
      <c r="R437" s="14" t="n">
        <v>30</v>
      </c>
      <c r="S437" s="10" t="n"/>
      <c r="T437" s="10" t="inlineStr">
        <is>
          <t>株式会社AI Samurai（本社：東京都千代田区、代表取締役：白坂 一、以下「当社」）は、当社が提供する「AI Samurai MCPサーバー」と生成AIツール（Copilot Studio、Claude Desktop、ChatGPT・Codex）を組み合わせ、特許調査および特許明細書作成を実際に手を動かして体験いただく実践演習セミナーを、2026年8月28日（金）・9月3日（木）に東京で開催いたします。講師陣には、特許検索競技大会</t>
        </is>
      </c>
      <c r="U437" s="15" t="inlineStr">
        <is>
          <t>https://prtimes.jp/main/html/rd/p/000000304.000021559.html</t>
        </is>
      </c>
      <c r="V437" s="10" t="n"/>
      <c r="W437" s="10" t="inlineStr">
        <is>
          <t>タイトル一致</t>
        </is>
      </c>
      <c r="X437" s="10" t="n"/>
    </row>
    <row r="438">
      <c r="A438" s="10" t="n">
        <v>437</v>
      </c>
      <c r="B438" s="24" t="n">
        <v>46263</v>
      </c>
      <c r="C438" s="24" t="n">
        <v>46263</v>
      </c>
      <c r="D438" s="10">
        <f>MONTH(B438)&amp;"月"</f>
        <v/>
      </c>
      <c r="E438" s="12" t="n">
        <v>1</v>
      </c>
      <c r="F438" s="10" t="n"/>
      <c r="G438" s="10" t="inlineStr">
        <is>
          <t>8/29 AIエージェントで体験するAIコーディング ハンズオン</t>
        </is>
      </c>
      <c r="H438" s="10" t="inlineStr">
        <is>
          <t>とことんDevOps勉強会</t>
        </is>
      </c>
      <c r="I438" s="10" t="n"/>
      <c r="J438" s="10" t="inlineStr">
        <is>
          <t>connpass</t>
        </is>
      </c>
      <c r="K438" s="10" t="inlineStr">
        <is>
          <t>会場</t>
        </is>
      </c>
      <c r="L438" s="10" t="inlineStr">
        <is>
          <t>日本工学院専門学校 蒲田キャンパス</t>
        </is>
      </c>
      <c r="M438" s="10" t="inlineStr">
        <is>
          <t>開発生産性</t>
        </is>
      </c>
      <c r="N438" s="10" t="inlineStr">
        <is>
          <t>AIエージェント</t>
        </is>
      </c>
      <c r="O438" s="12" t="inlineStr">
        <is>
          <t>○</t>
        </is>
      </c>
      <c r="P438" s="13" t="n">
        <v>11</v>
      </c>
      <c r="Q438" s="12" t="inlineStr">
        <is>
          <t>参加者数</t>
        </is>
      </c>
      <c r="R438" s="14" t="n">
        <v>16</v>
      </c>
      <c r="S438" s="10" t="n"/>
      <c r="T438" s="10" t="n"/>
      <c r="U438" s="15" t="inlineStr">
        <is>
          <t>https://devops-study.connpass.com/event/402331/</t>
        </is>
      </c>
      <c r="V438" s="10" t="n"/>
      <c r="W438" s="10" t="inlineStr">
        <is>
          <t>タイトル一致</t>
        </is>
      </c>
      <c r="X438" s="10" t="n"/>
    </row>
    <row r="439">
      <c r="A439" s="10" t="n">
        <v>438</v>
      </c>
      <c r="B439" s="24" t="n">
        <v>46263</v>
      </c>
      <c r="C439" s="24" t="n">
        <v>46263</v>
      </c>
      <c r="D439" s="10">
        <f>MONTH(B439)&amp;"月"</f>
        <v/>
      </c>
      <c r="E439" s="12" t="n">
        <v>1</v>
      </c>
      <c r="F439" s="10" t="n"/>
      <c r="G439" s="10" t="inlineStr">
        <is>
          <t>【WACA近畿支部主催】フォローアップ試験対策講座（ウェブ解析士、上級ウェブ解析士）〜2027年も資格維持するために〜&amp;納涼会</t>
        </is>
      </c>
      <c r="H439" s="10" t="inlineStr">
        <is>
          <t>web-mining</t>
        </is>
      </c>
      <c r="I439" s="10" t="n"/>
      <c r="J439" s="10" t="inlineStr">
        <is>
          <t>Doorkeeper</t>
        </is>
      </c>
      <c r="K439" s="10" t="inlineStr">
        <is>
          <t>不明</t>
        </is>
      </c>
      <c r="L439" s="10" t="n"/>
      <c r="M439" s="10" t="inlineStr">
        <is>
          <t>営業・マーケ・CS</t>
        </is>
      </c>
      <c r="N439" s="10" t="inlineStr">
        <is>
          <t>AIエージェント</t>
        </is>
      </c>
      <c r="O439" s="12" t="inlineStr">
        <is>
          <t>○</t>
        </is>
      </c>
      <c r="P439" s="13" t="n">
        <v>50</v>
      </c>
      <c r="Q439" s="12" t="inlineStr">
        <is>
          <t>参加者数</t>
        </is>
      </c>
      <c r="R439" s="14" t="n">
        <v>50</v>
      </c>
      <c r="S439" s="10" t="n"/>
      <c r="T439" s="10" t="inlineStr">
        <is>
          <t xml:space="preserve"> セミナー概要 第一部テーマ：データを求めた先に、見えてきたもの 講師：合同会社一空ブランディング 代表 浪岡 泰枝氏 第二部：フォローアップ試験対策講座（ウェブ解析士、上級ウェブ解析士） 講師（ウェブ解析士）：RIコンサルティング株式会社 代表取締役 稲葉 修久氏 講師（上級ウェブ解析士）：株式会社トモシビ 代表取締役 石本 憲貴氏 第１部 データを求めた先に、見えてきたもの 講師： 浪岡 泰枝氏 画面の向こうにいるお客さんを知りたく</t>
        </is>
      </c>
      <c r="U439" s="15" t="inlineStr">
        <is>
          <t>https://web-mining.doorkeeper.jp/events/198274</t>
        </is>
      </c>
      <c r="V439" s="10" t="n"/>
      <c r="W439" s="10" t="inlineStr">
        <is>
          <t>本文一致</t>
        </is>
      </c>
      <c r="X439" s="10" t="n"/>
    </row>
    <row r="440">
      <c r="A440" s="10" t="n">
        <v>439</v>
      </c>
      <c r="B440" s="24" t="n">
        <v>46263</v>
      </c>
      <c r="C440" s="24" t="n">
        <v>46263</v>
      </c>
      <c r="D440" s="10">
        <f>MONTH(B440)&amp;"月"</f>
        <v/>
      </c>
      <c r="E440" s="12" t="n">
        <v>1</v>
      </c>
      <c r="F440" s="10" t="n"/>
      <c r="G440" s="10" t="inlineStr">
        <is>
          <t>【東京・銀座/少人数】非エンジニアのための Codex 入門——講師にその場で質問できる対面3時間</t>
        </is>
      </c>
      <c r="H440" s="10" t="inlineStr">
        <is>
          <t>株式会社AI Orchestra</t>
        </is>
      </c>
      <c r="I440" s="10" t="n"/>
      <c r="J440" s="10" t="inlineStr">
        <is>
          <t>こくちーずプロ</t>
        </is>
      </c>
      <c r="K440" s="10" t="inlineStr">
        <is>
          <t>オフライン（会場）</t>
        </is>
      </c>
      <c r="L440" s="10" t="inlineStr">
        <is>
          <t>銀座ユニーク貸会議室 5丁目店 G401 カンファレンスルーム 東京都中央区銀座5丁目14-6 2F</t>
        </is>
      </c>
      <c r="M440" s="10" t="inlineStr">
        <is>
          <t>生産性向上・業務効率化</t>
        </is>
      </c>
      <c r="N440" s="10" t="inlineStr">
        <is>
          <t>AIエージェント</t>
        </is>
      </c>
      <c r="O440" s="12" t="inlineStr">
        <is>
          <t>◎</t>
        </is>
      </c>
      <c r="P440" s="13" t="n"/>
      <c r="Q440" s="12" t="inlineStr">
        <is>
          <t>不明</t>
        </is>
      </c>
      <c r="R440" s="14" t="n"/>
      <c r="S440" s="10" t="n"/>
      <c r="T440" s="10" t="inlineStr">
        <is>
          <t>【対面・少人数開催】非エンジニアのための Codex 入門 in 銀座 ——講師にその場で質問しながら、"AIに仕事を任せる"最初の一歩を踏み出す3時間 オンラインセミナーを見て「なるほど」と思ったのに、 自分のパソコンでは、結局始められなかった——。 新しいツールの導入でいちばん多いつまずきは、 わからないことが出た瞬間に、聞ける人がいない ことです。 この会は、講師と同じ部屋で、その場で質問しながら進められる 少人数・対面 のCod</t>
        </is>
      </c>
      <c r="U440" s="15" t="inlineStr">
        <is>
          <t>https://www.kokuchpro.com/event/d42f60aa80c72bd890e666f79fb4326a/</t>
        </is>
      </c>
      <c r="V440" s="10" t="n"/>
      <c r="W440" s="10" t="inlineStr">
        <is>
          <t>タイトル一致</t>
        </is>
      </c>
      <c r="X440" s="10" t="n"/>
    </row>
    <row r="441">
      <c r="A441" s="10" t="n">
        <v>440</v>
      </c>
      <c r="B441" s="24" t="n">
        <v>46263</v>
      </c>
      <c r="C441" s="24" t="n">
        <v>46263</v>
      </c>
      <c r="D441" s="10">
        <f>MONTH(B441)&amp;"月"</f>
        <v/>
      </c>
      <c r="E441" s="12" t="n">
        <v>1</v>
      </c>
      <c r="F441" s="10" t="n"/>
      <c r="G441" s="10" t="inlineStr">
        <is>
          <t>月末の請求書30枚が、5分で終わる——Claude Codeが変える中小企業のバックオフィス</t>
        </is>
      </c>
      <c r="H441" s="10" t="inlineStr">
        <is>
          <t>株式会社ノヴァリス</t>
        </is>
      </c>
      <c r="I441" s="10" t="n"/>
      <c r="J441" s="10" t="inlineStr">
        <is>
          <t>TECH PLAY</t>
        </is>
      </c>
      <c r="K441" s="10" t="inlineStr">
        <is>
          <t>オンライン</t>
        </is>
      </c>
      <c r="L441" s="10" t="n"/>
      <c r="M441" s="10" t="inlineStr">
        <is>
          <t>生産性向上・業務効率化</t>
        </is>
      </c>
      <c r="N441" s="10" t="inlineStr">
        <is>
          <t>AIエージェント</t>
        </is>
      </c>
      <c r="O441" s="12" t="inlineStr">
        <is>
          <t>◎</t>
        </is>
      </c>
      <c r="P441" s="13" t="n">
        <v>1</v>
      </c>
      <c r="Q441" s="12" t="inlineStr">
        <is>
          <t>申込者数</t>
        </is>
      </c>
      <c r="R441" s="14" t="n">
        <v>10</v>
      </c>
      <c r="S441" s="10" t="n"/>
      <c r="T441" s="10" t="inlineStr">
        <is>
          <t>【経営者向けライブ実演】 参加無料 / オンライン / 60分（お昼休みに参加できます） 毎月末、同じ光景になっていませんか 25日を過ぎると、そわそわし始める。顧客リストとにらめっこしながら、請求書を1枚ずつ作る。宛名を確認して、金額を転記して、日付を直して——30枚作り終える頃には、半日が消えている。そのあとには売上の集計と、月次レポートが待っている。 経営者のあなたか、少人数の経理担当が、毎月必ずこの「締めの半日」に捕まる。人を増</t>
        </is>
      </c>
      <c r="U441" s="15" t="inlineStr">
        <is>
          <t>https://techplay.jp/event/999274</t>
        </is>
      </c>
      <c r="V441" s="10" t="n"/>
      <c r="W441" s="10" t="inlineStr">
        <is>
          <t>タイトル一致</t>
        </is>
      </c>
      <c r="X441" s="10" t="n"/>
    </row>
    <row r="442">
      <c r="A442" s="10" t="n">
        <v>441</v>
      </c>
      <c r="B442" s="24" t="n">
        <v>46264</v>
      </c>
      <c r="C442" s="24" t="n">
        <v>46264</v>
      </c>
      <c r="D442" s="10">
        <f>MONTH(B442)&amp;"月"</f>
        <v/>
      </c>
      <c r="E442" s="12" t="n">
        <v>1</v>
      </c>
      <c r="F442" s="10" t="n"/>
      <c r="G442" s="10" t="inlineStr">
        <is>
          <t>スマホから頼むと、PCの中でAIが動く — Claude Code × Discord 連携セミナー</t>
        </is>
      </c>
      <c r="H442" s="10" t="inlineStr">
        <is>
          <t>Claude Codeマスター</t>
        </is>
      </c>
      <c r="I442" s="10" t="n"/>
      <c r="J442" s="10" t="inlineStr">
        <is>
          <t>TECH PLAY</t>
        </is>
      </c>
      <c r="K442" s="10" t="inlineStr">
        <is>
          <t>会場</t>
        </is>
      </c>
      <c r="L442" s="10" t="inlineStr">
        <is>
          <t>ふれあい貸し会議室 上野No60 東京都台東区上野7-4-3 上野ビル3階 301号室</t>
        </is>
      </c>
      <c r="M442" s="10" t="inlineStr">
        <is>
          <t>開発生産性</t>
        </is>
      </c>
      <c r="N442" s="10" t="inlineStr">
        <is>
          <t>AIエージェント</t>
        </is>
      </c>
      <c r="O442" s="12" t="inlineStr">
        <is>
          <t>○</t>
        </is>
      </c>
      <c r="P442" s="13" t="n">
        <v>0</v>
      </c>
      <c r="Q442" s="12" t="inlineStr">
        <is>
          <t>参加者数</t>
        </is>
      </c>
      <c r="R442" s="14" t="n">
        <v>20</v>
      </c>
      <c r="S442" s="10" t="n"/>
      <c r="T442" s="10" t="inlineStr">
        <is>
          <t>スマホから「あれやっといて」と送ると、家に置いてあるパソコンの中でAIが動いて、 数分後に結果がチャットに返ってくる。 今回のセミナーでは、これをその場でつないで、実際に動かします。 題材は Claude Code と Discord の連携です。 ■ なぜ今、この話をするのか 生成AIの導入率は2023年の33びました (野村総合研究所・大企業を対象とした調査)。国内のAIシステム市場は2024年に 前年比+56.5%で1兆3,412</t>
        </is>
      </c>
      <c r="U442" s="15" t="inlineStr">
        <is>
          <t>https://techplay.jp/event/999269</t>
        </is>
      </c>
      <c r="V442" s="15" t="inlineStr">
        <is>
          <t>https://www.kokuchpro.com/event/dc9a0669c2b210188a9e5886b9e43266/</t>
        </is>
      </c>
      <c r="W442" s="10" t="inlineStr">
        <is>
          <t>タイトル一致</t>
        </is>
      </c>
      <c r="X442" s="10" t="n"/>
    </row>
    <row r="443">
      <c r="A443" s="10" t="n">
        <v>442</v>
      </c>
      <c r="B443" s="24" t="n">
        <v>46265</v>
      </c>
      <c r="C443" s="24" t="n">
        <v>46265</v>
      </c>
      <c r="D443" s="10">
        <f>MONTH(B443)&amp;"月"</f>
        <v/>
      </c>
      <c r="E443" s="12" t="n">
        <v>1</v>
      </c>
      <c r="F443" s="10" t="n"/>
      <c r="G443" s="10" t="inlineStr">
        <is>
          <t>BPStudy#228〜LLM・AIエージェントシステムベストプラクティス</t>
        </is>
      </c>
      <c r="H443" s="10" t="inlineStr">
        <is>
          <t>BPStudy</t>
        </is>
      </c>
      <c r="I443" s="10" t="n"/>
      <c r="J443" s="10" t="inlineStr">
        <is>
          <t>connpass</t>
        </is>
      </c>
      <c r="K443" s="10" t="inlineStr">
        <is>
          <t>オンライン</t>
        </is>
      </c>
      <c r="L443" s="10" t="inlineStr">
        <is>
          <t>オンライン</t>
        </is>
      </c>
      <c r="M443" s="10" t="inlineStr">
        <is>
          <t>技術・AI全般</t>
        </is>
      </c>
      <c r="N443" s="10" t="inlineStr">
        <is>
          <t>AIエージェント</t>
        </is>
      </c>
      <c r="O443" s="12" t="inlineStr">
        <is>
          <t>○</t>
        </is>
      </c>
      <c r="P443" s="13" t="n">
        <v>141</v>
      </c>
      <c r="Q443" s="12" t="inlineStr">
        <is>
          <t>参加者数</t>
        </is>
      </c>
      <c r="R443" s="14" t="n">
        <v>151</v>
      </c>
      <c r="S443" s="10" t="n"/>
      <c r="T443" s="10" t="n"/>
      <c r="U443" s="15" t="inlineStr">
        <is>
          <t>https://bpstudy.connpass.com/event/401476/</t>
        </is>
      </c>
      <c r="V443" s="10" t="n"/>
      <c r="W443" s="10" t="inlineStr">
        <is>
          <t>タイトル一致</t>
        </is>
      </c>
      <c r="X443" s="10" t="n"/>
    </row>
    <row r="444">
      <c r="A444" s="10" t="n">
        <v>443</v>
      </c>
      <c r="B444" s="24" t="n">
        <v>46265</v>
      </c>
      <c r="C444" s="24" t="n">
        <v>46289</v>
      </c>
      <c r="D444" s="10">
        <f>MONTH(B444)&amp;"月"</f>
        <v/>
      </c>
      <c r="E444" s="12" t="n">
        <v>1</v>
      </c>
      <c r="F444" s="10" t="n"/>
      <c r="G444" s="10" t="inlineStr">
        <is>
          <t>Copilot Studioで加速する業務効率化とAIエージェント活用（8/31・9/10・9/24ほか）</t>
        </is>
      </c>
      <c r="H444" s="10" t="inlineStr">
        <is>
          <t>テクバン株式会社</t>
        </is>
      </c>
      <c r="I444" s="10" t="n"/>
      <c r="J444" s="10" t="inlineStr">
        <is>
          <t>個別調査（公式サイト・PR TIMES等）</t>
        </is>
      </c>
      <c r="K444" s="10" t="inlineStr">
        <is>
          <t>オンライン</t>
        </is>
      </c>
      <c r="L444" s="10" t="inlineStr">
        <is>
          <t>各回20分</t>
        </is>
      </c>
      <c r="M444" s="10" t="inlineStr">
        <is>
          <t>生産性向上・業務効率化</t>
        </is>
      </c>
      <c r="N444" s="10" t="inlineStr">
        <is>
          <t>AIエージェント</t>
        </is>
      </c>
      <c r="O444" s="12" t="inlineStr">
        <is>
          <t>◎</t>
        </is>
      </c>
      <c r="P444" s="13" t="n">
        <v>50</v>
      </c>
      <c r="Q444" s="12" t="inlineStr">
        <is>
          <t>定員</t>
        </is>
      </c>
      <c r="R444" s="14" t="n">
        <v>50</v>
      </c>
      <c r="S444" s="10" t="inlineStr">
        <is>
          <t>各回の定員。10/6と10/20にも開催予定</t>
        </is>
      </c>
      <c r="T444" s="10" t="inlineStr">
        <is>
          <t>Copilot StudioでAIエージェントを作って業務を自動化する方法を、導入ステップと事例とともに解説する入門セミナー。</t>
        </is>
      </c>
      <c r="U444" s="15" t="inlineStr">
        <is>
          <t>https://www.techvan.co.jp/news/2026/08/0831_14webcopilotstudio.html</t>
        </is>
      </c>
      <c r="V444" s="10" t="n"/>
      <c r="W444" s="10" t="inlineStr">
        <is>
          <t>個別確認</t>
        </is>
      </c>
      <c r="X444" s="10" t="n"/>
    </row>
    <row r="445">
      <c r="A445" s="10" t="n">
        <v>444</v>
      </c>
      <c r="B445" s="24" t="n">
        <v>46265</v>
      </c>
      <c r="C445" s="24" t="n">
        <v>46267</v>
      </c>
      <c r="D445" s="10">
        <f>MONTH(B445)&amp;"月"</f>
        <v/>
      </c>
      <c r="E445" s="12" t="n">
        <v>3</v>
      </c>
      <c r="F445" s="10" t="inlineStr">
        <is>
          <t>08/31、09/01、09/02</t>
        </is>
      </c>
      <c r="G445" s="10" t="inlineStr">
        <is>
          <t>【Bet AI Day 2026 Pre-Event】AI Agent Talks丨活用</t>
        </is>
      </c>
      <c r="H445" s="10" t="inlineStr">
        <is>
          <t>LayerX</t>
        </is>
      </c>
      <c r="I445" s="10" t="n"/>
      <c r="J445" s="10" t="inlineStr">
        <is>
          <t>connpass</t>
        </is>
      </c>
      <c r="K445" s="10" t="inlineStr">
        <is>
          <t>オンライン</t>
        </is>
      </c>
      <c r="L445" s="10" t="inlineStr">
        <is>
          <t>オンライン</t>
        </is>
      </c>
      <c r="M445" s="10" t="inlineStr">
        <is>
          <t>技術・AI全般</t>
        </is>
      </c>
      <c r="N445" s="10" t="inlineStr">
        <is>
          <t>AIエージェント</t>
        </is>
      </c>
      <c r="O445" s="12" t="inlineStr">
        <is>
          <t>○</t>
        </is>
      </c>
      <c r="P445" s="13" t="n">
        <v>1088</v>
      </c>
      <c r="Q445" s="12" t="inlineStr">
        <is>
          <t>参加者数</t>
        </is>
      </c>
      <c r="R445" s="14" t="n"/>
      <c r="S445" s="10" t="inlineStr">
        <is>
          <t>全3回の合計</t>
        </is>
      </c>
      <c r="T445" s="10" t="n"/>
      <c r="U445" s="15" t="inlineStr">
        <is>
          <t>https://layerx.connpass.com/event/399945/</t>
        </is>
      </c>
      <c r="V445" s="10" t="n"/>
      <c r="W445" s="10" t="inlineStr">
        <is>
          <t>タイトル一致</t>
        </is>
      </c>
      <c r="X445" s="10" t="n"/>
    </row>
    <row r="446">
      <c r="A446" s="10" t="n">
        <v>445</v>
      </c>
      <c r="B446" s="24" t="n">
        <v>46266</v>
      </c>
      <c r="C446" s="24" t="n">
        <v>46266</v>
      </c>
      <c r="D446" s="10">
        <f>MONTH(B446)&amp;"月"</f>
        <v/>
      </c>
      <c r="E446" s="12" t="n">
        <v>1</v>
      </c>
      <c r="F446" s="10" t="n"/>
      <c r="G446" s="10" t="inlineStr">
        <is>
          <t>AIに任せられる仕事・任せられない仕事 ー Cowork時代の業務の切り分け方</t>
        </is>
      </c>
      <c r="H446" s="10" t="inlineStr">
        <is>
          <t>株式会社 LiberCraft</t>
        </is>
      </c>
      <c r="I446" s="10" t="n"/>
      <c r="J446" s="10" t="inlineStr">
        <is>
          <t>TECH PLAY</t>
        </is>
      </c>
      <c r="K446" s="10" t="inlineStr">
        <is>
          <t>オンライン</t>
        </is>
      </c>
      <c r="L446" s="10" t="n"/>
      <c r="M446" s="10" t="inlineStr">
        <is>
          <t>生産性向上・業務効率化</t>
        </is>
      </c>
      <c r="N446" s="10" t="inlineStr">
        <is>
          <t>AIエージェント</t>
        </is>
      </c>
      <c r="O446" s="12" t="inlineStr">
        <is>
          <t>◎</t>
        </is>
      </c>
      <c r="P446" s="13" t="n">
        <v>11</v>
      </c>
      <c r="Q446" s="12" t="inlineStr">
        <is>
          <t>申込者数</t>
        </is>
      </c>
      <c r="R446" s="14" t="n">
        <v>100</v>
      </c>
      <c r="S446" s="10" t="n"/>
      <c r="T446" s="10" t="inlineStr">
        <is>
          <t>━━━━━━━━━━━━━━━━━━━━━━━━━━━━━━━ 任せれば速いのは分かった でも、どこまで任せていいか線引きができない ━━━━━━━━━━━━━━━━━━━━━━━━━━━━━━━ ✓ 自部門のどの仕事をAIに任せてよいか、判断基準がない ✓ 任せた結果のトラブルが怖くて、結局何も任せられていない ✓ 逆に何でも任せて、あとから事故が起きないか不安 ✓ 「どこまで」を決める考え方を、部下やチームに説明できない もし一つで</t>
        </is>
      </c>
      <c r="U446" s="15" t="inlineStr">
        <is>
          <t>https://techplay.jp/event/998060</t>
        </is>
      </c>
      <c r="V446" s="10" t="n"/>
      <c r="W446" s="10" t="inlineStr">
        <is>
          <t>タイトル一致</t>
        </is>
      </c>
      <c r="X446" s="10" t="n"/>
    </row>
    <row r="447">
      <c r="A447" s="10" t="n">
        <v>446</v>
      </c>
      <c r="B447" s="24" t="n">
        <v>46266</v>
      </c>
      <c r="C447" s="24" t="n">
        <v>46266</v>
      </c>
      <c r="D447" s="10">
        <f>MONTH(B447)&amp;"月"</f>
        <v/>
      </c>
      <c r="E447" s="12" t="n">
        <v>1</v>
      </c>
      <c r="F447" s="10" t="n"/>
      <c r="G447" s="10" t="inlineStr">
        <is>
          <t>DroidKaigi 2026 Event Day Workshop (9/1)</t>
        </is>
      </c>
      <c r="H447" s="10" t="inlineStr">
        <is>
          <t>droidkaigi</t>
        </is>
      </c>
      <c r="I447" s="10" t="n"/>
      <c r="J447" s="10" t="inlineStr">
        <is>
          <t>Doorkeeper</t>
        </is>
      </c>
      <c r="K447" s="10" t="inlineStr">
        <is>
          <t>会場</t>
        </is>
      </c>
      <c r="L447" s="10" t="inlineStr">
        <is>
          <t>ベルサール渋谷ガーデン 〒150-0036 東京都渋谷区南平台町16-17 住友不動産渋谷ガーデンタワー １Ｆ</t>
        </is>
      </c>
      <c r="M447" s="10" t="inlineStr">
        <is>
          <t>技術・AI全般</t>
        </is>
      </c>
      <c r="N447" s="10" t="inlineStr">
        <is>
          <t>AIエージェント</t>
        </is>
      </c>
      <c r="O447" s="12" t="inlineStr">
        <is>
          <t>△</t>
        </is>
      </c>
      <c r="P447" s="13" t="n">
        <v>126</v>
      </c>
      <c r="Q447" s="12" t="inlineStr">
        <is>
          <t>参加者数</t>
        </is>
      </c>
      <c r="R447" s="14" t="n">
        <v>140</v>
      </c>
      <c r="S447" s="10" t="n"/>
      <c r="T447" s="10" t="inlineStr">
        <is>
          <t xml:space="preserve"> 開催概要 DroidKaigi 2026のEvent DayではDroidKaigi 2026のIn-Person参加者のみが参加申し込みできるハンズオン形式の学習コンテンツ（Workshop）を提供します。 DroidKaigi 2026のチケット をご購入の上、お申し込みください。 Workshopは参加可能な人数に限りがあります。お早めに申し込み下さい スカラーシッププログラム対象の方は別プログラムを用意しているためお申し込みい</t>
        </is>
      </c>
      <c r="U447" s="15" t="inlineStr">
        <is>
          <t>https://droidkaigi.doorkeeper.jp/events/198628</t>
        </is>
      </c>
      <c r="V447" s="10" t="n"/>
      <c r="W447" s="10" t="inlineStr">
        <is>
          <t>本文一致</t>
        </is>
      </c>
      <c r="X447" s="10" t="n"/>
    </row>
    <row r="448">
      <c r="A448" s="10" t="n">
        <v>447</v>
      </c>
      <c r="B448" s="24" t="n">
        <v>46266</v>
      </c>
      <c r="C448" s="24" t="n">
        <v>46266</v>
      </c>
      <c r="D448" s="10">
        <f>MONTH(B448)&amp;"月"</f>
        <v/>
      </c>
      <c r="E448" s="12" t="n">
        <v>1</v>
      </c>
      <c r="F448" s="10" t="n"/>
      <c r="G448" s="10" t="inlineStr">
        <is>
          <t>【9/1登壇】AIエージェントの本番運用｜実行基盤の作り方を解説（DATAFLUCT登壇）</t>
        </is>
      </c>
      <c r="H448" s="10" t="inlineStr">
        <is>
          <t>株式会社Innovation &amp; Co.</t>
        </is>
      </c>
      <c r="I448" s="10" t="n"/>
      <c r="J448" s="10" t="inlineStr">
        <is>
          <t>PR TIMES</t>
        </is>
      </c>
      <c r="K448" s="10" t="inlineStr">
        <is>
          <t>online</t>
        </is>
      </c>
      <c r="L448" s="10" t="inlineStr">
        <is>
          <t>オンライン</t>
        </is>
      </c>
      <c r="M448" s="10" t="inlineStr">
        <is>
          <t>生産性向上・業務効率化</t>
        </is>
      </c>
      <c r="N448" s="10" t="inlineStr">
        <is>
          <t>AIエージェント</t>
        </is>
      </c>
      <c r="O448" s="12" t="inlineStr">
        <is>
          <t>◎</t>
        </is>
      </c>
      <c r="P448" s="13" t="n"/>
      <c r="Q448" s="12" t="inlineStr">
        <is>
          <t>不明</t>
        </is>
      </c>
      <c r="R448" s="14" t="n"/>
      <c r="S448" s="10" t="n"/>
      <c r="T448" s="10" t="inlineStr">
        <is>
          <t>株式会社DATAFLUCT（本社所在地：東京都渋谷区、代表取締役CEO：久米村 隼人、以下「DATAFLUCT」）は、株式会社Innovation &amp; Co.が主催するオンライン展示会「ITトレンドEXPO2026 Summer」に、代表取締役CEOの久米村 隼人が登壇することをお知らせします。 講演は2026年9月1日（火）17:00～17:25に開催。テーマは「現場業務をAIエージェントにどこまで任せるか｜AIエージェント実行基盤の</t>
        </is>
      </c>
      <c r="U448" s="15" t="inlineStr">
        <is>
          <t>https://prtimes.jp/main/html/rd/p/000000366.000046062.html</t>
        </is>
      </c>
      <c r="V448" s="10" t="n"/>
      <c r="W448" s="10" t="inlineStr">
        <is>
          <t>タイトル一致</t>
        </is>
      </c>
      <c r="X448" s="10" t="n"/>
    </row>
    <row r="449">
      <c r="A449" s="10" t="n">
        <v>448</v>
      </c>
      <c r="B449" s="24" t="n">
        <v>46266</v>
      </c>
      <c r="C449" s="24" t="n">
        <v>46266</v>
      </c>
      <c r="D449" s="10">
        <f>MONTH(B449)&amp;"月"</f>
        <v/>
      </c>
      <c r="E449" s="12" t="n">
        <v>1</v>
      </c>
      <c r="F449" s="10" t="n"/>
      <c r="G449" s="10" t="inlineStr">
        <is>
          <t>【中堅・大企業向け】ベテランの暗黙知、異動や退職と一緒に消えていませんか？ AIヒアリングエージェントが判断の理由や例外対応を聞き出し、構造化して可視化する</t>
        </is>
      </c>
      <c r="H449" s="10" t="inlineStr">
        <is>
          <t>株式会社Kikuvi</t>
        </is>
      </c>
      <c r="I449" s="10" t="inlineStr">
        <is>
          <t>マジセミ株式会社</t>
        </is>
      </c>
      <c r="J449" s="10" t="inlineStr">
        <is>
          <t>Doorkeeper</t>
        </is>
      </c>
      <c r="K449" s="10" t="inlineStr">
        <is>
          <t>不明</t>
        </is>
      </c>
      <c r="L449" s="10" t="n"/>
      <c r="M449" s="10" t="inlineStr">
        <is>
          <t>営業・マーケ・CS</t>
        </is>
      </c>
      <c r="N449" s="10" t="inlineStr">
        <is>
          <t>AIエージェント</t>
        </is>
      </c>
      <c r="O449" s="12" t="inlineStr">
        <is>
          <t>◎</t>
        </is>
      </c>
      <c r="P449" s="13" t="n">
        <v>1</v>
      </c>
      <c r="Q449" s="12" t="inlineStr">
        <is>
          <t>参加者数</t>
        </is>
      </c>
      <c r="R449" s="14" t="n">
        <v>1</v>
      </c>
      <c r="S449" s="10" t="n"/>
      <c r="T449"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熟練者の退職が迫る中、引き継ぎ・OJTが属人的で技能承継が進まない 技術や経験が個人に蓄積されやすい現場系の業務を中心に、業種を問わずベテラン社員の定年退職が着実に進んでいます。 加えて、退職に至らない</t>
        </is>
      </c>
      <c r="U449" s="15" t="inlineStr">
        <is>
          <t>https://majisemi-technology.doorkeeper.jp/events/198618</t>
        </is>
      </c>
      <c r="V449" s="10" t="n"/>
      <c r="W449" s="10" t="inlineStr">
        <is>
          <t>タイトル一致</t>
        </is>
      </c>
      <c r="X449" s="10" t="n"/>
    </row>
    <row r="450">
      <c r="A450" s="10" t="n">
        <v>449</v>
      </c>
      <c r="B450" s="24" t="n">
        <v>46266</v>
      </c>
      <c r="C450" s="24" t="n">
        <v>46266</v>
      </c>
      <c r="D450" s="10">
        <f>MONTH(B450)&amp;"月"</f>
        <v/>
      </c>
      <c r="E450" s="12" t="n">
        <v>1</v>
      </c>
      <c r="F450" s="10" t="n"/>
      <c r="G450" s="10" t="inlineStr">
        <is>
          <t>データサイエンススクール129</t>
        </is>
      </c>
      <c r="H450" s="10" t="inlineStr">
        <is>
          <t>cireds</t>
        </is>
      </c>
      <c r="I450" s="10" t="n"/>
      <c r="J450" s="10" t="inlineStr">
        <is>
          <t>Doorkeeper</t>
        </is>
      </c>
      <c r="K450" s="10" t="inlineStr">
        <is>
          <t>不明</t>
        </is>
      </c>
      <c r="L450" s="10" t="n"/>
      <c r="M450" s="10" t="inlineStr">
        <is>
          <t>生産性向上・業務効率化</t>
        </is>
      </c>
      <c r="N450" s="10" t="inlineStr">
        <is>
          <t>AIエージェント</t>
        </is>
      </c>
      <c r="O450" s="12" t="inlineStr">
        <is>
          <t>○</t>
        </is>
      </c>
      <c r="P450" s="13" t="n">
        <v>45</v>
      </c>
      <c r="Q450" s="12" t="inlineStr">
        <is>
          <t>参加者数</t>
        </is>
      </c>
      <c r="R450" s="14" t="n">
        <v>66</v>
      </c>
      <c r="S450" s="10" t="n"/>
      <c r="T450" s="10" t="inlineStr">
        <is>
          <t xml:space="preserve"> データサイエンススクール 129 データ科学は科学研究の基本の一つであり、本学における数多くの研究活動において活用されています。このデータサイエンススクールは「数理・データサイエンス・AI教育の全国展開の推進」拠点大学の活動として、多くの学生がデータ科学の最前線について知ることができ、さらにデータ科学の手法について、その利用法を体験しながら実践的に学ぶことができる機会を提供するように企画いたしました。データ科学領域の最先端分野を基礎か</t>
        </is>
      </c>
      <c r="U450" s="15" t="inlineStr">
        <is>
          <t>https://cireds.doorkeeper.jp/events/198133</t>
        </is>
      </c>
      <c r="V450" s="10" t="n"/>
      <c r="W450" s="10" t="inlineStr">
        <is>
          <t>本文一致</t>
        </is>
      </c>
      <c r="X450" s="10" t="n"/>
    </row>
    <row r="451">
      <c r="A451" s="10" t="n">
        <v>450</v>
      </c>
      <c r="B451" s="24" t="n">
        <v>46266</v>
      </c>
      <c r="C451" s="24" t="n">
        <v>46266</v>
      </c>
      <c r="D451" s="10">
        <f>MONTH(B451)&amp;"月"</f>
        <v/>
      </c>
      <c r="E451" s="12" t="n">
        <v>1</v>
      </c>
      <c r="F451" s="10" t="n"/>
      <c r="G451" s="10" t="inlineStr">
        <is>
          <t>第１回 「AIエージェント時代の開発プロセスの変化について」わいわいするしゃけ</t>
        </is>
      </c>
      <c r="H451" s="10" t="inlineStr">
        <is>
          <t>しゃけ.tech</t>
        </is>
      </c>
      <c r="I451" s="10" t="n"/>
      <c r="J451" s="10" t="inlineStr">
        <is>
          <t>connpass</t>
        </is>
      </c>
      <c r="K451" s="10" t="inlineStr">
        <is>
          <t>会場</t>
        </is>
      </c>
      <c r="L451" s="10" t="inlineStr">
        <is>
          <t>東京都港区芝５丁目１３−１８ いちご三田ビル ８F</t>
        </is>
      </c>
      <c r="M451" s="10" t="inlineStr">
        <is>
          <t>開発生産性</t>
        </is>
      </c>
      <c r="N451" s="10" t="inlineStr">
        <is>
          <t>AIエージェント</t>
        </is>
      </c>
      <c r="O451" s="12" t="inlineStr">
        <is>
          <t>○</t>
        </is>
      </c>
      <c r="P451" s="13" t="n">
        <v>28</v>
      </c>
      <c r="Q451" s="12" t="inlineStr">
        <is>
          <t>参加者数</t>
        </is>
      </c>
      <c r="R451" s="14" t="n">
        <v>40</v>
      </c>
      <c r="S451" s="10" t="n"/>
      <c r="T451" s="10" t="n"/>
      <c r="U451" s="15" t="inlineStr">
        <is>
          <t>https://shaketech.connpass.com/event/401907/</t>
        </is>
      </c>
      <c r="V451" s="10" t="n"/>
      <c r="W451" s="10" t="inlineStr">
        <is>
          <t>タイトル一致</t>
        </is>
      </c>
      <c r="X451" s="10" t="n"/>
    </row>
    <row r="452">
      <c r="A452" s="10" t="n">
        <v>451</v>
      </c>
      <c r="B452" s="24" t="n">
        <v>46267</v>
      </c>
      <c r="C452" s="24" t="n">
        <v>46267</v>
      </c>
      <c r="D452" s="10">
        <f>MONTH(B452)&amp;"月"</f>
        <v/>
      </c>
      <c r="E452" s="12" t="n">
        <v>1</v>
      </c>
      <c r="F452" s="10" t="n"/>
      <c r="G452" s="10" t="inlineStr">
        <is>
          <t>AIエージェントキャッチアップ #90 - Agent Plugins</t>
        </is>
      </c>
      <c r="H452" s="10" t="inlineStr">
        <is>
          <t>ジェネラティブエージェンツ / Generative Agents</t>
        </is>
      </c>
      <c r="I452" s="10" t="n"/>
      <c r="J452" s="10" t="inlineStr">
        <is>
          <t>connpass</t>
        </is>
      </c>
      <c r="K452" s="10" t="inlineStr">
        <is>
          <t>オンライン</t>
        </is>
      </c>
      <c r="L452" s="10" t="inlineStr">
        <is>
          <t>オンライン</t>
        </is>
      </c>
      <c r="M452" s="10" t="inlineStr">
        <is>
          <t>技術・AI全般</t>
        </is>
      </c>
      <c r="N452" s="10" t="inlineStr">
        <is>
          <t>AIエージェント</t>
        </is>
      </c>
      <c r="O452" s="12" t="inlineStr">
        <is>
          <t>○</t>
        </is>
      </c>
      <c r="P452" s="13" t="n">
        <v>60</v>
      </c>
      <c r="Q452" s="12" t="inlineStr">
        <is>
          <t>参加者数</t>
        </is>
      </c>
      <c r="R452" s="14" t="n">
        <v>200</v>
      </c>
      <c r="S452" s="10" t="n"/>
      <c r="T452" s="10" t="n"/>
      <c r="U452" s="15" t="inlineStr">
        <is>
          <t>https://generative-agents.connpass.com/event/404983/</t>
        </is>
      </c>
      <c r="V452" s="10" t="n"/>
      <c r="W452" s="10" t="inlineStr">
        <is>
          <t>タイトル一致</t>
        </is>
      </c>
      <c r="X452" s="10" t="n"/>
    </row>
    <row r="453">
      <c r="A453" s="10" t="n">
        <v>452</v>
      </c>
      <c r="B453" s="24" t="n">
        <v>46267</v>
      </c>
      <c r="C453" s="24" t="n">
        <v>46267</v>
      </c>
      <c r="D453" s="10">
        <f>MONTH(B453)&amp;"月"</f>
        <v/>
      </c>
      <c r="E453" s="12" t="n">
        <v>1</v>
      </c>
      <c r="F453" s="10" t="n"/>
      <c r="G453" s="10" t="inlineStr">
        <is>
          <t>AI活用の広がりに備えるセキュリティ、ネットワーク戦略 ～Netskope One AI Securityで考える次の一手～</t>
        </is>
      </c>
      <c r="H453" s="10" t="inlineStr">
        <is>
          <t>株式会社マクニカ</t>
        </is>
      </c>
      <c r="I453" s="10" t="n"/>
      <c r="J453" s="10" t="inlineStr">
        <is>
          <t>ZDNET Japan イベント</t>
        </is>
      </c>
      <c r="K453" s="10" t="inlineStr">
        <is>
          <t>オンライン</t>
        </is>
      </c>
      <c r="L453" s="10" t="inlineStr">
        <is>
          <t>WEB</t>
        </is>
      </c>
      <c r="M453" s="10" t="inlineStr">
        <is>
          <t>営業・マーケ・CS</t>
        </is>
      </c>
      <c r="N453" s="10" t="inlineStr">
        <is>
          <t>AIエージェント</t>
        </is>
      </c>
      <c r="O453" s="12" t="inlineStr">
        <is>
          <t>○</t>
        </is>
      </c>
      <c r="P453" s="13" t="n"/>
      <c r="Q453" s="12" t="inlineStr">
        <is>
          <t>不明</t>
        </is>
      </c>
      <c r="R453" s="14" t="n"/>
      <c r="S453" s="10" t="n"/>
      <c r="T453" s="10" t="inlineStr">
        <is>
          <t>開催場所： WEB 開催日： 2026-09-02 生成AIやAIエージェントの業務活用が急速に広がるなか、企業には利便性を損なわずにリスクを見極め、適切に制御する仕組みが求められています。 本セミナーでは情報漏えいやシャドーAI、AI固有の脅威といったAIセキュリティの観点を整理し、Netskope One AI Securityを軸とした可視化・制御の考え方をご紹介します。 あわせてAIを「守る対象」としてだけでなく「守りに活かす」</t>
        </is>
      </c>
      <c r="U453" s="15" t="inlineStr">
        <is>
          <t>https://japan.zdnet.com/event_info/30015062/</t>
        </is>
      </c>
      <c r="V453" s="10" t="n"/>
      <c r="W453" s="10" t="inlineStr">
        <is>
          <t>本文一致</t>
        </is>
      </c>
      <c r="X453" s="10" t="n"/>
    </row>
    <row r="454">
      <c r="A454" s="10" t="n">
        <v>453</v>
      </c>
      <c r="B454" s="24" t="n">
        <v>46267</v>
      </c>
      <c r="C454" s="24" t="n">
        <v>46267</v>
      </c>
      <c r="D454" s="10">
        <f>MONTH(B454)&amp;"月"</f>
        <v/>
      </c>
      <c r="E454" s="12" t="n">
        <v>1</v>
      </c>
      <c r="F454" s="10" t="n"/>
      <c r="G454" s="10" t="inlineStr">
        <is>
          <t>HubSpot AIエージェント実装ワークショップ</t>
        </is>
      </c>
      <c r="H454" s="10" t="inlineStr">
        <is>
          <t>HubSpot Japan</t>
        </is>
      </c>
      <c r="I454" s="10" t="inlineStr">
        <is>
          <t>株式会社100（共催）</t>
        </is>
      </c>
      <c r="J454" s="10" t="inlineStr">
        <is>
          <t>個別調査（公式サイト・PR TIMES等）</t>
        </is>
      </c>
      <c r="K454" s="10" t="inlineStr">
        <is>
          <t>会場</t>
        </is>
      </c>
      <c r="L454" s="10" t="inlineStr">
        <is>
          <t>渋谷ソラスタコンファレンス</t>
        </is>
      </c>
      <c r="M454" s="10" t="inlineStr">
        <is>
          <t>営業・マーケ・CS</t>
        </is>
      </c>
      <c r="N454" s="10" t="inlineStr">
        <is>
          <t>AIエージェント</t>
        </is>
      </c>
      <c r="O454" s="12" t="inlineStr">
        <is>
          <t>◎</t>
        </is>
      </c>
      <c r="P454" s="13" t="n">
        <v>50</v>
      </c>
      <c r="Q454" s="12" t="inlineStr">
        <is>
          <t>定員</t>
        </is>
      </c>
      <c r="R454" s="14" t="n">
        <v>50</v>
      </c>
      <c r="S454" s="10" t="inlineStr">
        <is>
          <t>定員を超えた場合は抽選</t>
        </is>
      </c>
      <c r="T454" s="10" t="inlineStr">
        <is>
          <t>BreezeエージェントとClaude Codeを使い、重複データの整理、案件創出、問い合わせ対応の自動化を体験するハンズオン。</t>
        </is>
      </c>
      <c r="U454" s="15" t="inlineStr">
        <is>
          <t>https://www.100inc.co.jp/news/20260805-event-hubspot-ai-agent-workshop</t>
        </is>
      </c>
      <c r="V454" s="10" t="n"/>
      <c r="W454" s="10" t="inlineStr">
        <is>
          <t>個別確認</t>
        </is>
      </c>
      <c r="X454" s="10" t="n"/>
    </row>
    <row r="455">
      <c r="A455" s="10" t="n">
        <v>454</v>
      </c>
      <c r="B455" s="24" t="n">
        <v>46267</v>
      </c>
      <c r="C455" s="24" t="n">
        <v>46267</v>
      </c>
      <c r="D455" s="10">
        <f>MONTH(B455)&amp;"月"</f>
        <v/>
      </c>
      <c r="E455" s="12" t="n">
        <v>1</v>
      </c>
      <c r="F455" s="10" t="n"/>
      <c r="G455" s="10" t="inlineStr">
        <is>
          <t>SIEMコストを維持するために、ログを捨て続けますか？～Databricksで実現する新しいセキュリティデータ戦略</t>
        </is>
      </c>
      <c r="H455" s="10" t="inlineStr">
        <is>
          <t>株式会社マクニカ</t>
        </is>
      </c>
      <c r="I455" s="10" t="n"/>
      <c r="J455" s="10" t="inlineStr">
        <is>
          <t>ZDNET Japan イベント</t>
        </is>
      </c>
      <c r="K455" s="10" t="inlineStr">
        <is>
          <t>オンライン</t>
        </is>
      </c>
      <c r="L455" s="10" t="inlineStr">
        <is>
          <t>WEB</t>
        </is>
      </c>
      <c r="M455" s="10" t="inlineStr">
        <is>
          <t>生産性向上・業務効率化</t>
        </is>
      </c>
      <c r="N455" s="10" t="inlineStr">
        <is>
          <t>AIエージェント</t>
        </is>
      </c>
      <c r="O455" s="12" t="inlineStr">
        <is>
          <t>○</t>
        </is>
      </c>
      <c r="P455" s="13" t="n"/>
      <c r="Q455" s="12" t="inlineStr">
        <is>
          <t>不明</t>
        </is>
      </c>
      <c r="R455" s="14" t="n"/>
      <c r="S455" s="10" t="n"/>
      <c r="T455" s="10" t="inlineStr">
        <is>
          <t>開催場所： WEB 開催日： 2026-09-02 セキュリティログは年々増加し、SIEMのライセンスコストと長期保持コストは多くの企業にとって大きな課題となっています。 投資額があらかじめ決まっている以上、多くの企業が取る手段は 「緊急度の低いログを取り込まない」 「保持期間を短縮する」 ——つまり、ログを捨てることでした。 しかしAIエージェントがセキュリティ運用を担う時代を前に、参照可能なデータ量と履歴の蓄積はこれまで以上に重要に</t>
        </is>
      </c>
      <c r="U455" s="15" t="inlineStr">
        <is>
          <t>https://japan.zdnet.com/event_info/30015071/</t>
        </is>
      </c>
      <c r="V455" s="10" t="n"/>
      <c r="W455" s="10" t="inlineStr">
        <is>
          <t>本文一致</t>
        </is>
      </c>
      <c r="X455" s="10" t="n"/>
    </row>
    <row r="456">
      <c r="A456" s="10" t="n">
        <v>455</v>
      </c>
      <c r="B456" s="24" t="n">
        <v>46267</v>
      </c>
      <c r="C456" s="24" t="n">
        <v>46267</v>
      </c>
      <c r="D456" s="10">
        <f>MONTH(B456)&amp;"月"</f>
        <v/>
      </c>
      <c r="E456" s="12" t="n">
        <v>1</v>
      </c>
      <c r="F456" s="10" t="n"/>
      <c r="G456" s="10" t="inlineStr">
        <is>
          <t>【水曜のDX道場】新しいCopilot Studioとプロンプト＆スキルの書き方</t>
        </is>
      </c>
      <c r="H456" s="10" t="inlineStr">
        <is>
          <t>水曜のDX道場</t>
        </is>
      </c>
      <c r="I456" s="10" t="n"/>
      <c r="J456" s="10" t="inlineStr">
        <is>
          <t>connpass</t>
        </is>
      </c>
      <c r="K456" s="10" t="inlineStr">
        <is>
          <t>会場</t>
        </is>
      </c>
      <c r="L456" s="10" t="inlineStr">
        <is>
          <t>大阪市北区本庄東１−１８−８</t>
        </is>
      </c>
      <c r="M456" s="10" t="inlineStr">
        <is>
          <t>生産性向上・業務効率化</t>
        </is>
      </c>
      <c r="N456" s="10" t="inlineStr">
        <is>
          <t>AIエージェント</t>
        </is>
      </c>
      <c r="O456" s="12" t="inlineStr">
        <is>
          <t>◎</t>
        </is>
      </c>
      <c r="P456" s="13" t="n">
        <v>11</v>
      </c>
      <c r="Q456" s="12" t="inlineStr">
        <is>
          <t>参加者数</t>
        </is>
      </c>
      <c r="R456" s="14" t="n">
        <v>16</v>
      </c>
      <c r="S456" s="10" t="n"/>
      <c r="T456" s="10" t="n"/>
      <c r="U456" s="15" t="inlineStr">
        <is>
          <t>https://dxdojo.connpass.com/event/405048/</t>
        </is>
      </c>
      <c r="V456" s="10" t="n"/>
      <c r="W456" s="10" t="inlineStr">
        <is>
          <t>タイトル一致</t>
        </is>
      </c>
      <c r="X456" s="10" t="n"/>
    </row>
    <row r="457">
      <c r="A457" s="10" t="n">
        <v>456</v>
      </c>
      <c r="B457" s="24" t="n">
        <v>46267</v>
      </c>
      <c r="C457" s="24" t="n">
        <v>46267</v>
      </c>
      <c r="D457" s="10">
        <f>MONTH(B457)&amp;"月"</f>
        <v/>
      </c>
      <c r="E457" s="12" t="n">
        <v>1</v>
      </c>
      <c r="F457" s="10" t="n"/>
      <c r="G457" s="10" t="inlineStr">
        <is>
          <t>【無料オンライン】Claude CodeでWebサイトをつくる｜デザイン組織の制作フロー全公開</t>
        </is>
      </c>
      <c r="H457" s="10" t="inlineStr">
        <is>
          <t>株式会社GORO</t>
        </is>
      </c>
      <c r="I457" s="10" t="n"/>
      <c r="J457" s="10" t="inlineStr">
        <is>
          <t>TECH PLAY</t>
        </is>
      </c>
      <c r="K457" s="10" t="inlineStr">
        <is>
          <t>オンライン</t>
        </is>
      </c>
      <c r="L457" s="10" t="n"/>
      <c r="M457" s="10" t="inlineStr">
        <is>
          <t>開発生産性</t>
        </is>
      </c>
      <c r="N457" s="10" t="inlineStr">
        <is>
          <t>AIエージェント</t>
        </is>
      </c>
      <c r="O457" s="12" t="inlineStr">
        <is>
          <t>○</t>
        </is>
      </c>
      <c r="P457" s="13" t="n">
        <v>20</v>
      </c>
      <c r="Q457" s="12" t="inlineStr">
        <is>
          <t>申込者数</t>
        </is>
      </c>
      <c r="R457" s="14" t="n">
        <v>20</v>
      </c>
      <c r="S457" s="10" t="n"/>
      <c r="T457" s="10" t="inlineStr">
        <is>
          <t>コーディングの知識がなくても、自然言語の指示でWebサイトを構築し、公開するまでの流れをライブデモでお見せするセミナーです。題材は、株式会社menu・株式会社スティーブアスタリスクの研修で実際に使った制作フロー。UIUXデザイナー10名が環境構築から2時間で全員Webページを公開した進め方を、デモを通して紹介します。ライブデモ中心のため視聴のみで参加でき、事前準備は不要です。 こんな悩みはありませんか デザインはできているのに、コーディ</t>
        </is>
      </c>
      <c r="U457" s="15" t="inlineStr">
        <is>
          <t>https://techplay.jp/event/999201</t>
        </is>
      </c>
      <c r="V457" s="10" t="n"/>
      <c r="W457" s="10" t="inlineStr">
        <is>
          <t>タイトル一致</t>
        </is>
      </c>
      <c r="X457" s="10" t="n"/>
    </row>
    <row r="458">
      <c r="A458" s="10" t="n">
        <v>457</v>
      </c>
      <c r="B458" s="24" t="n">
        <v>46267</v>
      </c>
      <c r="C458" s="24" t="n">
        <v>46267</v>
      </c>
      <c r="D458" s="10">
        <f>MONTH(B458)&amp;"月"</f>
        <v/>
      </c>
      <c r="E458" s="12" t="n">
        <v>1</v>
      </c>
      <c r="F458" s="10" t="n"/>
      <c r="G458" s="10" t="inlineStr">
        <is>
          <t>コードを書かない人のClaude Code入門</t>
        </is>
      </c>
      <c r="H458" s="10" t="inlineStr">
        <is>
          <t>現場で使うAI開発ツール研究会</t>
        </is>
      </c>
      <c r="I458" s="10" t="n"/>
      <c r="J458" s="10" t="inlineStr">
        <is>
          <t>connpass</t>
        </is>
      </c>
      <c r="K458" s="10" t="inlineStr">
        <is>
          <t>オンライン</t>
        </is>
      </c>
      <c r="L458" s="10" t="inlineStr">
        <is>
          <t>オンライン</t>
        </is>
      </c>
      <c r="M458" s="10" t="inlineStr">
        <is>
          <t>開発生産性</t>
        </is>
      </c>
      <c r="N458" s="10" t="inlineStr">
        <is>
          <t>AIエージェント</t>
        </is>
      </c>
      <c r="O458" s="12" t="inlineStr">
        <is>
          <t>○</t>
        </is>
      </c>
      <c r="P458" s="13" t="n"/>
      <c r="Q458" s="12" t="inlineStr">
        <is>
          <t>不明</t>
        </is>
      </c>
      <c r="R458" s="14" t="n"/>
      <c r="S458" s="10" t="n"/>
      <c r="T458" s="10" t="n"/>
      <c r="U458" s="15" t="inlineStr">
        <is>
          <t>https://ai-devtools.connpass.com/event/403169/</t>
        </is>
      </c>
      <c r="V458" s="10" t="n"/>
      <c r="W458" s="10" t="inlineStr">
        <is>
          <t>タイトル一致</t>
        </is>
      </c>
      <c r="X458" s="10" t="n"/>
    </row>
    <row r="459">
      <c r="A459" s="10" t="n">
        <v>458</v>
      </c>
      <c r="B459" s="24" t="n">
        <v>46267</v>
      </c>
      <c r="C459" s="24" t="n">
        <v>46267</v>
      </c>
      <c r="D459" s="10">
        <f>MONTH(B459)&amp;"月"</f>
        <v/>
      </c>
      <c r="E459" s="12" t="n">
        <v>1</v>
      </c>
      <c r="F459" s="10" t="n"/>
      <c r="G459" s="10" t="inlineStr">
        <is>
          <t>自動車OEMのWeb接客：AIエージェントが実現する「デジタル0号店」販売戦略</t>
        </is>
      </c>
      <c r="H459" s="10" t="inlineStr">
        <is>
          <t>株式会社セールスフォース・ジャパン</t>
        </is>
      </c>
      <c r="I459" s="10" t="n"/>
      <c r="J459" s="10" t="inlineStr">
        <is>
          <t>Salesforce 公式</t>
        </is>
      </c>
      <c r="K459" s="10" t="inlineStr">
        <is>
          <t>online</t>
        </is>
      </c>
      <c r="L459" s="10" t="inlineStr">
        <is>
          <t>オンライン</t>
        </is>
      </c>
      <c r="M459" s="10" t="inlineStr">
        <is>
          <t>営業・マーケ・CS</t>
        </is>
      </c>
      <c r="N459" s="10" t="inlineStr">
        <is>
          <t>AIエージェント</t>
        </is>
      </c>
      <c r="O459" s="12" t="inlineStr">
        <is>
          <t>◎</t>
        </is>
      </c>
      <c r="P459" s="13" t="n"/>
      <c r="Q459" s="12" t="inlineStr">
        <is>
          <t>不明</t>
        </is>
      </c>
      <c r="R459" s="14" t="n"/>
      <c r="S459" s="10" t="n"/>
      <c r="T459" s="10" t="inlineStr">
        <is>
          <t>Webサイトを車種提案から試乗予約、店舗への商談引き継ぎまでAIエージェントで担う「デジタル0号店」の販売戦略を解説するSalesforceウェビナー（ブログ掲載時点でオンデマンド配信）。</t>
        </is>
      </c>
      <c r="U459" s="15" t="inlineStr">
        <is>
          <t>https://www.salesforce.com/jp/blog/jp-salesforce-free-webinar-2026/</t>
        </is>
      </c>
      <c r="V459" s="10" t="n"/>
      <c r="W459" s="10" t="inlineStr">
        <is>
          <t>タイトル一致</t>
        </is>
      </c>
      <c r="X459" s="10" t="n"/>
    </row>
    <row r="460">
      <c r="A460" s="10" t="n">
        <v>459</v>
      </c>
      <c r="B460" s="24" t="n">
        <v>46267</v>
      </c>
      <c r="C460" s="24" t="n">
        <v>46267</v>
      </c>
      <c r="D460" s="10">
        <f>MONTH(B460)&amp;"月"</f>
        <v/>
      </c>
      <c r="E460" s="12" t="n">
        <v>1</v>
      </c>
      <c r="F460" s="10" t="n"/>
      <c r="G460" s="10" t="inlineStr">
        <is>
          <t>起動不能になった端末、遠隔で復旧できますか？ ～ランサム侵害・システム障害後の業務停止を短縮する方法～</t>
        </is>
      </c>
      <c r="H460" s="10" t="inlineStr">
        <is>
          <t>Absolute Software株式会社</t>
        </is>
      </c>
      <c r="I460" s="10" t="inlineStr">
        <is>
          <t>マジセミ株式会社</t>
        </is>
      </c>
      <c r="J460" s="10" t="inlineStr">
        <is>
          <t>Doorkeeper</t>
        </is>
      </c>
      <c r="K460" s="10" t="inlineStr">
        <is>
          <t>不明</t>
        </is>
      </c>
      <c r="L460" s="10" t="n"/>
      <c r="M460" s="10" t="inlineStr">
        <is>
          <t>生産性向上・業務効率化</t>
        </is>
      </c>
      <c r="N460" s="10" t="inlineStr">
        <is>
          <t>AIエージェント</t>
        </is>
      </c>
      <c r="O460" s="12" t="inlineStr">
        <is>
          <t>○</t>
        </is>
      </c>
      <c r="P460" s="13" t="n">
        <v>1</v>
      </c>
      <c r="Q460" s="12" t="inlineStr">
        <is>
          <t>参加者数</t>
        </is>
      </c>
      <c r="R460" s="14" t="n"/>
      <c r="S460" s="10" t="n"/>
      <c r="T460"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EDR導入後も残る、端末復旧の空白 ランサムウェア対策としてEDRを導入する企業は増えていますが、実際の現場では「EDRが正常に動き続けているか」「侵害後に端末を安全な状態へ戻せるか」まで十分に確認でき</t>
        </is>
      </c>
      <c r="U460" s="15" t="inlineStr">
        <is>
          <t>https://majisemi-idaas.doorkeeper.jp/events/198662</t>
        </is>
      </c>
      <c r="V460" s="10" t="n"/>
      <c r="W460" s="10" t="inlineStr">
        <is>
          <t>本文一致</t>
        </is>
      </c>
      <c r="X460" s="10" t="n"/>
    </row>
    <row r="461">
      <c r="A461" s="10" t="n">
        <v>460</v>
      </c>
      <c r="B461" s="24" t="n">
        <v>46268</v>
      </c>
      <c r="C461" s="24" t="n">
        <v>46268</v>
      </c>
      <c r="D461" s="10">
        <f>MONTH(B461)&amp;"月"</f>
        <v/>
      </c>
      <c r="E461" s="12" t="n">
        <v>1</v>
      </c>
      <c r="F461" s="10" t="n"/>
      <c r="G461" s="10" t="inlineStr">
        <is>
          <t>9/3(木)自分専用AIをつくる｜マイAIエージェントの作り方【参加無料】</t>
        </is>
      </c>
      <c r="H461" s="10" t="inlineStr">
        <is>
          <t>（記載なし）</t>
        </is>
      </c>
      <c r="I461" s="10" t="n"/>
      <c r="J461" s="10" t="inlineStr">
        <is>
          <t>Peatix</t>
        </is>
      </c>
      <c r="K461" s="10" t="inlineStr">
        <is>
          <t>不明</t>
        </is>
      </c>
      <c r="L461" s="10" t="n"/>
      <c r="M461" s="10" t="inlineStr">
        <is>
          <t>技術・AI全般</t>
        </is>
      </c>
      <c r="N461" s="10" t="inlineStr">
        <is>
          <t>AIエージェント</t>
        </is>
      </c>
      <c r="O461" s="12" t="inlineStr">
        <is>
          <t>○</t>
        </is>
      </c>
      <c r="P461" s="13" t="n"/>
      <c r="Q461" s="12" t="inlineStr">
        <is>
          <t>不明</t>
        </is>
      </c>
      <c r="R461" s="14" t="n"/>
      <c r="S461" s="10" t="n"/>
      <c r="T461" s="10" t="inlineStr">
        <is>
          <t>タイトルに9/3(木)（2026年9月3日は木曜）参加無料</t>
        </is>
      </c>
      <c r="U461" s="15" t="inlineStr">
        <is>
          <t>https://peatix.com/event/5140674</t>
        </is>
      </c>
      <c r="V461" s="10" t="n"/>
      <c r="W461" s="10" t="inlineStr">
        <is>
          <t>タイトル一致</t>
        </is>
      </c>
      <c r="X461" s="10" t="n"/>
    </row>
    <row r="462">
      <c r="A462" s="10" t="n">
        <v>461</v>
      </c>
      <c r="B462" s="24" t="n">
        <v>46268</v>
      </c>
      <c r="C462" s="24" t="n">
        <v>46268</v>
      </c>
      <c r="D462" s="10">
        <f>MONTH(B462)&amp;"月"</f>
        <v/>
      </c>
      <c r="E462" s="12" t="n">
        <v>1</v>
      </c>
      <c r="F462" s="10" t="n"/>
      <c r="G462" s="10" t="inlineStr">
        <is>
          <t>AI エージェントハンズオン～ObjectScript SDK でエージェント作ってみよう！～</t>
        </is>
      </c>
      <c r="H462" s="10" t="inlineStr">
        <is>
          <t>インターシステムズ開発者コミュニティのグループ</t>
        </is>
      </c>
      <c r="I462" s="10" t="n"/>
      <c r="J462" s="10" t="inlineStr">
        <is>
          <t>connpass</t>
        </is>
      </c>
      <c r="K462" s="10" t="inlineStr">
        <is>
          <t>会場</t>
        </is>
      </c>
      <c r="L462" s="10" t="inlineStr">
        <is>
          <t>東京都新宿区西新宿6-10-1（日土地西新宿ビル15F）</t>
        </is>
      </c>
      <c r="M462" s="10" t="inlineStr">
        <is>
          <t>営業・マーケ・CS</t>
        </is>
      </c>
      <c r="N462" s="10" t="inlineStr">
        <is>
          <t>AIエージェント</t>
        </is>
      </c>
      <c r="O462" s="12" t="inlineStr">
        <is>
          <t>◎</t>
        </is>
      </c>
      <c r="P462" s="13" t="n">
        <v>8</v>
      </c>
      <c r="Q462" s="12" t="inlineStr">
        <is>
          <t>参加者数</t>
        </is>
      </c>
      <c r="R462" s="14" t="n">
        <v>12</v>
      </c>
      <c r="S462" s="10" t="n"/>
      <c r="T462" s="10" t="n"/>
      <c r="U462" s="15" t="inlineStr">
        <is>
          <t>https://intersystems-dc.connpass.com/event/401244/</t>
        </is>
      </c>
      <c r="V462" s="10" t="n"/>
      <c r="W462" s="10" t="inlineStr">
        <is>
          <t>タイトル一致</t>
        </is>
      </c>
      <c r="X462" s="10" t="n"/>
    </row>
    <row r="463">
      <c r="A463" s="10" t="n">
        <v>462</v>
      </c>
      <c r="B463" s="24" t="n">
        <v>46268</v>
      </c>
      <c r="C463" s="24" t="n">
        <v>46269</v>
      </c>
      <c r="D463" s="10">
        <f>MONTH(B463)&amp;"月"</f>
        <v/>
      </c>
      <c r="E463" s="12" t="n">
        <v>1</v>
      </c>
      <c r="F463" s="10" t="n"/>
      <c r="G463" s="10" t="inlineStr">
        <is>
          <t>DXシステム開発 Expo／ものづくりDX Expo／AI Innovation Tokyo 2026</t>
        </is>
      </c>
      <c r="H463" s="10" t="inlineStr">
        <is>
          <t>ナノオプト・メディア</t>
        </is>
      </c>
      <c r="I463" s="10" t="n"/>
      <c r="J463" s="10" t="inlineStr">
        <is>
          <t>個別調査（公式サイト・PR TIMES等）</t>
        </is>
      </c>
      <c r="K463" s="10" t="inlineStr">
        <is>
          <t>会場</t>
        </is>
      </c>
      <c r="L463" s="10" t="inlineStr">
        <is>
          <t>東京都立産業貿易センター浜松町館</t>
        </is>
      </c>
      <c r="M463" s="10" t="inlineStr">
        <is>
          <t>生産管理・製造・SCM</t>
        </is>
      </c>
      <c r="N463" s="10" t="inlineStr">
        <is>
          <t>AIエージェント</t>
        </is>
      </c>
      <c r="O463" s="12" t="inlineStr">
        <is>
          <t>◎</t>
        </is>
      </c>
      <c r="P463" s="13" t="n">
        <v>3118</v>
      </c>
      <c r="Q463" s="12" t="inlineStr">
        <is>
          <t>来場者数</t>
        </is>
      </c>
      <c r="R463" s="14" t="n"/>
      <c r="S463" s="10" t="inlineStr">
        <is>
          <t>前回は2,664名</t>
        </is>
      </c>
      <c r="T463" s="10" t="inlineStr">
        <is>
          <t>3展の同時開催。Google Cloudが「GeminiでのAIエージェント開発・運用」を講演し、製造業でのAI導入に関する講演もあった。</t>
        </is>
      </c>
      <c r="U463" s="15" t="inlineStr">
        <is>
          <t>https://f2ff.jp/event/dx-ai</t>
        </is>
      </c>
      <c r="V463" s="10" t="n"/>
      <c r="W463" s="10" t="inlineStr">
        <is>
          <t>個別確認</t>
        </is>
      </c>
      <c r="X463" s="10" t="n"/>
    </row>
    <row r="464">
      <c r="A464" s="10" t="n">
        <v>463</v>
      </c>
      <c r="B464" s="24" t="n">
        <v>46268</v>
      </c>
      <c r="C464" s="24" t="n">
        <v>46268</v>
      </c>
      <c r="D464" s="10">
        <f>MONTH(B464)&amp;"月"</f>
        <v/>
      </c>
      <c r="E464" s="12" t="n">
        <v>1</v>
      </c>
      <c r="F464" s="10" t="n"/>
      <c r="G464" s="10" t="inlineStr">
        <is>
          <t>Hello Joule!ウェビナー〜AIで部門を横断し、判断と実行を同期するサプライチェーン〜</t>
        </is>
      </c>
      <c r="H464" s="10" t="inlineStr">
        <is>
          <t>SAPジャパン</t>
        </is>
      </c>
      <c r="I464" s="10" t="n"/>
      <c r="J464" s="10" t="inlineStr">
        <is>
          <t>個別調査（公式サイト・PR TIMES等）</t>
        </is>
      </c>
      <c r="K464" s="10" t="inlineStr">
        <is>
          <t>オンライン</t>
        </is>
      </c>
      <c r="L464" s="10" t="n"/>
      <c r="M464" s="10" t="inlineStr">
        <is>
          <t>生産管理・製造・SCM</t>
        </is>
      </c>
      <c r="N464" s="10" t="inlineStr">
        <is>
          <t>AIエージェント</t>
        </is>
      </c>
      <c r="O464" s="12" t="inlineStr">
        <is>
          <t>◎</t>
        </is>
      </c>
      <c r="P464" s="13" t="n"/>
      <c r="Q464" s="12" t="inlineStr">
        <is>
          <t>不明</t>
        </is>
      </c>
      <c r="R464" s="14" t="n"/>
      <c r="S464" s="10" t="n"/>
      <c r="T464" s="10" t="inlineStr">
        <is>
          <t>SAPのAIエージェントが、需要・供給・在庫・製造・物流のデータを横断して分析し、自律型サプライチェーンを支える様子を紹介する。</t>
        </is>
      </c>
      <c r="U464" s="15" t="inlineStr">
        <is>
          <t>https://www.jsug.org/post/schedule-joule-webiner-20260903</t>
        </is>
      </c>
      <c r="V464" s="10" t="n"/>
      <c r="W464" s="10" t="inlineStr">
        <is>
          <t>個別確認</t>
        </is>
      </c>
      <c r="X464" s="10" t="n"/>
    </row>
    <row r="465">
      <c r="A465" s="10" t="n">
        <v>464</v>
      </c>
      <c r="B465" s="24" t="n">
        <v>46268</v>
      </c>
      <c r="C465" s="24" t="n">
        <v>46269</v>
      </c>
      <c r="D465" s="10">
        <f>MONTH(B465)&amp;"月"</f>
        <v/>
      </c>
      <c r="E465" s="12" t="n">
        <v>1</v>
      </c>
      <c r="F465" s="10" t="n"/>
      <c r="G465" s="10" t="inlineStr">
        <is>
          <t>【 9/3-4 東京開催 】AI Commerce Expo / SNS運用戦略Expo 2026</t>
        </is>
      </c>
      <c r="H465" s="10" t="inlineStr">
        <is>
          <t>株式会社ナノオプト・メディア</t>
        </is>
      </c>
      <c r="I465" s="10" t="n"/>
      <c r="J465" s="10" t="inlineStr">
        <is>
          <t>TECH PLAY</t>
        </is>
      </c>
      <c r="K465" s="10" t="inlineStr">
        <is>
          <t>会場</t>
        </is>
      </c>
      <c r="L465" s="10" t="inlineStr">
        <is>
          <t>東京都立産業貿易センター浜松町館 5F 東京都港区海岸1-7-1 東京ポートシティ竹芝</t>
        </is>
      </c>
      <c r="M465" s="10" t="inlineStr">
        <is>
          <t>営業・マーケ・CS</t>
        </is>
      </c>
      <c r="N465" s="10" t="inlineStr">
        <is>
          <t>AIエージェント</t>
        </is>
      </c>
      <c r="O465" s="12" t="inlineStr">
        <is>
          <t>○</t>
        </is>
      </c>
      <c r="P465" s="13" t="n">
        <v>2</v>
      </c>
      <c r="Q465" s="12" t="inlineStr">
        <is>
          <t>申込者数</t>
        </is>
      </c>
      <c r="R465" s="14" t="n">
        <v>2000</v>
      </c>
      <c r="S465" s="10" t="n"/>
      <c r="T465" s="10" t="inlineStr">
        <is>
          <t>【 AI Commerce Expo / SNS運用戦略Expo 2026 】 ■日時：2026年9月3日（木）-4日（金）10:00～18:00 ■会場：東京都立産業貿易センター浜松町館 5F ■入場料：無料（事前登録制） ■事前登録：下記URLより登録制＜参加無料＞ https://f2ff.jp/event/commerce-sns 概要 生成AIの急速な進化により、EC・小売・マーケティング・SNS運用の現場は大きな転換期を迎え</t>
        </is>
      </c>
      <c r="U465" s="15" t="inlineStr">
        <is>
          <t>https://techplay.jp/event/998703</t>
        </is>
      </c>
      <c r="V465" s="10" t="n"/>
      <c r="W465" s="10" t="inlineStr">
        <is>
          <t>本文一致</t>
        </is>
      </c>
      <c r="X465" s="10" t="n"/>
    </row>
    <row r="466">
      <c r="A466" s="10" t="n">
        <v>465</v>
      </c>
      <c r="B466" s="24" t="n">
        <v>46268</v>
      </c>
      <c r="C466" s="24" t="n">
        <v>46269</v>
      </c>
      <c r="D466" s="10">
        <f>MONTH(B466)&amp;"月"</f>
        <v/>
      </c>
      <c r="E466" s="12" t="n">
        <v>1</v>
      </c>
      <c r="F466" s="10" t="n"/>
      <c r="G466" s="10" t="inlineStr">
        <is>
          <t>【 DXシステム開発 Expo / ものづくりDX Expo / AI Innovation Tokyo 2026 】</t>
        </is>
      </c>
      <c r="H466" s="10" t="inlineStr">
        <is>
          <t>株式会社ナノオプト・メディア</t>
        </is>
      </c>
      <c r="I466" s="10" t="n"/>
      <c r="J466" s="10" t="inlineStr">
        <is>
          <t>こくちーずプロ</t>
        </is>
      </c>
      <c r="K466" s="10" t="inlineStr">
        <is>
          <t>オフライン（会場）</t>
        </is>
      </c>
      <c r="L466" s="10" t="inlineStr">
        <is>
          <t>東京都立産業貿易センター浜松町館 4F 東京都港区海岸1-7-1 東京ポートシティ竹芝 東京都立産業貿易センター浜松町館 4F</t>
        </is>
      </c>
      <c r="M466" s="10" t="inlineStr">
        <is>
          <t>生産管理・製造・SCM</t>
        </is>
      </c>
      <c r="N466" s="10" t="inlineStr">
        <is>
          <t>AIエージェント</t>
        </is>
      </c>
      <c r="O466" s="12" t="inlineStr">
        <is>
          <t>○</t>
        </is>
      </c>
      <c r="P466" s="13" t="n">
        <v>0</v>
      </c>
      <c r="Q466" s="12" t="inlineStr">
        <is>
          <t>参加者数</t>
        </is>
      </c>
      <c r="R466" s="14" t="n">
        <v>1000</v>
      </c>
      <c r="S466" s="10" t="n"/>
      <c r="T466" s="10" t="inlineStr">
        <is>
          <t>【 DXシステム開発 Expo / ものづくりDX Expo / AI Innovation Tokyo 2026 】 ■日時：2026年9月3日（木）-4日（金）10:00～18:00 ■会場：東京都立産業貿易センター浜松町館 4F ■入場料：無料（事前登録制） ■事前登録：下記URLより登録制＜参加無料＞ https://f2ff.jp/event/dx-ai 生成AIやAIエージェントの進化により、企業のDX推進やシステム開発、製</t>
        </is>
      </c>
      <c r="U466" s="15" t="inlineStr">
        <is>
          <t>https://www.kokuchpro.com/event/dc34365b1870492c4a5d4054f6496e55/</t>
        </is>
      </c>
      <c r="V466" s="10" t="n"/>
      <c r="W466" s="10" t="inlineStr">
        <is>
          <t>本文一致</t>
        </is>
      </c>
      <c r="X466" s="10" t="n"/>
    </row>
    <row r="467">
      <c r="A467" s="10" t="n">
        <v>466</v>
      </c>
      <c r="B467" s="24" t="n">
        <v>46268</v>
      </c>
      <c r="C467" s="24" t="n">
        <v>46268</v>
      </c>
      <c r="D467" s="10">
        <f>MONTH(B467)&amp;"月"</f>
        <v/>
      </c>
      <c r="E467" s="12" t="n">
        <v>1</v>
      </c>
      <c r="F467" s="10" t="n"/>
      <c r="G467" s="10" t="inlineStr">
        <is>
          <t>【WACA会員部主催】AI時代のWebマーケティング　〜「AIの限界」と「数字から気づきを導く考え方」</t>
        </is>
      </c>
      <c r="H467" s="10" t="inlineStr">
        <is>
          <t>web-mining</t>
        </is>
      </c>
      <c r="I467" s="10" t="n"/>
      <c r="J467" s="10" t="inlineStr">
        <is>
          <t>Doorkeeper</t>
        </is>
      </c>
      <c r="K467" s="10" t="inlineStr">
        <is>
          <t>不明</t>
        </is>
      </c>
      <c r="L467" s="10" t="n"/>
      <c r="M467" s="10" t="inlineStr">
        <is>
          <t>営業・マーケ・CS</t>
        </is>
      </c>
      <c r="N467" s="10" t="inlineStr">
        <is>
          <t>AIエージェント</t>
        </is>
      </c>
      <c r="O467" s="12" t="inlineStr">
        <is>
          <t>○</t>
        </is>
      </c>
      <c r="P467" s="13" t="n">
        <v>51</v>
      </c>
      <c r="Q467" s="12" t="inlineStr">
        <is>
          <t>参加者数</t>
        </is>
      </c>
      <c r="R467" s="14" t="n">
        <v>70</v>
      </c>
      <c r="S467" s="10" t="n"/>
      <c r="T467" s="10" t="inlineStr">
        <is>
          <t xml:space="preserve"> セミナー概要 AIの進化により「業務の効率化」や「コンテンツの大量生産」が注目される一方で、現場では「AIの苦手なこと」を知らないことによるトラブルや、数字（データ）を改善にうまく繋げられないといった課題が浮き彫りになっています。 本セミナーでは、AIエージェントの「限界とリスク」を正しく把握するメインセッションを軸に、現場のディレクターが実践する「Web解析の判断力」や「AIを活用したメディア運用のリアル」という2本のライトニングト</t>
        </is>
      </c>
      <c r="U467" s="15" t="inlineStr">
        <is>
          <t>https://web-mining.doorkeeper.jp/events/198675</t>
        </is>
      </c>
      <c r="V467" s="10" t="n"/>
      <c r="W467" s="10" t="inlineStr">
        <is>
          <t>本文一致</t>
        </is>
      </c>
      <c r="X467" s="10" t="n"/>
    </row>
    <row r="468">
      <c r="A468" s="10" t="n">
        <v>467</v>
      </c>
      <c r="B468" s="24" t="n">
        <v>46268</v>
      </c>
      <c r="C468" s="24" t="n">
        <v>46268</v>
      </c>
      <c r="D468" s="10">
        <f>MONTH(B468)&amp;"月"</f>
        <v/>
      </c>
      <c r="E468" s="12" t="n">
        <v>1</v>
      </c>
      <c r="F468" s="10" t="n"/>
      <c r="G468" s="10" t="inlineStr">
        <is>
          <t>【オンライン】仕事を減らして成果を増やす「AI社員」の作り方 入門|異業種交流ギルド クロストーク</t>
        </is>
      </c>
      <c r="H468" s="10" t="inlineStr">
        <is>
          <t>クロストーク</t>
        </is>
      </c>
      <c r="I468" s="10" t="n"/>
      <c r="J468" s="10" t="inlineStr">
        <is>
          <t>こくちーずプロ</t>
        </is>
      </c>
      <c r="K468" s="10" t="inlineStr">
        <is>
          <t>オンライン</t>
        </is>
      </c>
      <c r="L468" s="10" t="inlineStr">
        <is>
          <t>オンライン 日本</t>
        </is>
      </c>
      <c r="M468" s="10" t="inlineStr">
        <is>
          <t>生産性向上・業務効率化</t>
        </is>
      </c>
      <c r="N468" s="10" t="inlineStr">
        <is>
          <t>AIエージェント</t>
        </is>
      </c>
      <c r="O468" s="12" t="inlineStr">
        <is>
          <t>○</t>
        </is>
      </c>
      <c r="P468" s="13" t="n">
        <v>4</v>
      </c>
      <c r="Q468" s="12" t="inlineStr">
        <is>
          <t>参加者数</t>
        </is>
      </c>
      <c r="R468" s="14" t="n">
        <v>30</v>
      </c>
      <c r="S468" s="10" t="n"/>
      <c r="T468" s="10" t="inlineStr">
        <is>
          <t>✨ 仕事を減らして成果を増やす「AI社員」の作り方 入門 ✨ 〜 "相談相手としてのAI" から "業務を任せるAI社員" へ 〜 ━━━━━━━━━━━━━━━━ こんな状態で止まっていませんか？ ・質問して終わりになっている ・アドバイスはもらえるけど、動くのは結局まだ自分 ・AIエージェントって聞くけど、何が違うのかわからない このセミナーは、そこから一歩進んで 「業務そのものを任せる」という発想を学ぶ90分です。 7月に姫路のM</t>
        </is>
      </c>
      <c r="U468" s="15" t="inlineStr">
        <is>
          <t>https://www.kokuchpro.com/event/45c7d1d1698cefbad8a7bc7e28403d6e/</t>
        </is>
      </c>
      <c r="V468" s="10" t="n"/>
      <c r="W468" s="10" t="inlineStr">
        <is>
          <t>本文一致</t>
        </is>
      </c>
      <c r="X468" s="10" t="n"/>
    </row>
    <row r="469">
      <c r="A469" s="10" t="n">
        <v>468</v>
      </c>
      <c r="B469" s="24" t="n">
        <v>46268</v>
      </c>
      <c r="C469" s="24" t="n">
        <v>46268</v>
      </c>
      <c r="D469" s="10">
        <f>MONTH(B469)&amp;"月"</f>
        <v/>
      </c>
      <c r="E469" s="12" t="n">
        <v>1</v>
      </c>
      <c r="F469" s="10" t="n"/>
      <c r="G469" s="10" t="inlineStr">
        <is>
          <t>【無料】SiTest AI新機能紹介セミナー</t>
        </is>
      </c>
      <c r="H469" s="10" t="inlineStr">
        <is>
          <t>株式会社グラッドキューブ</t>
        </is>
      </c>
      <c r="I469" s="10" t="n"/>
      <c r="J469" s="10" t="inlineStr">
        <is>
          <t>こくちーずプロ</t>
        </is>
      </c>
      <c r="K469" s="10" t="inlineStr">
        <is>
          <t>オンライン</t>
        </is>
      </c>
      <c r="L469" s="10" t="inlineStr">
        <is>
          <t>オンライン 日本</t>
        </is>
      </c>
      <c r="M469" s="10" t="inlineStr">
        <is>
          <t>生産性向上・業務効率化</t>
        </is>
      </c>
      <c r="N469" s="10" t="inlineStr">
        <is>
          <t>AIエージェント</t>
        </is>
      </c>
      <c r="O469" s="12" t="inlineStr">
        <is>
          <t>○</t>
        </is>
      </c>
      <c r="P469" s="13" t="n">
        <v>0</v>
      </c>
      <c r="Q469" s="12" t="inlineStr">
        <is>
          <t>参加者数</t>
        </is>
      </c>
      <c r="R469" s="14" t="n">
        <v>20</v>
      </c>
      <c r="S469" s="10" t="n"/>
      <c r="T469" s="10" t="inlineStr">
        <is>
          <t>セミナー概要 「分析に時間がかかる」「改善案が出ても実行に移せない」とお悩みの方へ。 本ウェビナーでは、SiTestの新機能（AIエージェント・LP AIレポート）とClaude Codeを活用し、Web改善を効率化する手法を解説します。 AIとの対話によるユーザー行動の分析やレポート作成により、これまで約3時間かかっていた作業をわずか5分に短縮。 さらに、得られた改善案を具体的な施策へと落とし込み、スムーズに実行へ繋げる一連のプロセス</t>
        </is>
      </c>
      <c r="U469" s="15" t="inlineStr">
        <is>
          <t>https://www.kokuchpro.com/event/99a9d54cc1a761600a04e2305b62d415/</t>
        </is>
      </c>
      <c r="V469" s="10" t="n"/>
      <c r="W469" s="10" t="inlineStr">
        <is>
          <t>本文一致</t>
        </is>
      </c>
      <c r="X469" s="10" t="n"/>
    </row>
    <row r="470">
      <c r="A470" s="10" t="n">
        <v>469</v>
      </c>
      <c r="B470" s="24" t="n">
        <v>46268</v>
      </c>
      <c r="C470" s="24" t="n">
        <v>46268</v>
      </c>
      <c r="D470" s="10">
        <f>MONTH(B470)&amp;"月"</f>
        <v/>
      </c>
      <c r="E470" s="12" t="n">
        <v>1</v>
      </c>
      <c r="F470" s="10" t="n"/>
      <c r="G470" s="10" t="inlineStr">
        <is>
          <t>情シスがまず学ぶべき「AIエージェント活用」と「QA（品質保証）の常識」</t>
        </is>
      </c>
      <c r="H470" s="10" t="inlineStr">
        <is>
          <t>MagicPod</t>
        </is>
      </c>
      <c r="I470" s="10" t="n"/>
      <c r="J470" s="10" t="inlineStr">
        <is>
          <t>connpass</t>
        </is>
      </c>
      <c r="K470" s="10" t="inlineStr">
        <is>
          <t>オンライン</t>
        </is>
      </c>
      <c r="L470" s="10" t="inlineStr">
        <is>
          <t>オンライン</t>
        </is>
      </c>
      <c r="M470" s="10" t="inlineStr">
        <is>
          <t>技術・AI全般</t>
        </is>
      </c>
      <c r="N470" s="10" t="inlineStr">
        <is>
          <t>AIエージェント</t>
        </is>
      </c>
      <c r="O470" s="12" t="inlineStr">
        <is>
          <t>○</t>
        </is>
      </c>
      <c r="P470" s="13" t="n">
        <v>27</v>
      </c>
      <c r="Q470" s="12" t="inlineStr">
        <is>
          <t>参加者数</t>
        </is>
      </c>
      <c r="R470" s="14" t="n"/>
      <c r="S470" s="10" t="n"/>
      <c r="T470" s="10" t="n"/>
      <c r="U470" s="15" t="inlineStr">
        <is>
          <t>https://trident-qa.connpass.com/event/401372/</t>
        </is>
      </c>
      <c r="V470" s="10" t="n"/>
      <c r="W470" s="10" t="inlineStr">
        <is>
          <t>タイトル一致</t>
        </is>
      </c>
      <c r="X470" s="10" t="n"/>
    </row>
    <row r="471">
      <c r="A471" s="10" t="n">
        <v>470</v>
      </c>
      <c r="B471" s="24" t="n">
        <v>46268</v>
      </c>
      <c r="C471" s="24" t="n">
        <v>46268</v>
      </c>
      <c r="D471" s="10">
        <f>MONTH(B471)&amp;"月"</f>
        <v/>
      </c>
      <c r="E471" s="12" t="n">
        <v>1</v>
      </c>
      <c r="F471" s="10" t="n"/>
      <c r="G471" s="10" t="inlineStr">
        <is>
          <t>月末の請求書30枚が、5分で終わる——Claude Codeが変える中小企業のバックオフィス</t>
        </is>
      </c>
      <c r="H471" s="10" t="inlineStr">
        <is>
          <t>株式会社ノヴァリス</t>
        </is>
      </c>
      <c r="I471" s="10" t="n"/>
      <c r="J471" s="10" t="inlineStr">
        <is>
          <t>connpass</t>
        </is>
      </c>
      <c r="K471" s="10" t="inlineStr">
        <is>
          <t>オンライン</t>
        </is>
      </c>
      <c r="L471" s="10" t="inlineStr">
        <is>
          <t>オンライン</t>
        </is>
      </c>
      <c r="M471" s="10" t="inlineStr">
        <is>
          <t>生産性向上・業務効率化</t>
        </is>
      </c>
      <c r="N471" s="10" t="inlineStr">
        <is>
          <t>AIエージェント</t>
        </is>
      </c>
      <c r="O471" s="12" t="inlineStr">
        <is>
          <t>◎</t>
        </is>
      </c>
      <c r="P471" s="13" t="n">
        <v>0</v>
      </c>
      <c r="Q471" s="12" t="inlineStr">
        <is>
          <t>参加者数</t>
        </is>
      </c>
      <c r="R471" s="14" t="n">
        <v>10</v>
      </c>
      <c r="S471" s="10" t="n"/>
      <c r="T471" s="10" t="n"/>
      <c r="U471" s="15" t="inlineStr">
        <is>
          <t>https://connpass.com/event/403748/</t>
        </is>
      </c>
      <c r="V471" s="10" t="n"/>
      <c r="W471" s="10" t="inlineStr">
        <is>
          <t>タイトル一致</t>
        </is>
      </c>
      <c r="X471" s="10" t="n"/>
    </row>
    <row r="472">
      <c r="A472" s="10" t="n">
        <v>471</v>
      </c>
      <c r="B472" s="24" t="n">
        <v>46269</v>
      </c>
      <c r="C472" s="24" t="n">
        <v>46428</v>
      </c>
      <c r="D472" s="10">
        <f>MONTH(B472)&amp;"月"</f>
        <v/>
      </c>
      <c r="E472" s="12" t="n">
        <v>1</v>
      </c>
      <c r="F472" s="10" t="n"/>
      <c r="G472" s="10" t="inlineStr">
        <is>
          <t>AIエージェント経営入門〜実装を成功させるロードマップの勘所〜【無料/動画視聴版ウェビナー】</t>
        </is>
      </c>
      <c r="H472" s="10" t="inlineStr">
        <is>
          <t>株式会社タナベコンサルティング ウェビナー事務局</t>
        </is>
      </c>
      <c r="I472" s="10" t="n"/>
      <c r="J472" s="10" t="inlineStr">
        <is>
          <t>こくちーずプロ</t>
        </is>
      </c>
      <c r="K472" s="10" t="inlineStr">
        <is>
          <t>オンライン</t>
        </is>
      </c>
      <c r="L472" s="10" t="inlineStr">
        <is>
          <t>オンライン 日本</t>
        </is>
      </c>
      <c r="M472" s="10" t="inlineStr">
        <is>
          <t>生産性向上・業務効率化</t>
        </is>
      </c>
      <c r="N472" s="10" t="inlineStr">
        <is>
          <t>AIエージェント</t>
        </is>
      </c>
      <c r="O472" s="12" t="inlineStr">
        <is>
          <t>◎</t>
        </is>
      </c>
      <c r="P472" s="13" t="n"/>
      <c r="Q472" s="12" t="inlineStr">
        <is>
          <t>不明</t>
        </is>
      </c>
      <c r="R472" s="14" t="n"/>
      <c r="S472" s="10" t="n"/>
      <c r="T472" s="10" t="inlineStr">
        <is>
          <t>★人気コンテンツ再公開★ 人気のWEBセミナーを動画視聴版説明会として公開いたします！ この期間内、いつでもご視聴いただけます！ ※2026年6月に開催したウェビナーの録画配信です。 ～～～～～～～～～～～～～～～～～～～～～ オンライン（動画視聴版）説明会（動画URL視聴版） 【お申込み後、視聴用URL送付いたします】 ※1．ページ設定の都合上、開催日程・時間を掲載しておりますが、 お申込み後、ご視聴いただけるURLは、適宜お送りさせ</t>
        </is>
      </c>
      <c r="U472" s="15" t="inlineStr">
        <is>
          <t>https://www.kokuchpro.com/event/1cfe4d95879a6a2d899a7b1e6b580416/</t>
        </is>
      </c>
      <c r="V472" s="10" t="n"/>
      <c r="W472" s="10" t="inlineStr">
        <is>
          <t>タイトル一致</t>
        </is>
      </c>
      <c r="X472" s="10" t="n"/>
    </row>
    <row r="473">
      <c r="A473" s="10" t="n">
        <v>472</v>
      </c>
      <c r="B473" s="24" t="n">
        <v>46269</v>
      </c>
      <c r="C473" s="24" t="n">
        <v>46269</v>
      </c>
      <c r="D473" s="10">
        <f>MONTH(B473)&amp;"月"</f>
        <v/>
      </c>
      <c r="E473" s="12" t="n">
        <v>1</v>
      </c>
      <c r="F473" s="10" t="n"/>
      <c r="G473" s="10" t="inlineStr">
        <is>
          <t>DX&amp;AI Forum 2026 秋 大阪</t>
        </is>
      </c>
      <c r="H473" s="10" t="inlineStr">
        <is>
          <t>SBクリエイティブ株式会社（ビジネス＋IT）</t>
        </is>
      </c>
      <c r="I473" s="10" t="n"/>
      <c r="J473" s="10" t="inlineStr">
        <is>
          <t>ビジネス+IT</t>
        </is>
      </c>
      <c r="K473" s="10" t="inlineStr">
        <is>
          <t>offline</t>
        </is>
      </c>
      <c r="L473" s="10" t="inlineStr">
        <is>
          <t>大阪府</t>
        </is>
      </c>
      <c r="M473" s="10" t="inlineStr">
        <is>
          <t>生産性向上・業務効率化</t>
        </is>
      </c>
      <c r="N473" s="10" t="inlineStr">
        <is>
          <t>AIエージェント</t>
        </is>
      </c>
      <c r="O473" s="12" t="inlineStr">
        <is>
          <t>○</t>
        </is>
      </c>
      <c r="P473" s="13" t="n"/>
      <c r="Q473" s="12" t="inlineStr">
        <is>
          <t>不明</t>
        </is>
      </c>
      <c r="R473" s="14" t="n"/>
      <c r="S473" s="10" t="n"/>
      <c r="T473" s="10" t="inlineStr">
        <is>
          <t>世界的な地政学リスクと経済安全保障問題、AI主権をめぐるAI開発競争など、厳しさを増す経済環境の中、日本企業は生き残りをかけた変革を迫られています。一方でAIは、自ら考え行動するエージェンティックAIや現実世界で動くフィジカルAIへと進化し、人とAIが協調し稼働する「自律型社会」が、AGI（汎用人工知能）の実現を視野にいよいよ現実となろうとしています。日本企業がAIやデジタルを融合した「AX戦略」で「再成長」へ向かうには、今、何が必要で</t>
        </is>
      </c>
      <c r="U473" s="15" t="inlineStr">
        <is>
          <t>https://www.sbbit.jp/eventinfo/88486</t>
        </is>
      </c>
      <c r="V473" s="10" t="n"/>
      <c r="W473" s="10" t="inlineStr">
        <is>
          <t>本文一致</t>
        </is>
      </c>
      <c r="X473" s="10" t="n"/>
    </row>
    <row r="474">
      <c r="A474" s="10" t="n">
        <v>473</v>
      </c>
      <c r="B474" s="24" t="n">
        <v>46269</v>
      </c>
      <c r="C474" s="24" t="n">
        <v>46280</v>
      </c>
      <c r="D474" s="10">
        <f>MONTH(B474)&amp;"月"</f>
        <v/>
      </c>
      <c r="E474" s="12" t="n">
        <v>1</v>
      </c>
      <c r="F474" s="10" t="n"/>
      <c r="G474" s="10" t="inlineStr">
        <is>
          <t>Optimize Next MCP ライブ実演ウェビナー（9/4・9/9・9/15）</t>
        </is>
      </c>
      <c r="H474" s="10" t="inlineStr">
        <is>
          <t>PROJECT GROUP株式会社</t>
        </is>
      </c>
      <c r="I474" s="10" t="inlineStr">
        <is>
          <t>株式会社A1Growth（9/9のみ共催）</t>
        </is>
      </c>
      <c r="J474" s="10" t="inlineStr">
        <is>
          <t>個別調査（公式サイト・PR TIMES等）</t>
        </is>
      </c>
      <c r="K474" s="10" t="inlineStr">
        <is>
          <t>オンライン</t>
        </is>
      </c>
      <c r="L474" s="10" t="inlineStr">
        <is>
          <t>Zoom</t>
        </is>
      </c>
      <c r="M474" s="10" t="inlineStr">
        <is>
          <t>営業・マーケ・CS</t>
        </is>
      </c>
      <c r="N474" s="10" t="inlineStr">
        <is>
          <t>両方（MCPが中心）</t>
        </is>
      </c>
      <c r="O474" s="12" t="inlineStr">
        <is>
          <t>◎</t>
        </is>
      </c>
      <c r="P474" s="13" t="n"/>
      <c r="Q474" s="12" t="inlineStr">
        <is>
          <t>不明</t>
        </is>
      </c>
      <c r="R474" s="14" t="n"/>
      <c r="S474" s="10" t="n"/>
      <c r="T474" s="10" t="inlineStr">
        <is>
          <t>AIにチャットで指示するだけでABテストを実装・公開する様子を実演し、MCPを使う手順を解説する。</t>
        </is>
      </c>
      <c r="U474" s="15" t="inlineStr">
        <is>
          <t>https://prtimes.jp/main/html/rd/p/000000032.000042640.html</t>
        </is>
      </c>
      <c r="V474" s="10" t="n"/>
      <c r="W474" s="10" t="inlineStr">
        <is>
          <t>個別確認</t>
        </is>
      </c>
      <c r="X474" s="10" t="inlineStr">
        <is>
          <t>マーケ業務の自動化</t>
        </is>
      </c>
    </row>
    <row r="475">
      <c r="A475" s="10" t="n">
        <v>474</v>
      </c>
      <c r="B475" s="24" t="n">
        <v>46269</v>
      </c>
      <c r="C475" s="24" t="n">
        <v>46269</v>
      </c>
      <c r="D475" s="10">
        <f>MONTH(B475)&amp;"月"</f>
        <v/>
      </c>
      <c r="E475" s="12" t="n">
        <v>1</v>
      </c>
      <c r="F475" s="10" t="n"/>
      <c r="G475" s="10" t="inlineStr">
        <is>
          <t>第一線で活躍するデータエンジニア・データ組織 AI Agent活用の裏側  Devin編</t>
        </is>
      </c>
      <c r="H475" s="10" t="inlineStr">
        <is>
          <t>ファインディ／Findy</t>
        </is>
      </c>
      <c r="I475" s="10" t="n"/>
      <c r="J475" s="10" t="inlineStr">
        <is>
          <t>connpass</t>
        </is>
      </c>
      <c r="K475" s="10" t="inlineStr">
        <is>
          <t>オンライン</t>
        </is>
      </c>
      <c r="L475" s="10" t="inlineStr">
        <is>
          <t>オンライン</t>
        </is>
      </c>
      <c r="M475" s="10" t="inlineStr">
        <is>
          <t>開発生産性</t>
        </is>
      </c>
      <c r="N475" s="10" t="inlineStr">
        <is>
          <t>AIエージェント</t>
        </is>
      </c>
      <c r="O475" s="12" t="inlineStr">
        <is>
          <t>○</t>
        </is>
      </c>
      <c r="P475" s="13" t="n">
        <v>223</v>
      </c>
      <c r="Q475" s="12" t="inlineStr">
        <is>
          <t>参加者数</t>
        </is>
      </c>
      <c r="R475" s="14" t="n"/>
      <c r="S475" s="10" t="n"/>
      <c r="T475" s="10" t="n"/>
      <c r="U475" s="15" t="inlineStr">
        <is>
          <t>https://findy.connpass.com/event/403790/</t>
        </is>
      </c>
      <c r="V475" s="10" t="n"/>
      <c r="W475" s="10" t="inlineStr">
        <is>
          <t>タイトル一致</t>
        </is>
      </c>
      <c r="X475" s="10" t="n"/>
    </row>
    <row r="476">
      <c r="A476" s="10" t="n">
        <v>475</v>
      </c>
      <c r="B476" s="24" t="n">
        <v>46270</v>
      </c>
      <c r="C476" s="24" t="n">
        <v>46270</v>
      </c>
      <c r="D476" s="10">
        <f>MONTH(B476)&amp;"月"</f>
        <v/>
      </c>
      <c r="E476" s="12" t="n">
        <v>1</v>
      </c>
      <c r="F476" s="10" t="n"/>
      <c r="G476" s="10" t="inlineStr">
        <is>
          <t>【渋谷】Zenn Agentic AI ミニハッカソン with Google Cloud</t>
        </is>
      </c>
      <c r="H476" s="10" t="inlineStr">
        <is>
          <t>クラスメソッド株式会社</t>
        </is>
      </c>
      <c r="I476" s="10" t="n"/>
      <c r="J476" s="10" t="inlineStr">
        <is>
          <t>connpass</t>
        </is>
      </c>
      <c r="K476" s="10" t="inlineStr">
        <is>
          <t>会場</t>
        </is>
      </c>
      <c r="L476" s="10" t="inlineStr">
        <is>
          <t>東京都渋谷区3-21-3 渋谷ストリーム5F</t>
        </is>
      </c>
      <c r="M476" s="10" t="inlineStr">
        <is>
          <t>技術・AI全般</t>
        </is>
      </c>
      <c r="N476" s="10" t="inlineStr">
        <is>
          <t>AIエージェント</t>
        </is>
      </c>
      <c r="O476" s="12" t="inlineStr">
        <is>
          <t>○</t>
        </is>
      </c>
      <c r="P476" s="13" t="n">
        <v>199</v>
      </c>
      <c r="Q476" s="12" t="inlineStr">
        <is>
          <t>参加者数</t>
        </is>
      </c>
      <c r="R476" s="14" t="n">
        <v>270</v>
      </c>
      <c r="S476" s="10" t="n"/>
      <c r="T476" s="10" t="n"/>
      <c r="U476" s="15" t="inlineStr">
        <is>
          <t>https://classmethod.connpass.com/event/398578/</t>
        </is>
      </c>
      <c r="V476" s="10" t="n"/>
      <c r="W476" s="10" t="inlineStr">
        <is>
          <t>タイトル一致</t>
        </is>
      </c>
      <c r="X476" s="10" t="n"/>
    </row>
    <row r="477">
      <c r="A477" s="10" t="n">
        <v>476</v>
      </c>
      <c r="B477" s="24" t="n">
        <v>46270</v>
      </c>
      <c r="C477" s="24" t="n">
        <v>46291</v>
      </c>
      <c r="D477" s="10">
        <f>MONTH(B477)&amp;"月"</f>
        <v/>
      </c>
      <c r="E477" s="12" t="n">
        <v>1</v>
      </c>
      <c r="F477" s="10" t="n"/>
      <c r="G477" s="10" t="inlineStr">
        <is>
          <t>自分の専門知識を、AIで業務アプリにする|AIを提案力に変える実践講座(全3回)</t>
        </is>
      </c>
      <c r="H477" s="10" t="inlineStr">
        <is>
          <t>プロゼミONLINE運営事務局</t>
        </is>
      </c>
      <c r="I477" s="10" t="n"/>
      <c r="J477" s="10" t="inlineStr">
        <is>
          <t>こくちーずプロ</t>
        </is>
      </c>
      <c r="K477" s="10" t="inlineStr">
        <is>
          <t>オンライン</t>
        </is>
      </c>
      <c r="L477" s="10" t="inlineStr">
        <is>
          <t>オンライン 日本</t>
        </is>
      </c>
      <c r="M477" s="10" t="inlineStr">
        <is>
          <t>生産性向上・業務効率化</t>
        </is>
      </c>
      <c r="N477" s="10" t="inlineStr">
        <is>
          <t>AIエージェント</t>
        </is>
      </c>
      <c r="O477" s="12" t="inlineStr">
        <is>
          <t>○</t>
        </is>
      </c>
      <c r="P477" s="13" t="n">
        <v>1</v>
      </c>
      <c r="Q477" s="12" t="inlineStr">
        <is>
          <t>参加者数</t>
        </is>
      </c>
      <c r="R477" s="14" t="n">
        <v>50</v>
      </c>
      <c r="S477" s="10" t="n"/>
      <c r="T477" s="10" t="inlineStr">
        <is>
          <t>「ChatGPTの使い方」は、もう十分に聞いた。 その次が知りたい方へ。 AIの全体像を解説するセミナーは、無料のものが毎週開かれています。本講座がお伝えするのは、その先です。 あなたが長年かけて積み上げてきた専門知識を、AIに載せて業務アプリにする。 それを、実際に手を動かしてつくるところまでご一緒します。 ――――――――――――――― ■ 本講座の中心は、第2回・第3回です 第2回｜9月19日（土）9:30-12:00 専門知識を</t>
        </is>
      </c>
      <c r="U477" s="15" t="inlineStr">
        <is>
          <t>https://www.kokuchpro.com/event/af423536702ee0ee7ec852182609793b/</t>
        </is>
      </c>
      <c r="V477" s="10" t="n"/>
      <c r="W477" s="10" t="inlineStr">
        <is>
          <t>本文一致</t>
        </is>
      </c>
      <c r="X477" s="10" t="n"/>
    </row>
    <row r="478">
      <c r="A478" s="10" t="n">
        <v>477</v>
      </c>
      <c r="B478" s="24" t="n">
        <v>46271</v>
      </c>
      <c r="C478" s="24" t="n">
        <v>46271</v>
      </c>
      <c r="D478" s="10">
        <f>MONTH(B478)&amp;"月"</f>
        <v/>
      </c>
      <c r="E478" s="12" t="n">
        <v>1</v>
      </c>
      <c r="F478" s="10" t="n"/>
      <c r="G478" s="10" t="inlineStr">
        <is>
          <t>Claude Codeで挑戦！〜アプリを１日で作る会〜</t>
        </is>
      </c>
      <c r="H478" s="10" t="inlineStr">
        <is>
          <t>エンジニア繋げ隊</t>
        </is>
      </c>
      <c r="I478" s="10" t="n"/>
      <c r="J478" s="10" t="inlineStr">
        <is>
          <t>connpass</t>
        </is>
      </c>
      <c r="K478" s="10" t="inlineStr">
        <is>
          <t>会場</t>
        </is>
      </c>
      <c r="L478" s="10" t="inlineStr">
        <is>
          <t>愛知県名古屋市中区松原2丁目22-24</t>
        </is>
      </c>
      <c r="M478" s="10" t="inlineStr">
        <is>
          <t>開発生産性</t>
        </is>
      </c>
      <c r="N478" s="10" t="inlineStr">
        <is>
          <t>AIエージェント</t>
        </is>
      </c>
      <c r="O478" s="12" t="inlineStr">
        <is>
          <t>○</t>
        </is>
      </c>
      <c r="P478" s="13" t="n">
        <v>20</v>
      </c>
      <c r="Q478" s="12" t="inlineStr">
        <is>
          <t>参加者数</t>
        </is>
      </c>
      <c r="R478" s="14" t="n">
        <v>29</v>
      </c>
      <c r="S478" s="10" t="n"/>
      <c r="T478" s="10" t="n"/>
      <c r="U478" s="15" t="inlineStr">
        <is>
          <t>https://tunagu-engineer.connpass.com/event/404012/</t>
        </is>
      </c>
      <c r="V478" s="10" t="n"/>
      <c r="W478" s="10" t="inlineStr">
        <is>
          <t>タイトル一致</t>
        </is>
      </c>
      <c r="X478" s="10" t="n"/>
    </row>
    <row r="479">
      <c r="A479" s="10" t="n">
        <v>478</v>
      </c>
      <c r="B479" s="24" t="n">
        <v>46271</v>
      </c>
      <c r="C479" s="24" t="n">
        <v>46271</v>
      </c>
      <c r="D479" s="10">
        <f>MONTH(B479)&amp;"月"</f>
        <v/>
      </c>
      <c r="E479" s="12" t="n">
        <v>1</v>
      </c>
      <c r="F479" s="10" t="n"/>
      <c r="G479" s="10" t="inlineStr">
        <is>
          <t>The Agentic AI Day</t>
        </is>
      </c>
      <c r="H479" s="10" t="inlineStr">
        <is>
          <t>Singularity Society</t>
        </is>
      </c>
      <c r="I479" s="10" t="n"/>
      <c r="J479" s="10" t="inlineStr">
        <is>
          <t>connpass</t>
        </is>
      </c>
      <c r="K479" s="10" t="inlineStr">
        <is>
          <t>会場</t>
        </is>
      </c>
      <c r="L479" s="10" t="inlineStr">
        <is>
          <t>東京都品川区大崎１丁目２−２ アートヴィレッジ大崎セントラルタワー</t>
        </is>
      </c>
      <c r="M479" s="10" t="inlineStr">
        <is>
          <t>技術・AI全般</t>
        </is>
      </c>
      <c r="N479" s="10" t="inlineStr">
        <is>
          <t>AIエージェント</t>
        </is>
      </c>
      <c r="O479" s="12" t="inlineStr">
        <is>
          <t>○</t>
        </is>
      </c>
      <c r="P479" s="13" t="n">
        <v>39</v>
      </c>
      <c r="Q479" s="12" t="inlineStr">
        <is>
          <t>参加者数</t>
        </is>
      </c>
      <c r="R479" s="14" t="n">
        <v>50</v>
      </c>
      <c r="S479" s="10" t="n"/>
      <c r="T479" s="10" t="n"/>
      <c r="U479" s="15" t="inlineStr">
        <is>
          <t>https://singularitysociety.connpass.com/event/403809/</t>
        </is>
      </c>
      <c r="V479" s="10" t="n"/>
      <c r="W479" s="10" t="inlineStr">
        <is>
          <t>タイトル一致</t>
        </is>
      </c>
      <c r="X479" s="10" t="n"/>
    </row>
    <row r="480">
      <c r="A480" s="10" t="n">
        <v>479</v>
      </c>
      <c r="B480" s="24" t="n">
        <v>46271</v>
      </c>
      <c r="C480" s="24" t="n">
        <v>46271</v>
      </c>
      <c r="D480" s="10">
        <f>MONTH(B480)&amp;"月"</f>
        <v/>
      </c>
      <c r="E480" s="12" t="n">
        <v>1</v>
      </c>
      <c r="F480" s="10" t="n"/>
      <c r="G480" s="10" t="inlineStr">
        <is>
          <t>満足度96.3%！Claude Code勉強会 @TOIC名古屋</t>
        </is>
      </c>
      <c r="H480" s="10" t="inlineStr">
        <is>
          <t>株式会社FrISti</t>
        </is>
      </c>
      <c r="I480" s="10" t="n"/>
      <c r="J480" s="10" t="inlineStr">
        <is>
          <t>connpass</t>
        </is>
      </c>
      <c r="K480" s="10" t="inlineStr">
        <is>
          <t>会場</t>
        </is>
      </c>
      <c r="L480" s="10" t="inlineStr">
        <is>
          <t>〒464-0813 愛知県名古屋市千種区不老町</t>
        </is>
      </c>
      <c r="M480" s="10" t="inlineStr">
        <is>
          <t>開発生産性</t>
        </is>
      </c>
      <c r="N480" s="10" t="inlineStr">
        <is>
          <t>AIエージェント</t>
        </is>
      </c>
      <c r="O480" s="12" t="inlineStr">
        <is>
          <t>○</t>
        </is>
      </c>
      <c r="P480" s="13" t="n">
        <v>3</v>
      </c>
      <c r="Q480" s="12" t="inlineStr">
        <is>
          <t>参加者数</t>
        </is>
      </c>
      <c r="R480" s="14" t="n">
        <v>60</v>
      </c>
      <c r="S480" s="10" t="n"/>
      <c r="T480" s="10" t="n"/>
      <c r="U480" s="15" t="inlineStr">
        <is>
          <t>https://fristi.connpass.com/event/400829/</t>
        </is>
      </c>
      <c r="V480" s="10" t="n"/>
      <c r="W480" s="10" t="inlineStr">
        <is>
          <t>タイトル一致</t>
        </is>
      </c>
      <c r="X480" s="10" t="n"/>
    </row>
    <row r="481">
      <c r="A481" s="10" t="n">
        <v>480</v>
      </c>
      <c r="B481" s="24" t="n">
        <v>46272</v>
      </c>
      <c r="C481" s="24" t="n">
        <v>46276</v>
      </c>
      <c r="D481" s="10">
        <f>MONTH(B481)&amp;"月"</f>
        <v/>
      </c>
      <c r="E481" s="12" t="n">
        <v>1</v>
      </c>
      <c r="F481" s="10" t="n"/>
      <c r="G481" s="10" t="inlineStr">
        <is>
          <t>AIの全社導入、その次に何をやるべきか？</t>
        </is>
      </c>
      <c r="H481" s="10" t="inlineStr">
        <is>
          <t>株式会社エムニ</t>
        </is>
      </c>
      <c r="I481" s="10" t="n"/>
      <c r="J481" s="10" t="inlineStr">
        <is>
          <t>TECH PLAY</t>
        </is>
      </c>
      <c r="K481" s="10" t="inlineStr">
        <is>
          <t>オンライン</t>
        </is>
      </c>
      <c r="L481" s="10" t="n"/>
      <c r="M481" s="10" t="inlineStr">
        <is>
          <t>生産管理・製造・SCM</t>
        </is>
      </c>
      <c r="N481" s="10" t="inlineStr">
        <is>
          <t>AIエージェント</t>
        </is>
      </c>
      <c r="O481" s="12" t="inlineStr">
        <is>
          <t>○</t>
        </is>
      </c>
      <c r="P481" s="13" t="n"/>
      <c r="Q481" s="12" t="inlineStr">
        <is>
          <t>非公開</t>
        </is>
      </c>
      <c r="R481" s="14" t="n">
        <v>50</v>
      </c>
      <c r="S481" s="10" t="n"/>
      <c r="T481" s="10" t="inlineStr">
        <is>
          <t>AIの全社導入、その次に何をやるべきか？ AIを全社導入したものの、「利用が一部の社員にとどまっている」「PoCや研修が実際の業務成果につながらない」といった課題を感じていませんか？ 本ウェビナーでは、AI・AIエージェントの全社展開や人材育成を推進するデロイト トーマツと、製造業の業務特化型AIを手掛けるエムニが登壇します。 デロイト トーマツからは、教育・ハッカソンなどを通じてAIを使いこなせる人材・組織を育成する方法を紹介。エムニ</t>
        </is>
      </c>
      <c r="U481" s="15" t="inlineStr">
        <is>
          <t>https://techplay.jp/event/1000295</t>
        </is>
      </c>
      <c r="V481" s="10" t="n"/>
      <c r="W481" s="10" t="inlineStr">
        <is>
          <t>本文一致</t>
        </is>
      </c>
      <c r="X481" s="10" t="n"/>
    </row>
    <row r="482">
      <c r="A482" s="10" t="n">
        <v>481</v>
      </c>
      <c r="B482" s="24" t="n">
        <v>46272</v>
      </c>
      <c r="C482" s="24" t="n">
        <v>46272</v>
      </c>
      <c r="D482" s="10">
        <f>MONTH(B482)&amp;"月"</f>
        <v/>
      </c>
      <c r="E482" s="12" t="n">
        <v>1</v>
      </c>
      <c r="F482" s="10" t="n"/>
      <c r="G482" s="10" t="inlineStr">
        <is>
          <t>【初心者向け】AI駆動開発体験会 - Claude Codeを使ってウェブサイトを公開してみよう</t>
        </is>
      </c>
      <c r="H482" s="10" t="inlineStr">
        <is>
          <t>シンギュラリティ・ラボ</t>
        </is>
      </c>
      <c r="I482" s="10" t="n"/>
      <c r="J482" s="10" t="inlineStr">
        <is>
          <t>connpass</t>
        </is>
      </c>
      <c r="K482" s="10" t="inlineStr">
        <is>
          <t>オンライン</t>
        </is>
      </c>
      <c r="L482" s="10" t="inlineStr">
        <is>
          <t>オンライン</t>
        </is>
      </c>
      <c r="M482" s="10" t="inlineStr">
        <is>
          <t>開発生産性</t>
        </is>
      </c>
      <c r="N482" s="10" t="inlineStr">
        <is>
          <t>AIエージェント</t>
        </is>
      </c>
      <c r="O482" s="12" t="inlineStr">
        <is>
          <t>○</t>
        </is>
      </c>
      <c r="P482" s="13" t="n">
        <v>73</v>
      </c>
      <c r="Q482" s="12" t="inlineStr">
        <is>
          <t>申込者数</t>
        </is>
      </c>
      <c r="R482" s="14" t="n"/>
      <c r="S482" s="10" t="n"/>
      <c r="T482" s="10" t="n"/>
      <c r="U482" s="15" t="inlineStr">
        <is>
          <t>https://future-tech-association.connpass.com/event/402557/</t>
        </is>
      </c>
      <c r="V482" s="15" t="inlineStr">
        <is>
          <t>https://techplay.jp/event/998939</t>
        </is>
      </c>
      <c r="W482" s="10" t="inlineStr">
        <is>
          <t>タイトル一致</t>
        </is>
      </c>
      <c r="X482" s="10" t="n"/>
    </row>
    <row r="483">
      <c r="A483" s="10" t="n">
        <v>482</v>
      </c>
      <c r="B483" s="24" t="n">
        <v>46272</v>
      </c>
      <c r="C483" s="24" t="n">
        <v>46272</v>
      </c>
      <c r="D483" s="10">
        <f>MONTH(B483)&amp;"月"</f>
        <v/>
      </c>
      <c r="E483" s="12" t="n">
        <v>1</v>
      </c>
      <c r="F483" s="10" t="n"/>
      <c r="G483" s="10" t="inlineStr">
        <is>
          <t>【無料オンライン】はじめてのClaude Code講座｜非エンジニアが最初の1週間でつまずかないために</t>
        </is>
      </c>
      <c r="H483" s="10" t="inlineStr">
        <is>
          <t>株式会社GORO</t>
        </is>
      </c>
      <c r="I483" s="10" t="n"/>
      <c r="J483" s="10" t="inlineStr">
        <is>
          <t>TECH PLAY</t>
        </is>
      </c>
      <c r="K483" s="10" t="inlineStr">
        <is>
          <t>オンライン</t>
        </is>
      </c>
      <c r="L483" s="10" t="n"/>
      <c r="M483" s="10" t="inlineStr">
        <is>
          <t>生産性向上・業務効率化</t>
        </is>
      </c>
      <c r="N483" s="10" t="inlineStr">
        <is>
          <t>AIエージェント</t>
        </is>
      </c>
      <c r="O483" s="12" t="inlineStr">
        <is>
          <t>◎</t>
        </is>
      </c>
      <c r="P483" s="13" t="n">
        <v>17</v>
      </c>
      <c r="Q483" s="12" t="inlineStr">
        <is>
          <t>申込者数</t>
        </is>
      </c>
      <c r="R483" s="14" t="n">
        <v>18</v>
      </c>
      <c r="S483" s="10" t="n"/>
      <c r="T483" s="10" t="inlineStr">
        <is>
          <t>「Claude Codeが気になっているが、難しそうで手を出せていない」——そんな非エンジニアの方に向けた無料セミナーです。環境構築の全手順から、はじめての仕事を1つ任せるところまでを、講師がその場のライブデモで通しでお見せします。単なる始め方の紹介ではなく、応答が英語になる・プランの選び方・利用制限との付き合い方といった「始めた直後につまずきやすいポイント」の回避までセットで扱います。Claude Code入門の“最初の一歩”に的を絞</t>
        </is>
      </c>
      <c r="U483" s="15" t="inlineStr">
        <is>
          <t>https://techplay.jp/event/999704</t>
        </is>
      </c>
      <c r="V483" s="10" t="n"/>
      <c r="W483" s="10" t="inlineStr">
        <is>
          <t>タイトル一致</t>
        </is>
      </c>
      <c r="X483" s="10" t="n"/>
    </row>
    <row r="484">
      <c r="A484" s="10" t="n">
        <v>483</v>
      </c>
      <c r="B484" s="24" t="n">
        <v>46272</v>
      </c>
      <c r="C484" s="24" t="n">
        <v>46272</v>
      </c>
      <c r="D484" s="10">
        <f>MONTH(B484)&amp;"月"</f>
        <v/>
      </c>
      <c r="E484" s="12" t="n">
        <v>1</v>
      </c>
      <c r="F484" s="10" t="n"/>
      <c r="G484" s="10" t="inlineStr">
        <is>
          <t>【産学連携オンラインセミナー】広域TLO主催　AIエージェント時代の産業DX～大学研究とスタートアップが拓く、AI活用と社会実装の最前線～を9月7日(月)に開催</t>
        </is>
      </c>
      <c r="H484" s="10" t="inlineStr">
        <is>
          <t>株式会社キャンパスクリエイト（電気通信大学TLO）</t>
        </is>
      </c>
      <c r="I484" s="10" t="n"/>
      <c r="J484" s="10" t="inlineStr">
        <is>
          <t>PR TIMES</t>
        </is>
      </c>
      <c r="K484" s="10" t="inlineStr">
        <is>
          <t>online</t>
        </is>
      </c>
      <c r="L484" s="10" t="inlineStr">
        <is>
          <t>オンライン</t>
        </is>
      </c>
      <c r="M484" s="10" t="inlineStr">
        <is>
          <t>生産性向上・業務効率化</t>
        </is>
      </c>
      <c r="N484" s="10" t="inlineStr">
        <is>
          <t>AIエージェント</t>
        </is>
      </c>
      <c r="O484" s="12" t="inlineStr">
        <is>
          <t>◎</t>
        </is>
      </c>
      <c r="P484" s="13" t="n"/>
      <c r="Q484" s="12" t="inlineStr">
        <is>
          <t>不明</t>
        </is>
      </c>
      <c r="R484" s="14" t="n"/>
      <c r="S484" s="10" t="n"/>
      <c r="T484" s="10" t="inlineStr">
        <is>
          <t>株式会社キャンパスクリエイトは、『AIエージェント時代の産業DX～大学研究とスタートアップが拓く、AI活用と社会実装の最前線～』をテーマにしたオンラインセミナーを、2026年9月7日(月)に開催致します。 【開催概要】 生成AIからAIエージェントへと進化する中、産業現場でのAI活用に注目が集まっています。本セミナーでは、電気通信大学 AIXセンター長 南教授によるAI研究の動向・今後の展望や、電気通信大学、九州工業大学の研究者のAI活</t>
        </is>
      </c>
      <c r="U484" s="15" t="inlineStr">
        <is>
          <t>https://prtimes.jp/main/html/rd/p/000000420.000031052.html</t>
        </is>
      </c>
      <c r="V484" s="10" t="n"/>
      <c r="W484" s="10" t="inlineStr">
        <is>
          <t>タイトル一致</t>
        </is>
      </c>
      <c r="X484" s="10" t="n"/>
    </row>
    <row r="485">
      <c r="A485" s="10" t="n">
        <v>484</v>
      </c>
      <c r="B485" s="24" t="n">
        <v>46272</v>
      </c>
      <c r="C485" s="24" t="n">
        <v>46272</v>
      </c>
      <c r="D485" s="10">
        <f>MONTH(B485)&amp;"月"</f>
        <v/>
      </c>
      <c r="E485" s="12" t="n">
        <v>1</v>
      </c>
      <c r="F485" s="10" t="n"/>
      <c r="G485" s="10" t="inlineStr">
        <is>
          <t>住宅業界1,000社をAI支援したSHO-SAN、経営者向け無料ウェビナー「『AI社員』が住宅会社を変える——経営者のためのClaude Code徹底解説」を9月7日（月）開催</t>
        </is>
      </c>
      <c r="H485" s="10" t="inlineStr">
        <is>
          <t>株式会社SHO-SAN</t>
        </is>
      </c>
      <c r="I485" s="10" t="n"/>
      <c r="J485" s="10" t="inlineStr">
        <is>
          <t>PR TIMES</t>
        </is>
      </c>
      <c r="K485" s="10" t="inlineStr">
        <is>
          <t>online</t>
        </is>
      </c>
      <c r="L485" s="10" t="inlineStr">
        <is>
          <t>オンライン開催（Zoom）</t>
        </is>
      </c>
      <c r="M485" s="10" t="inlineStr">
        <is>
          <t>生産性向上・業務効率化</t>
        </is>
      </c>
      <c r="N485" s="10" t="inlineStr">
        <is>
          <t>AIエージェント</t>
        </is>
      </c>
      <c r="O485" s="12" t="inlineStr">
        <is>
          <t>◎</t>
        </is>
      </c>
      <c r="P485" s="13" t="n"/>
      <c r="Q485" s="12" t="inlineStr">
        <is>
          <t>不明</t>
        </is>
      </c>
      <c r="R485" s="14" t="n"/>
      <c r="S485" s="10" t="n"/>
      <c r="T485" s="10" t="inlineStr">
        <is>
          <t>株式会社SHO-SAN（代表取締役：髙谷 一起）は、住宅会社の経営者を対象とした無料オンラインセミナー「『AI社員』が住宅会社を変える——経営者のためのClaude Code徹底解説」を2026年9月7日（月）14:30より開催します。住宅業界1,000社のAI支援実績（※2026年8月時点・延べ）の知見をもとに、"聞けば答えるAI"と"任せたら最後までやるAI"の違いを、実演デモを交えて解説します。 詳細を確認する ■開催の背景——A</t>
        </is>
      </c>
      <c r="U485" s="15" t="inlineStr">
        <is>
          <t>https://prtimes.jp/main/html/rd/p/000000033.000057281.html</t>
        </is>
      </c>
      <c r="V485" s="10" t="n"/>
      <c r="W485" s="10" t="inlineStr">
        <is>
          <t>タイトル一致</t>
        </is>
      </c>
      <c r="X485" s="10" t="n"/>
    </row>
    <row r="486">
      <c r="A486" s="10" t="n">
        <v>485</v>
      </c>
      <c r="B486" s="24" t="n">
        <v>46273</v>
      </c>
      <c r="C486" s="24" t="n">
        <v>46273</v>
      </c>
      <c r="D486" s="10">
        <f>MONTH(B486)&amp;"月"</f>
        <v/>
      </c>
      <c r="E486" s="12" t="n">
        <v>1</v>
      </c>
      <c r="F486" s="10" t="n"/>
      <c r="G486" s="10" t="inlineStr">
        <is>
          <t>AI Agent Dev Forum｜AI Market Focus</t>
        </is>
      </c>
      <c r="H486" s="10" t="inlineStr">
        <is>
          <t>AI Market セミナー/ウェビナー</t>
        </is>
      </c>
      <c r="I486" s="10" t="n"/>
      <c r="J486" s="10" t="inlineStr">
        <is>
          <t>connpass</t>
        </is>
      </c>
      <c r="K486" s="10" t="inlineStr">
        <is>
          <t>オンライン</t>
        </is>
      </c>
      <c r="L486" s="10" t="inlineStr">
        <is>
          <t>オンライン</t>
        </is>
      </c>
      <c r="M486" s="10" t="inlineStr">
        <is>
          <t>技術・AI全般</t>
        </is>
      </c>
      <c r="N486" s="10" t="inlineStr">
        <is>
          <t>AIエージェント</t>
        </is>
      </c>
      <c r="O486" s="12" t="inlineStr">
        <is>
          <t>○</t>
        </is>
      </c>
      <c r="P486" s="13" t="n">
        <v>9</v>
      </c>
      <c r="Q486" s="12" t="inlineStr">
        <is>
          <t>参加者数</t>
        </is>
      </c>
      <c r="R486" s="14" t="n"/>
      <c r="S486" s="10" t="n"/>
      <c r="T486" s="10" t="n"/>
      <c r="U486" s="15" t="inlineStr">
        <is>
          <t>https://ai-market-seminar.connpass.com/event/404316/</t>
        </is>
      </c>
      <c r="V486" s="10" t="n"/>
      <c r="W486" s="10" t="inlineStr">
        <is>
          <t>タイトル一致</t>
        </is>
      </c>
      <c r="X486" s="10" t="n"/>
    </row>
    <row r="487">
      <c r="A487" s="10" t="n">
        <v>486</v>
      </c>
      <c r="B487" s="24" t="n">
        <v>46273</v>
      </c>
      <c r="C487" s="24" t="n">
        <v>46273</v>
      </c>
      <c r="D487" s="10">
        <f>MONTH(B487)&amp;"月"</f>
        <v/>
      </c>
      <c r="E487" s="12" t="n">
        <v>1</v>
      </c>
      <c r="F487" s="10" t="n"/>
      <c r="G487" s="10" t="inlineStr">
        <is>
          <t>AI Shift、サイバーエージェントグループ数千名規模でのClaude活用知見を公開する無料オンラインセミナーを開催</t>
        </is>
      </c>
      <c r="H487" s="10" t="inlineStr">
        <is>
          <t>株式会社AI Shift</t>
        </is>
      </c>
      <c r="I487" s="10" t="n"/>
      <c r="J487" s="10" t="inlineStr">
        <is>
          <t>PR TIMES</t>
        </is>
      </c>
      <c r="K487" s="10" t="inlineStr">
        <is>
          <t>online</t>
        </is>
      </c>
      <c r="L487" s="10" t="inlineStr">
        <is>
          <t>オンライン</t>
        </is>
      </c>
      <c r="M487" s="10" t="inlineStr">
        <is>
          <t>営業・マーケ・CS</t>
        </is>
      </c>
      <c r="N487" s="10" t="inlineStr">
        <is>
          <t>AIエージェント</t>
        </is>
      </c>
      <c r="O487" s="12" t="inlineStr">
        <is>
          <t>◎</t>
        </is>
      </c>
      <c r="P487" s="13" t="n"/>
      <c r="Q487" s="12" t="inlineStr">
        <is>
          <t>不明</t>
        </is>
      </c>
      <c r="R487" s="14" t="n"/>
      <c r="S487" s="10" t="n"/>
      <c r="T487" s="10" t="inlineStr">
        <is>
          <t>株式会社AI Shift（本社：東京都渋谷区、代表取締役社長：米山結人、以下AI Shift）は、AIモデルClaudeの企業導入・活用定着に関する無料オンラインセミナーを開催いたします。 本セミナーでは、「Claudeが他のAIモデルと何が違うのか分からない」という導入検討段階の疑問から、「導入したものの活用が進まない」という導入後の課題まで、サイバーエージェントグループにおけるClaudeの大規模導入と実運用から得られた知見をもとに</t>
        </is>
      </c>
      <c r="U487" s="15" t="inlineStr">
        <is>
          <t>https://prtimes.jp/main/html/rd/p/000000219.000055962.html</t>
        </is>
      </c>
      <c r="V487" s="10" t="n"/>
      <c r="W487" s="10" t="inlineStr">
        <is>
          <t>タイトル一致</t>
        </is>
      </c>
      <c r="X487" s="10" t="n"/>
    </row>
    <row r="488">
      <c r="A488" s="10" t="n">
        <v>487</v>
      </c>
      <c r="B488" s="24" t="n">
        <v>46273</v>
      </c>
      <c r="C488" s="24" t="n">
        <v>46273</v>
      </c>
      <c r="D488" s="10">
        <f>MONTH(B488)&amp;"月"</f>
        <v/>
      </c>
      <c r="E488" s="12" t="n">
        <v>1</v>
      </c>
      <c r="F488" s="10" t="n"/>
      <c r="G488" s="10" t="inlineStr">
        <is>
          <t>AIおよびAIエージェントによるセキュリティ診断の基礎</t>
        </is>
      </c>
      <c r="H488" s="10" t="inlineStr">
        <is>
          <t>WEST-SEC</t>
        </is>
      </c>
      <c r="I488" s="10" t="n"/>
      <c r="J488" s="10" t="inlineStr">
        <is>
          <t>connpass</t>
        </is>
      </c>
      <c r="K488" s="10" t="inlineStr">
        <is>
          <t>オンライン</t>
        </is>
      </c>
      <c r="L488" s="10" t="inlineStr">
        <is>
          <t>オンライン</t>
        </is>
      </c>
      <c r="M488" s="10" t="inlineStr">
        <is>
          <t>営業・マーケ・CS</t>
        </is>
      </c>
      <c r="N488" s="10" t="inlineStr">
        <is>
          <t>AIエージェント</t>
        </is>
      </c>
      <c r="O488" s="12" t="inlineStr">
        <is>
          <t>◎</t>
        </is>
      </c>
      <c r="P488" s="13" t="n"/>
      <c r="Q488" s="12" t="inlineStr">
        <is>
          <t>不明</t>
        </is>
      </c>
      <c r="R488" s="14" t="n"/>
      <c r="S488" s="10" t="n"/>
      <c r="T488" s="10" t="n"/>
      <c r="U488" s="15" t="inlineStr">
        <is>
          <t>https://west-sec.connpass.com/event/401307/</t>
        </is>
      </c>
      <c r="V488" s="10" t="n"/>
      <c r="W488" s="10" t="inlineStr">
        <is>
          <t>タイトル一致</t>
        </is>
      </c>
      <c r="X488" s="10" t="n"/>
    </row>
    <row r="489">
      <c r="A489" s="10" t="n">
        <v>488</v>
      </c>
      <c r="B489" s="24" t="n">
        <v>46273</v>
      </c>
      <c r="C489" s="24" t="n">
        <v>46273</v>
      </c>
      <c r="D489" s="10">
        <f>MONTH(B489)&amp;"月"</f>
        <v/>
      </c>
      <c r="E489" s="12" t="n">
        <v>1</v>
      </c>
      <c r="F489" s="10" t="n"/>
      <c r="G489" s="10" t="inlineStr">
        <is>
          <t>Claude Code 業務自動化セミナー/中小企業の経営者・決裁者向け</t>
        </is>
      </c>
      <c r="H489" s="10" t="inlineStr">
        <is>
          <t>株式会社ノヴァリス</t>
        </is>
      </c>
      <c r="I489" s="10" t="n"/>
      <c r="J489" s="10" t="inlineStr">
        <is>
          <t>connpass</t>
        </is>
      </c>
      <c r="K489" s="10" t="inlineStr">
        <is>
          <t>オンライン</t>
        </is>
      </c>
      <c r="L489" s="10" t="inlineStr">
        <is>
          <t>オンライン</t>
        </is>
      </c>
      <c r="M489" s="10" t="inlineStr">
        <is>
          <t>生産性向上・業務効率化</t>
        </is>
      </c>
      <c r="N489" s="10" t="inlineStr">
        <is>
          <t>AIエージェント</t>
        </is>
      </c>
      <c r="O489" s="12" t="inlineStr">
        <is>
          <t>◎</t>
        </is>
      </c>
      <c r="P489" s="13" t="n">
        <v>5</v>
      </c>
      <c r="Q489" s="12" t="inlineStr">
        <is>
          <t>参加者数</t>
        </is>
      </c>
      <c r="R489" s="14" t="n">
        <v>10</v>
      </c>
      <c r="S489" s="10" t="n"/>
      <c r="T489" s="10" t="n"/>
      <c r="U489" s="15" t="inlineStr">
        <is>
          <t>https://connpass.com/event/404503/</t>
        </is>
      </c>
      <c r="V489" s="10" t="n"/>
      <c r="W489" s="10" t="inlineStr">
        <is>
          <t>タイトル一致</t>
        </is>
      </c>
      <c r="X489" s="10" t="n"/>
    </row>
    <row r="490">
      <c r="A490" s="10" t="n">
        <v>489</v>
      </c>
      <c r="B490" s="24" t="n">
        <v>46273</v>
      </c>
      <c r="C490" s="24" t="n">
        <v>46273</v>
      </c>
      <c r="D490" s="10">
        <f>MONTH(B490)&amp;"月"</f>
        <v/>
      </c>
      <c r="E490" s="12" t="n">
        <v>1</v>
      </c>
      <c r="F490" s="10" t="n"/>
      <c r="G490" s="10" t="inlineStr">
        <is>
          <t>Claude Codeと歩んだ1年 ― AI駆動経営のリアル、成功も失敗も公開</t>
        </is>
      </c>
      <c r="H490" s="10" t="inlineStr">
        <is>
          <t>ITコミュニティ</t>
        </is>
      </c>
      <c r="I490" s="10" t="n"/>
      <c r="J490" s="10" t="inlineStr">
        <is>
          <t>connpass</t>
        </is>
      </c>
      <c r="K490" s="10" t="inlineStr">
        <is>
          <t>オンライン</t>
        </is>
      </c>
      <c r="L490" s="10" t="inlineStr">
        <is>
          <t>オンライン</t>
        </is>
      </c>
      <c r="M490" s="10" t="inlineStr">
        <is>
          <t>生産性向上・業務効率化</t>
        </is>
      </c>
      <c r="N490" s="10" t="inlineStr">
        <is>
          <t>AIエージェント</t>
        </is>
      </c>
      <c r="O490" s="12" t="inlineStr">
        <is>
          <t>◎</t>
        </is>
      </c>
      <c r="P490" s="13" t="n">
        <v>2</v>
      </c>
      <c r="Q490" s="12" t="inlineStr">
        <is>
          <t>参加者数</t>
        </is>
      </c>
      <c r="R490" s="14" t="n">
        <v>30</v>
      </c>
      <c r="S490" s="10" t="n"/>
      <c r="T490" s="10" t="n"/>
      <c r="U490" s="15" t="inlineStr">
        <is>
          <t>https://acrovision.connpass.com/event/404860/</t>
        </is>
      </c>
      <c r="V490" s="10" t="n"/>
      <c r="W490" s="10" t="inlineStr">
        <is>
          <t>タイトル一致</t>
        </is>
      </c>
      <c r="X490" s="10" t="n"/>
    </row>
    <row r="491">
      <c r="A491" s="10" t="n">
        <v>490</v>
      </c>
      <c r="B491" s="24" t="n">
        <v>46273</v>
      </c>
      <c r="C491" s="24" t="n">
        <v>46274</v>
      </c>
      <c r="D491" s="10">
        <f>MONTH(B491)&amp;"月"</f>
        <v/>
      </c>
      <c r="E491" s="12" t="n">
        <v>1</v>
      </c>
      <c r="F491" s="10" t="n"/>
      <c r="G491" s="10" t="inlineStr">
        <is>
          <t>MarkeZine Day 2026 Autumn「RE-VISION」</t>
        </is>
      </c>
      <c r="H491" s="10" t="inlineStr">
        <is>
          <t>翔泳社 MarkeZine編集部</t>
        </is>
      </c>
      <c r="I491" s="10" t="n"/>
      <c r="J491" s="10" t="inlineStr">
        <is>
          <t>個別調査（公式サイト・PR TIMES等）</t>
        </is>
      </c>
      <c r="K491" s="10" t="inlineStr">
        <is>
          <t>会場</t>
        </is>
      </c>
      <c r="L491" s="10" t="inlineStr">
        <is>
          <t>JPタワー ホール&amp;カンファレンス（KITTE 4F）</t>
        </is>
      </c>
      <c r="M491" s="10" t="inlineStr">
        <is>
          <t>営業・マーケ・CS</t>
        </is>
      </c>
      <c r="N491" s="10" t="inlineStr">
        <is>
          <t>AIエージェント</t>
        </is>
      </c>
      <c r="O491" s="12" t="inlineStr">
        <is>
          <t>◎</t>
        </is>
      </c>
      <c r="P491" s="13" t="n"/>
      <c r="Q491" s="12" t="inlineStr">
        <is>
          <t>不明</t>
        </is>
      </c>
      <c r="R491" s="14" t="n"/>
      <c r="S491" s="10" t="inlineStr">
        <is>
          <t>当日登録枠を追加したとの告知あり</t>
        </is>
      </c>
      <c r="T491" s="10" t="inlineStr">
        <is>
          <t>60以上のセッション。オープニングは「AIエージェント時代のマーケティング変革」で、エージェンティックコマースも扱った。</t>
        </is>
      </c>
      <c r="U491" s="15" t="inlineStr">
        <is>
          <t>https://event.shoeisha.jp/mzday</t>
        </is>
      </c>
      <c r="V491" s="15" t="inlineStr">
        <is>
          <t>https://corp.intimatemerger.com/news/20260813_markezinday/</t>
        </is>
      </c>
      <c r="W491" s="10" t="inlineStr">
        <is>
          <t>個別確認</t>
        </is>
      </c>
      <c r="X491" s="10" t="inlineStr">
        <is>
          <t>セッション名は検索要約から取得した</t>
        </is>
      </c>
    </row>
    <row r="492">
      <c r="A492" s="10" t="n">
        <v>491</v>
      </c>
      <c r="B492" s="24" t="n">
        <v>46273</v>
      </c>
      <c r="C492" s="24" t="n">
        <v>46273</v>
      </c>
      <c r="D492" s="10">
        <f>MONTH(B492)&amp;"月"</f>
        <v/>
      </c>
      <c r="E492" s="12" t="n">
        <v>1</v>
      </c>
      <c r="F492" s="10" t="n"/>
      <c r="G492" s="10" t="inlineStr">
        <is>
          <t>【2026年9月｜ゆるDomo】使い慣れた生成AIでDomoのデータを活用！〜MCPで拡がる世界〜</t>
        </is>
      </c>
      <c r="H492" s="10" t="inlineStr">
        <is>
          <t>ドーモ株式会社</t>
        </is>
      </c>
      <c r="I492" s="10" t="n"/>
      <c r="J492" s="10" t="inlineStr">
        <is>
          <t>Doorkeeper</t>
        </is>
      </c>
      <c r="K492" s="10" t="inlineStr">
        <is>
          <t>不明</t>
        </is>
      </c>
      <c r="L492" s="10" t="n"/>
      <c r="M492" s="10" t="inlineStr">
        <is>
          <t>営業・マーケ・CS</t>
        </is>
      </c>
      <c r="N492" s="10" t="inlineStr">
        <is>
          <t>両方</t>
        </is>
      </c>
      <c r="O492" s="12" t="inlineStr">
        <is>
          <t>◎</t>
        </is>
      </c>
      <c r="P492" s="13" t="n">
        <v>82</v>
      </c>
      <c r="Q492" s="12" t="inlineStr">
        <is>
          <t>参加者数</t>
        </is>
      </c>
      <c r="R492" s="14" t="n"/>
      <c r="S492" s="10" t="n"/>
      <c r="T492" s="10" t="inlineStr">
        <is>
          <t xml:space="preserve"> 9月のゆるDomoは「Domo Essentials MCP」です。 Domo Essentials MCPは、GeminiやClaude、ChatGPTなどのAIエージェントが、Domoのデータを参照し、分析、コンテンツ作成、ワークフロー実行を自然言語で行えるようになる、連携機能です。 Domoの認証・権限管理を維持したまま利用できるので、Domoに設定されたガバナンスに沿った運用を可能にします。 「MCPって何？」という方もあるか</t>
        </is>
      </c>
      <c r="U492" s="15" t="inlineStr">
        <is>
          <t>https://domobuddies.doorkeeper.jp/events/198621</t>
        </is>
      </c>
      <c r="V492" s="10" t="n"/>
      <c r="W492" s="10" t="inlineStr">
        <is>
          <t>タイトル一致</t>
        </is>
      </c>
      <c r="X492" s="10" t="n"/>
    </row>
    <row r="493">
      <c r="A493" s="10" t="n">
        <v>492</v>
      </c>
      <c r="B493" s="24" t="n">
        <v>46273</v>
      </c>
      <c r="C493" s="24" t="n">
        <v>46273</v>
      </c>
      <c r="D493" s="10">
        <f>MONTH(B493)&amp;"月"</f>
        <v/>
      </c>
      <c r="E493" s="12" t="n">
        <v>1</v>
      </c>
      <c r="F493" s="10" t="n"/>
      <c r="G493" s="10" t="inlineStr">
        <is>
          <t>【9/8開催】PEシリーズ交流勉強会 『生成AIの安全性入門』出版記念 × AI高速化 ～著者・有識者による最前線トーク～</t>
        </is>
      </c>
      <c r="H493" s="10" t="inlineStr">
        <is>
          <t>フィックスターズ</t>
        </is>
      </c>
      <c r="I493" s="10" t="n"/>
      <c r="J493" s="10" t="inlineStr">
        <is>
          <t>TECH PLAY</t>
        </is>
      </c>
      <c r="K493" s="10" t="inlineStr">
        <is>
          <t>ハイブリッド</t>
        </is>
      </c>
      <c r="L493" s="10" t="inlineStr">
        <is>
          <t>BLUE FRONT SHIBAURA TOWER S 7F 〒105-0023 東京都港区芝浦１丁目１−１</t>
        </is>
      </c>
      <c r="M493" s="10" t="inlineStr">
        <is>
          <t>開発生産性</t>
        </is>
      </c>
      <c r="N493" s="10" t="inlineStr">
        <is>
          <t>AIエージェント</t>
        </is>
      </c>
      <c r="O493" s="12" t="inlineStr">
        <is>
          <t>△</t>
        </is>
      </c>
      <c r="P493" s="13" t="n">
        <v>3</v>
      </c>
      <c r="Q493" s="12" t="inlineStr">
        <is>
          <t>申込者数</t>
        </is>
      </c>
      <c r="R493" s="14" t="n">
        <v>30</v>
      </c>
      <c r="S493" s="10" t="n"/>
      <c r="T493" s="10" t="inlineStr">
        <is>
          <t>【9/8開催】PEシリーズ交流勉強会 『生成AIの安全性入門』出版記念 × AI高速化 ～著者・有識者による最前線トーク～ 概要 技術評論社 ML Systemシリーズより、2026年1月『実践的パフォーマンスエンジニアリングによるAI高速化』を出版した弊社フィックスターズが、今回同シリーズより最新刊『生成AIの安全性入門』を上梓された綿岡 晃輝氏をお招きし、ML Systemシリーズ著者陣による合同勉強会を開催します。 本セミナーでは</t>
        </is>
      </c>
      <c r="U493" s="15" t="inlineStr">
        <is>
          <t>https://techplay.jp/event/999546</t>
        </is>
      </c>
      <c r="V493" s="10" t="n"/>
      <c r="W493" s="10" t="inlineStr">
        <is>
          <t>本文一致</t>
        </is>
      </c>
      <c r="X493" s="10" t="n"/>
    </row>
    <row r="494">
      <c r="A494" s="10" t="n">
        <v>493</v>
      </c>
      <c r="B494" s="24" t="n">
        <v>46273</v>
      </c>
      <c r="C494" s="24" t="n">
        <v>46294</v>
      </c>
      <c r="D494" s="10">
        <f>MONTH(B494)&amp;"月"</f>
        <v/>
      </c>
      <c r="E494" s="12" t="n">
        <v>1</v>
      </c>
      <c r="F494" s="10" t="n"/>
      <c r="G494" s="10" t="inlineStr">
        <is>
          <t>【AI活用は経営層がコミットできるかがすべて】ランサーズAIネイティブ本部と進めるClaude経営自動化60分個別相談会</t>
        </is>
      </c>
      <c r="H494" s="10" t="inlineStr">
        <is>
          <t>ランサーズ AIネイティブ本部</t>
        </is>
      </c>
      <c r="I494" s="10" t="n"/>
      <c r="J494" s="10" t="inlineStr">
        <is>
          <t>Peatix</t>
        </is>
      </c>
      <c r="K494" s="10" t="inlineStr">
        <is>
          <t>オンライン(個別相談)</t>
        </is>
      </c>
      <c r="L494" s="10" t="n"/>
      <c r="M494" s="10" t="inlineStr">
        <is>
          <t>生産性向上・業務効率化</t>
        </is>
      </c>
      <c r="N494" s="10" t="inlineStr">
        <is>
          <t>MCP</t>
        </is>
      </c>
      <c r="O494" s="12" t="inlineStr">
        <is>
          <t>○</t>
        </is>
      </c>
      <c r="P494" s="13" t="n"/>
      <c r="Q494" s="12" t="inlineStr">
        <is>
          <t>不明</t>
        </is>
      </c>
      <c r="R494" s="14" t="n"/>
      <c r="S494" s="10" t="n"/>
      <c r="T494" s="10" t="inlineStr">
        <is>
          <t>複数日程: 9月8日(火)18:00-19:00、9月29日(火)14:00-15:00（日程相談可）。Claude Code/Claude Desktop/MCP連携で営業準備・経営FB・議事録からのタスク作成等を自動化</t>
        </is>
      </c>
      <c r="U494" s="15" t="inlineStr">
        <is>
          <t>https://peatix.com/event/5155733</t>
        </is>
      </c>
      <c r="V494" s="10" t="n"/>
      <c r="W494" s="10" t="inlineStr">
        <is>
          <t>本文一致</t>
        </is>
      </c>
      <c r="X494" s="10" t="n"/>
    </row>
    <row r="495">
      <c r="A495" s="10" t="n">
        <v>494</v>
      </c>
      <c r="B495" s="24" t="n">
        <v>46273</v>
      </c>
      <c r="C495" s="24" t="n">
        <v>46273</v>
      </c>
      <c r="D495" s="10">
        <f>MONTH(B495)&amp;"月"</f>
        <v/>
      </c>
      <c r="E495" s="12" t="n">
        <v>1</v>
      </c>
      <c r="F495" s="10" t="n"/>
      <c r="G495" s="10" t="inlineStr">
        <is>
          <t>【無料・参加特典付き】今のエンジニア経験に、次は何を足す？｜LLM・RAG・AIエージェント、どこまでやれば実務で通用するか</t>
        </is>
      </c>
      <c r="H495" s="10" t="inlineStr">
        <is>
          <t>株式会社 LiberCraft</t>
        </is>
      </c>
      <c r="I495" s="10" t="n"/>
      <c r="J495" s="10" t="inlineStr">
        <is>
          <t>TECH PLAY</t>
        </is>
      </c>
      <c r="K495" s="10" t="inlineStr">
        <is>
          <t>オンライン</t>
        </is>
      </c>
      <c r="L495" s="10" t="n"/>
      <c r="M495" s="10" t="inlineStr">
        <is>
          <t>開発生産性</t>
        </is>
      </c>
      <c r="N495" s="10" t="inlineStr">
        <is>
          <t>AIエージェント</t>
        </is>
      </c>
      <c r="O495" s="12" t="inlineStr">
        <is>
          <t>○</t>
        </is>
      </c>
      <c r="P495" s="13" t="n">
        <v>4</v>
      </c>
      <c r="Q495" s="12" t="inlineStr">
        <is>
          <t>申込者数</t>
        </is>
      </c>
      <c r="R495" s="14" t="n">
        <v>100</v>
      </c>
      <c r="S495" s="10" t="n"/>
      <c r="T495" s="10" t="inlineStr">
        <is>
          <t>「LLMもRAGもエージェントも、名前は知っている。でも、作れるかと言われると自信がない」 「ベクトルDB、埋め込み、評価、LLMOps。覚えることが多すぎて、どこから手をつけるか決まらない」 「AIエンジニアに興味はあるが、いまの自分との距離がつかめない」 そんな悩みはありませんか？ AI関連の学習情報は、覚えるべきものが並列に流れてきます。どこまでやれば足りるのかという線が見えないまま止まっている方は少なくありません。 そこで今回は</t>
        </is>
      </c>
      <c r="U495" s="15" t="inlineStr">
        <is>
          <t>https://techplay.jp/event/1000114</t>
        </is>
      </c>
      <c r="V495" s="10" t="n"/>
      <c r="W495" s="10" t="inlineStr">
        <is>
          <t>タイトル一致</t>
        </is>
      </c>
      <c r="X495" s="10" t="n"/>
    </row>
    <row r="496">
      <c r="A496" s="10" t="n">
        <v>495</v>
      </c>
      <c r="B496" s="24" t="n">
        <v>46273</v>
      </c>
      <c r="C496" s="24" t="n">
        <v>46273</v>
      </c>
      <c r="D496" s="10">
        <f>MONTH(B496)&amp;"月"</f>
        <v/>
      </c>
      <c r="E496" s="12" t="n">
        <v>1</v>
      </c>
      <c r="F496" s="10" t="n"/>
      <c r="G496" s="10" t="inlineStr">
        <is>
          <t>【第79回】ローカルLLMで作る、自分だけのAIキャラクター ～「見る・考える・喋る」デスクトップ常駐アプリを、エージェントコーディングで開発する～</t>
        </is>
      </c>
      <c r="H496" s="10" t="inlineStr">
        <is>
          <t>aitconsortium</t>
        </is>
      </c>
      <c r="I496" s="10" t="n"/>
      <c r="J496" s="10" t="inlineStr">
        <is>
          <t>Doorkeeper</t>
        </is>
      </c>
      <c r="K496" s="10" t="inlineStr">
        <is>
          <t>不明</t>
        </is>
      </c>
      <c r="L496" s="10" t="n"/>
      <c r="M496" s="10" t="inlineStr">
        <is>
          <t>開発生産性</t>
        </is>
      </c>
      <c r="N496" s="10" t="inlineStr">
        <is>
          <t>AIエージェント</t>
        </is>
      </c>
      <c r="O496" s="12" t="inlineStr">
        <is>
          <t>○</t>
        </is>
      </c>
      <c r="P496" s="13" t="n">
        <v>115</v>
      </c>
      <c r="Q496" s="12" t="inlineStr">
        <is>
          <t>参加者数</t>
        </is>
      </c>
      <c r="R496" s="14" t="n"/>
      <c r="S496" s="10" t="n"/>
      <c r="T496" s="10" t="inlineStr">
        <is>
          <t xml:space="preserve"> こんな方におすすめ ローカルLLMを使ったキャラクターAI・デスクトップアプリの開発に興味がある方 Codexなどのエージェントコーディングを使った個人開発の進め方を知りたい方 単なるチャットボットを超えたインタラクティブなAIキャラクターの実装事例を知りたい方 生成AI時代の個人開発・DIYの面白さに関心があるエンジニア・一般の方 本文 こんにちは！GASG（Generative AI Study Group）主催の杉山です。 ht</t>
        </is>
      </c>
      <c r="U496" s="15" t="inlineStr">
        <is>
          <t>https://aitconsortium.doorkeeper.jp/events/199052</t>
        </is>
      </c>
      <c r="V496" s="10" t="n"/>
      <c r="W496" s="10" t="inlineStr">
        <is>
          <t>タイトル一致</t>
        </is>
      </c>
      <c r="X496" s="10" t="n"/>
    </row>
    <row r="497">
      <c r="A497" s="10" t="n">
        <v>496</v>
      </c>
      <c r="B497" s="24" t="n">
        <v>46273</v>
      </c>
      <c r="C497" s="24" t="n">
        <v>46273</v>
      </c>
      <c r="D497" s="10">
        <f>MONTH(B497)&amp;"月"</f>
        <v/>
      </c>
      <c r="E497" s="12" t="n">
        <v>1</v>
      </c>
      <c r="F497" s="10" t="n"/>
      <c r="G497" s="10" t="inlineStr">
        <is>
          <t>エンタープライズのAI×内製開発は、どこまで進んでいるのか【Enterprise IT CONFERENCE 2026】</t>
        </is>
      </c>
      <c r="H497" s="10" t="inlineStr">
        <is>
          <t>TECH PLAY</t>
        </is>
      </c>
      <c r="I497" s="10" t="n"/>
      <c r="J497" s="10" t="inlineStr">
        <is>
          <t>TECH PLAY</t>
        </is>
      </c>
      <c r="K497" s="10" t="inlineStr">
        <is>
          <t>会場</t>
        </is>
      </c>
      <c r="L497" s="10" t="inlineStr">
        <is>
          <t>品川ザ・グランドホール JR山手線・京浜東北線・横須賀線・東海道本線「品川駅」港南口より徒歩3分</t>
        </is>
      </c>
      <c r="M497" s="10" t="inlineStr">
        <is>
          <t>開発生産性</t>
        </is>
      </c>
      <c r="N497" s="10" t="inlineStr">
        <is>
          <t>AIエージェント</t>
        </is>
      </c>
      <c r="O497" s="12" t="inlineStr">
        <is>
          <t>△</t>
        </is>
      </c>
      <c r="P497" s="13" t="n"/>
      <c r="Q497" s="12" t="inlineStr">
        <is>
          <t>非公開</t>
        </is>
      </c>
      <c r="R497" s="14" t="n">
        <v>350</v>
      </c>
      <c r="S497" s="10" t="n"/>
      <c r="T497" s="10" t="inlineStr">
        <is>
          <t>概要 エンタープライズのAI×内製開発はどこまで進んでいるのか エンタープライズ企業にとって、AI×内製開発の推進は簡単ではありません。 意思決定の階層、高いセキュリティ要件、組織の慣性。大企業ならではの壁が、どこにでも立ちはだかります。 一方で、AIの急速な進化とビジネス環境の変化により、エンタープライズ企業もその対応を迫られています。経営からは「AIをやれ」というプレッシャーがかかる一方、現場では何から手をつければいいのか分からない</t>
        </is>
      </c>
      <c r="U497" s="15" t="inlineStr">
        <is>
          <t>https://techplay.jp/event/998311</t>
        </is>
      </c>
      <c r="V497" s="10" t="n"/>
      <c r="W497" s="10" t="inlineStr">
        <is>
          <t>本文一致</t>
        </is>
      </c>
      <c r="X497" s="10" t="n"/>
    </row>
    <row r="498">
      <c r="A498" s="10" t="n">
        <v>497</v>
      </c>
      <c r="B498" s="24" t="n">
        <v>46273</v>
      </c>
      <c r="C498" s="24" t="n">
        <v>46273</v>
      </c>
      <c r="D498" s="10">
        <f>MONTH(B498)&amp;"月"</f>
        <v/>
      </c>
      <c r="E498" s="12" t="n">
        <v>1</v>
      </c>
      <c r="F498" s="10" t="n"/>
      <c r="G498" s="10" t="inlineStr">
        <is>
          <t>スリーシェイク、「生成AIカンファレンス 2026 AIエージェント時代の実装戦略 ─ 先駆者に学ぶ、産業・開発・知能の新たなかたち—」に協賛、事前イベントに当社代表が登壇</t>
        </is>
      </c>
      <c r="H498" s="10" t="inlineStr">
        <is>
          <t>株式会社スリーシェイク</t>
        </is>
      </c>
      <c r="I498" s="10" t="n"/>
      <c r="J498" s="10" t="inlineStr">
        <is>
          <t>PR TIMES</t>
        </is>
      </c>
      <c r="K498" s="10" t="inlineStr">
        <is>
          <t>offline</t>
        </is>
      </c>
      <c r="L498" s="10" t="inlineStr">
        <is>
          <t>東京大学 伊藤謝恩ホール</t>
        </is>
      </c>
      <c r="M498" s="10" t="inlineStr">
        <is>
          <t>開発生産性</t>
        </is>
      </c>
      <c r="N498" s="10" t="inlineStr">
        <is>
          <t>AIエージェント</t>
        </is>
      </c>
      <c r="O498" s="12" t="inlineStr">
        <is>
          <t>○</t>
        </is>
      </c>
      <c r="P498" s="13" t="n"/>
      <c r="Q498" s="12" t="inlineStr">
        <is>
          <t>不明</t>
        </is>
      </c>
      <c r="R498" s="14" t="n"/>
      <c r="S498" s="10" t="n"/>
      <c r="T498" s="10" t="inlineStr">
        <is>
          <t>株式会社スリーシェイク（本社：東京都中央区、代表取締役社長：吉田 拓真、以下スリーシェイク）は、2026年9月8日（火）に東京大学 伊藤謝恩ホール ／ オンライン配信で開催される「生成AIカンファレンス 2026 AIエージェント時代の実装戦略 ─ 先駆者に学ぶ、産業・開発・知能の新たなかたち—」に協賛し、スリーシェイクが提供するSRE総合支援サービス「Sreake（スリーク）」のブースを出展することをお知らせします。 また、上記イベン</t>
        </is>
      </c>
      <c r="U498" s="15" t="inlineStr">
        <is>
          <t>https://prtimes.jp/main/html/rd/p/000000458.000024873.html</t>
        </is>
      </c>
      <c r="V498" s="10" t="n"/>
      <c r="W498" s="10" t="inlineStr">
        <is>
          <t>タイトル一致</t>
        </is>
      </c>
      <c r="X498" s="10" t="n"/>
    </row>
    <row r="499">
      <c r="A499" s="10" t="n">
        <v>498</v>
      </c>
      <c r="B499" s="24" t="n">
        <v>46273</v>
      </c>
      <c r="C499" s="24" t="n">
        <v>46273</v>
      </c>
      <c r="D499" s="10">
        <f>MONTH(B499)&amp;"月"</f>
        <v/>
      </c>
      <c r="E499" s="12" t="n">
        <v>1</v>
      </c>
      <c r="F499" s="10" t="n"/>
      <c r="G499" s="10" t="inlineStr">
        <is>
          <t>勉強会opsmethod#4「その運用、AIエージェントに任せよう」クラスメソッド日比谷オフィス</t>
        </is>
      </c>
      <c r="H499" s="10" t="inlineStr">
        <is>
          <t>クラスメソッド株式会社</t>
        </is>
      </c>
      <c r="I499" s="10" t="n"/>
      <c r="J499" s="10" t="inlineStr">
        <is>
          <t>connpass</t>
        </is>
      </c>
      <c r="K499" s="10" t="inlineStr">
        <is>
          <t>会場</t>
        </is>
      </c>
      <c r="L499" s="10" t="inlineStr">
        <is>
          <t>東京都港区西新橋1-5-11</t>
        </is>
      </c>
      <c r="M499" s="10" t="inlineStr">
        <is>
          <t>技術・AI全般</t>
        </is>
      </c>
      <c r="N499" s="10" t="inlineStr">
        <is>
          <t>AIエージェント</t>
        </is>
      </c>
      <c r="O499" s="12" t="inlineStr">
        <is>
          <t>○</t>
        </is>
      </c>
      <c r="P499" s="13" t="n">
        <v>29</v>
      </c>
      <c r="Q499" s="12" t="inlineStr">
        <is>
          <t>参加者数</t>
        </is>
      </c>
      <c r="R499" s="14" t="n">
        <v>35</v>
      </c>
      <c r="S499" s="10" t="n"/>
      <c r="T499" s="10" t="n"/>
      <c r="U499" s="15" t="inlineStr">
        <is>
          <t>https://classmethod.connpass.com/event/397518/</t>
        </is>
      </c>
      <c r="V499" s="10" t="n"/>
      <c r="W499" s="10" t="inlineStr">
        <is>
          <t>タイトル一致</t>
        </is>
      </c>
      <c r="X499" s="10" t="n"/>
    </row>
    <row r="500">
      <c r="A500" s="10" t="n">
        <v>499</v>
      </c>
      <c r="B500" s="24" t="n">
        <v>46273</v>
      </c>
      <c r="C500" s="24" t="n">
        <v>46273</v>
      </c>
      <c r="D500" s="10">
        <f>MONTH(B500)&amp;"月"</f>
        <v/>
      </c>
      <c r="E500" s="12" t="n">
        <v>1</v>
      </c>
      <c r="F500" s="10" t="n"/>
      <c r="G500" s="10" t="inlineStr">
        <is>
          <t>生成AIカンファレンス2026 〜AIエージェント時代の実装戦略 — 先駆者に学ぶ、産業・開発・知能の新たなかたち〜</t>
        </is>
      </c>
      <c r="H500" s="10" t="inlineStr">
        <is>
          <t>（記載なし）</t>
        </is>
      </c>
      <c r="I500" s="10" t="n"/>
      <c r="J500" s="10" t="inlineStr">
        <is>
          <t>Peatix</t>
        </is>
      </c>
      <c r="K500" s="10" t="inlineStr">
        <is>
          <t>会場</t>
        </is>
      </c>
      <c r="L500" s="10" t="inlineStr">
        <is>
          <t>東京大学 伊藤謝恩ホール</t>
        </is>
      </c>
      <c r="M500" s="10" t="inlineStr">
        <is>
          <t>開発生産性</t>
        </is>
      </c>
      <c r="N500" s="10" t="inlineStr">
        <is>
          <t>AIエージェント</t>
        </is>
      </c>
      <c r="O500" s="12" t="inlineStr">
        <is>
          <t>○</t>
        </is>
      </c>
      <c r="P500" s="13" t="n"/>
      <c r="Q500" s="12" t="inlineStr">
        <is>
          <t>不明</t>
        </is>
      </c>
      <c r="R500" s="14" t="n"/>
      <c r="S500" s="10" t="n"/>
      <c r="T500" s="10" t="inlineStr">
        <is>
          <t>2026年9月8日(火)10:00-18:30 東京大学伊藤謝恩ホール。産業・開発・知能の3テーマ</t>
        </is>
      </c>
      <c r="U500" s="15" t="inlineStr">
        <is>
          <t>https://peatix.com/event/5084348</t>
        </is>
      </c>
      <c r="V500" s="10" t="n"/>
      <c r="W500" s="10" t="inlineStr">
        <is>
          <t>タイトル一致</t>
        </is>
      </c>
      <c r="X500" s="10" t="n"/>
    </row>
    <row r="501">
      <c r="A501" s="10" t="n">
        <v>500</v>
      </c>
      <c r="B501" s="24" t="n">
        <v>46273</v>
      </c>
      <c r="C501" s="24" t="n">
        <v>46276</v>
      </c>
      <c r="D501" s="10">
        <f>MONTH(B501)&amp;"月"</f>
        <v/>
      </c>
      <c r="E501" s="12" t="n">
        <v>1</v>
      </c>
      <c r="F501" s="10" t="n"/>
      <c r="G501" s="10" t="inlineStr">
        <is>
          <t>第17回 国際物流総合展 2026（Logis-Tech Tokyo）</t>
        </is>
      </c>
      <c r="H501" s="10" t="inlineStr">
        <is>
          <t>日本ロジスティクスシステム協会・日本能率協会</t>
        </is>
      </c>
      <c r="I501" s="10" t="n"/>
      <c r="J501" s="10" t="inlineStr">
        <is>
          <t>個別調査（公式サイト・PR TIMES等）</t>
        </is>
      </c>
      <c r="K501" s="10" t="inlineStr">
        <is>
          <t>会場</t>
        </is>
      </c>
      <c r="L501" s="10" t="inlineStr">
        <is>
          <t>東京ビッグサイト東・西</t>
        </is>
      </c>
      <c r="M501" s="10" t="inlineStr">
        <is>
          <t>生産管理・製造・SCM</t>
        </is>
      </c>
      <c r="N501" s="10" t="inlineStr">
        <is>
          <t>AIエージェント</t>
        </is>
      </c>
      <c r="O501" s="12" t="inlineStr">
        <is>
          <t>◎</t>
        </is>
      </c>
      <c r="P501" s="13" t="n">
        <v>77940</v>
      </c>
      <c r="Q501" s="12" t="inlineStr">
        <is>
          <t>来場登録者数</t>
        </is>
      </c>
      <c r="R501" s="14" t="n"/>
      <c r="S501" s="10" t="inlineStr">
        <is>
          <t>前回は84,193名。出展は565社・団体</t>
        </is>
      </c>
      <c r="T501" s="10" t="inlineStr">
        <is>
          <t>物流の自動化とAI活用を扱う展示とセミナー。AI時代の次世代WMSやAI自動発注など、AI関連の講演が多い。</t>
        </is>
      </c>
      <c r="U501" s="15" t="inlineStr">
        <is>
          <t>https://www.logis-tech-tokyo.gr.jp/ltt/report/quick.html</t>
        </is>
      </c>
      <c r="V501" s="15" t="inlineStr">
        <is>
          <t>https://www.logis-tech-tokyo.gr.jp/ltt/seminar/</t>
        </is>
      </c>
      <c r="W501" s="10" t="inlineStr">
        <is>
          <t>個別確認</t>
        </is>
      </c>
      <c r="X501" s="10" t="n"/>
    </row>
    <row r="502">
      <c r="A502" s="10" t="n">
        <v>501</v>
      </c>
      <c r="B502" s="24" t="n">
        <v>46273</v>
      </c>
      <c r="C502" s="24" t="n">
        <v>46273</v>
      </c>
      <c r="D502" s="10">
        <f>MONTH(B502)&amp;"月"</f>
        <v/>
      </c>
      <c r="E502" s="12" t="n">
        <v>1</v>
      </c>
      <c r="F502" s="10" t="n"/>
      <c r="G502" s="10" t="inlineStr">
        <is>
          <t>経理の遅れが経営判断の遅れに直結する時代——「クラウド会計×AI×MCP」で次世代財務を実現する無料セミナーを9月8日（火）にオンライン開催</t>
        </is>
      </c>
      <c r="H502" s="10" t="inlineStr">
        <is>
          <t>社会保険労務士法人とうかい</t>
        </is>
      </c>
      <c r="I502" s="10" t="n"/>
      <c r="J502" s="10" t="inlineStr">
        <is>
          <t>PR TIMES</t>
        </is>
      </c>
      <c r="K502" s="10" t="inlineStr">
        <is>
          <t>online</t>
        </is>
      </c>
      <c r="L502" s="10" t="inlineStr">
        <is>
          <t>オンライン</t>
        </is>
      </c>
      <c r="M502" s="10" t="inlineStr">
        <is>
          <t>生産性向上・業務効率化</t>
        </is>
      </c>
      <c r="N502" s="10" t="inlineStr">
        <is>
          <t>MCP</t>
        </is>
      </c>
      <c r="O502" s="12" t="inlineStr">
        <is>
          <t>◎</t>
        </is>
      </c>
      <c r="P502" s="13" t="n"/>
      <c r="Q502" s="12" t="inlineStr">
        <is>
          <t>不明</t>
        </is>
      </c>
      <c r="R502" s="14" t="n"/>
      <c r="S502" s="10" t="n"/>
      <c r="T502" s="10" t="inlineStr">
        <is>
          <t>社会保険労務士法人とうかい（所在地：愛知県名古屋市、代表：久野勝也）は、2026年9月8日（火）14:00より、経営者向け無料オンラインセミナー「クラウド会計×AI×MCP 経営を加速させる最新活用術」を開催します。税理士法人しんこう会計の代表・新美敬太氏と弊社代表の久野が登壇します。 「試算表が届くのが遅くリアルタイムな経営判断ができない」「AIをどう業務に組み込めばいいか分からない」という経営者の課題を、クラウド会計・AI・MCPの</t>
        </is>
      </c>
      <c r="U502" s="15" t="inlineStr">
        <is>
          <t>https://prtimes.jp/main/html/rd/p/000000045.000055757.html</t>
        </is>
      </c>
      <c r="V502" s="10" t="n"/>
      <c r="W502" s="10" t="inlineStr">
        <is>
          <t>タイトル一致</t>
        </is>
      </c>
      <c r="X502" s="10" t="n"/>
    </row>
    <row r="503">
      <c r="A503" s="10" t="n">
        <v>502</v>
      </c>
      <c r="B503" s="24" t="n">
        <v>46274</v>
      </c>
      <c r="C503" s="24" t="n">
        <v>46274</v>
      </c>
      <c r="D503" s="10">
        <f>MONTH(B503)&amp;"月"</f>
        <v/>
      </c>
      <c r="E503" s="12" t="n">
        <v>1</v>
      </c>
      <c r="F503" s="10" t="n"/>
      <c r="G503" s="10" t="inlineStr">
        <is>
          <t>9/9(水) 16:00-【見逃し配信】オンラインカンファレンス_最新Copilot製品ショーケース～Copilot Cowork &amp; Scoutが示す、AIと人が協働する次世代ワークスタイル～</t>
        </is>
      </c>
      <c r="H503" s="10" t="inlineStr">
        <is>
          <t>skillupai</t>
        </is>
      </c>
      <c r="I503" s="10" t="n"/>
      <c r="J503" s="10" t="inlineStr">
        <is>
          <t>Doorkeeper</t>
        </is>
      </c>
      <c r="K503" s="10" t="inlineStr">
        <is>
          <t>オンライン</t>
        </is>
      </c>
      <c r="L503" s="10" t="n"/>
      <c r="M503" s="10" t="inlineStr">
        <is>
          <t>生産性向上・業務効率化</t>
        </is>
      </c>
      <c r="N503" s="10" t="inlineStr">
        <is>
          <t>AIエージェント</t>
        </is>
      </c>
      <c r="O503" s="12" t="inlineStr">
        <is>
          <t>◎</t>
        </is>
      </c>
      <c r="P503" s="13" t="n">
        <v>2</v>
      </c>
      <c r="Q503" s="12" t="inlineStr">
        <is>
          <t>参加者数</t>
        </is>
      </c>
      <c r="R503" s="14" t="n">
        <v>30</v>
      </c>
      <c r="S503" s="10" t="n"/>
      <c r="T503" s="10" t="inlineStr">
        <is>
          <t xml:space="preserve"> ■ プログラム概要 2026年8月開催のオンラインカンファレンス「『Microsoft Copilot』活用の現在地と、次なるアプローチ」のセッション録画に、新たに解説パートを加えてお届けします。 2026年6月に一般提供が開始された「Copilot Cowork」、そして現在はまだ一部でのプレビュー提供となる「Microsoft Scout」。複数のアプリケーションをまたいでAIが自律的にタスク管理表や提案書を仕上げていく「同僚とし</t>
        </is>
      </c>
      <c r="U503" s="15" t="inlineStr">
        <is>
          <t>https://skillupai.doorkeeper.jp/events/199109</t>
        </is>
      </c>
      <c r="V503" s="10" t="n"/>
      <c r="W503" s="10" t="inlineStr">
        <is>
          <t>タイトル一致</t>
        </is>
      </c>
      <c r="X503" s="10" t="n"/>
    </row>
    <row r="504">
      <c r="A504" s="10" t="n">
        <v>503</v>
      </c>
      <c r="B504" s="24" t="n">
        <v>46274</v>
      </c>
      <c r="C504" s="24" t="n">
        <v>46274</v>
      </c>
      <c r="D504" s="10">
        <f>MONTH(B504)&amp;"月"</f>
        <v/>
      </c>
      <c r="E504" s="12" t="n">
        <v>1</v>
      </c>
      <c r="F504" s="10" t="n"/>
      <c r="G504" s="10" t="inlineStr">
        <is>
          <t>AIエージェントの活用・開発のための「評価」入門―基本的な考え方から、小さく始める実践のヒントまで</t>
        </is>
      </c>
      <c r="H504" s="10" t="inlineStr">
        <is>
          <t>StudyCo</t>
        </is>
      </c>
      <c r="I504" s="10" t="n"/>
      <c r="J504" s="10" t="inlineStr">
        <is>
          <t>connpass</t>
        </is>
      </c>
      <c r="K504" s="10" t="inlineStr">
        <is>
          <t>オンライン</t>
        </is>
      </c>
      <c r="L504" s="10" t="inlineStr">
        <is>
          <t>オンライン</t>
        </is>
      </c>
      <c r="M504" s="10" t="inlineStr">
        <is>
          <t>開発生産性</t>
        </is>
      </c>
      <c r="N504" s="10" t="inlineStr">
        <is>
          <t>AIエージェント</t>
        </is>
      </c>
      <c r="O504" s="12" t="inlineStr">
        <is>
          <t>○</t>
        </is>
      </c>
      <c r="P504" s="13" t="n">
        <v>223</v>
      </c>
      <c r="Q504" s="12" t="inlineStr">
        <is>
          <t>参加者数</t>
        </is>
      </c>
      <c r="R504" s="14" t="n">
        <v>300</v>
      </c>
      <c r="S504" s="10" t="n"/>
      <c r="T504" s="10" t="n"/>
      <c r="U504" s="15" t="inlineStr">
        <is>
          <t>https://studyco.connpass.com/event/404991/</t>
        </is>
      </c>
      <c r="V504" s="10" t="n"/>
      <c r="W504" s="10" t="inlineStr">
        <is>
          <t>タイトル一致</t>
        </is>
      </c>
      <c r="X504" s="10" t="n"/>
    </row>
    <row r="505">
      <c r="A505" s="10" t="n">
        <v>504</v>
      </c>
      <c r="B505" s="24" t="n">
        <v>46274</v>
      </c>
      <c r="C505" s="24" t="n">
        <v>46274</v>
      </c>
      <c r="D505" s="10">
        <f>MONTH(B505)&amp;"月"</f>
        <v/>
      </c>
      <c r="E505" s="12" t="n">
        <v>1</v>
      </c>
      <c r="F505" s="10" t="n"/>
      <c r="G505" s="10" t="inlineStr">
        <is>
          <t>AIミーティング 2026/09/09 #AIエージェント #MCP</t>
        </is>
      </c>
      <c r="H505" s="10" t="inlineStr">
        <is>
          <t>大阪駆動開発</t>
        </is>
      </c>
      <c r="I505" s="10" t="n"/>
      <c r="J505" s="10" t="inlineStr">
        <is>
          <t>個別調査（公式サイト・PR TIMES等）</t>
        </is>
      </c>
      <c r="K505" s="10" t="inlineStr">
        <is>
          <t>オンライン</t>
        </is>
      </c>
      <c r="L505" s="10" t="inlineStr">
        <is>
          <t>YouTube＋Zoom</t>
        </is>
      </c>
      <c r="M505" s="10" t="inlineStr">
        <is>
          <t>開発生産性</t>
        </is>
      </c>
      <c r="N505" s="10" t="inlineStr">
        <is>
          <t>両方</t>
        </is>
      </c>
      <c r="O505" s="12" t="inlineStr">
        <is>
          <t>○</t>
        </is>
      </c>
      <c r="P505" s="13" t="n">
        <v>56</v>
      </c>
      <c r="Q505" s="12" t="inlineStr">
        <is>
          <t>参加者数</t>
        </is>
      </c>
      <c r="R505" s="14" t="n"/>
      <c r="S505" s="10" t="inlineStr">
        <is>
          <t>connpassの表示</t>
        </is>
      </c>
      <c r="T505" s="10" t="inlineStr">
        <is>
          <t>LLMやAIエージェントについて「調べてみた・作ってみた」を共有するLTイベント。</t>
        </is>
      </c>
      <c r="U505" s="15" t="inlineStr">
        <is>
          <t>https://osaka-driven-dev.connpass.com/event/403631/</t>
        </is>
      </c>
      <c r="V505" s="10" t="n"/>
      <c r="W505" s="10" t="inlineStr">
        <is>
          <t>個別確認</t>
        </is>
      </c>
      <c r="X505" s="10" t="n"/>
    </row>
    <row r="506">
      <c r="A506" s="10" t="n">
        <v>505</v>
      </c>
      <c r="B506" s="24" t="n">
        <v>46274</v>
      </c>
      <c r="C506" s="24" t="n">
        <v>46274</v>
      </c>
      <c r="D506" s="10">
        <f>MONTH(B506)&amp;"月"</f>
        <v/>
      </c>
      <c r="E506" s="12" t="n">
        <v>1</v>
      </c>
      <c r="F506" s="10" t="n"/>
      <c r="G506" s="10" t="inlineStr">
        <is>
          <t>Agentic Tokyo #2</t>
        </is>
      </c>
      <c r="H506" s="10" t="inlineStr">
        <is>
          <t>AI Agent Builders Meetup</t>
        </is>
      </c>
      <c r="I506" s="10" t="n"/>
      <c r="J506" s="10" t="inlineStr">
        <is>
          <t>connpass</t>
        </is>
      </c>
      <c r="K506" s="10" t="inlineStr">
        <is>
          <t>会場</t>
        </is>
      </c>
      <c r="L506" s="10" t="inlineStr">
        <is>
          <t>〒150-6190 Tokyo, Shibuya, 2 Chome−24−12 スクランブルスクエア 24F・25F</t>
        </is>
      </c>
      <c r="M506" s="10" t="inlineStr">
        <is>
          <t>技術・AI全般</t>
        </is>
      </c>
      <c r="N506" s="10" t="inlineStr">
        <is>
          <t>AIエージェント</t>
        </is>
      </c>
      <c r="O506" s="12" t="inlineStr">
        <is>
          <t>○</t>
        </is>
      </c>
      <c r="P506" s="13" t="n">
        <v>107</v>
      </c>
      <c r="Q506" s="12" t="inlineStr">
        <is>
          <t>参加者数</t>
        </is>
      </c>
      <c r="R506" s="14" t="n">
        <v>132</v>
      </c>
      <c r="S506" s="10" t="n"/>
      <c r="T506" s="10" t="n"/>
      <c r="U506" s="15" t="inlineStr">
        <is>
          <t>https://aibuilders.connpass.com/event/401510/</t>
        </is>
      </c>
      <c r="V506" s="10" t="n"/>
      <c r="W506" s="10" t="inlineStr">
        <is>
          <t>タイトル一致</t>
        </is>
      </c>
      <c r="X506" s="10" t="n"/>
    </row>
    <row r="507">
      <c r="A507" s="10" t="n">
        <v>506</v>
      </c>
      <c r="B507" s="24" t="n">
        <v>46274</v>
      </c>
      <c r="C507" s="24" t="n">
        <v>46274</v>
      </c>
      <c r="D507" s="10">
        <f>MONTH(B507)&amp;"月"</f>
        <v/>
      </c>
      <c r="E507" s="12" t="n">
        <v>1</v>
      </c>
      <c r="F507" s="10" t="n"/>
      <c r="G507" s="10" t="inlineStr">
        <is>
          <t>ChatGPT・Geminiで、業務効率化“できていますか?”|Sionic AIが示す「ワークフロー型AIエージェント」という次の一手</t>
        </is>
      </c>
      <c r="H507" s="10" t="inlineStr">
        <is>
          <t>サイオニックエーアイ株式会社</t>
        </is>
      </c>
      <c r="I507" s="10" t="n"/>
      <c r="J507" s="10" t="inlineStr">
        <is>
          <t>こくちーずプロ</t>
        </is>
      </c>
      <c r="K507" s="10" t="inlineStr">
        <is>
          <t>オンライン</t>
        </is>
      </c>
      <c r="L507" s="10" t="inlineStr">
        <is>
          <t>オンライン 日本</t>
        </is>
      </c>
      <c r="M507" s="10" t="inlineStr">
        <is>
          <t>生産性向上・業務効率化</t>
        </is>
      </c>
      <c r="N507" s="10" t="inlineStr">
        <is>
          <t>AIエージェント</t>
        </is>
      </c>
      <c r="O507" s="12" t="inlineStr">
        <is>
          <t>◎</t>
        </is>
      </c>
      <c r="P507" s="13" t="n">
        <v>0</v>
      </c>
      <c r="Q507" s="12" t="inlineStr">
        <is>
          <t>参加者数</t>
        </is>
      </c>
      <c r="R507" s="14" t="n">
        <v>1000</v>
      </c>
      <c r="S507" s="10" t="n"/>
      <c r="T507" s="10" t="inlineStr">
        <is>
          <t>ChatGPT・Gemini、便利に使っていますか？ では、「業務そのもの」は変わりましたか？ アイデア出し、文章の下書き、ちょっとした相談。生成AIを業務で使う企業は着実に増えています。 矢野経済研究所の調査によると、生成AIを全社的または一部部署で活用している企業は43.4%まで増加しました。一方で、AIエージェントを「利用中」と回答した企業は3.3%にとどまっています。 つまり、多くの企業で生成AIの利用は進んでいるものの、問い合</t>
        </is>
      </c>
      <c r="U507" s="15" t="inlineStr">
        <is>
          <t>https://www.kokuchpro.com/event/4b8542ebf70691406de14af20cf22067/</t>
        </is>
      </c>
      <c r="V507" s="10" t="n"/>
      <c r="W507" s="10" t="inlineStr">
        <is>
          <t>タイトル一致</t>
        </is>
      </c>
      <c r="X507" s="10" t="n"/>
    </row>
    <row r="508">
      <c r="A508" s="10" t="n">
        <v>507</v>
      </c>
      <c r="B508" s="24" t="n">
        <v>46274</v>
      </c>
      <c r="C508" s="24" t="n">
        <v>46274</v>
      </c>
      <c r="D508" s="10">
        <f>MONTH(B508)&amp;"月"</f>
        <v/>
      </c>
      <c r="E508" s="12" t="n">
        <v>1</v>
      </c>
      <c r="F508" s="10" t="n"/>
      <c r="G508" s="10" t="inlineStr">
        <is>
          <t>kintone・SalesforceのMCPって業務でどう活用できるの？ SaaS × AI の今</t>
        </is>
      </c>
      <c r="H508" s="10" t="inlineStr">
        <is>
          <t>Japan MCP Business Community（JMBC）</t>
        </is>
      </c>
      <c r="I508" s="10" t="n"/>
      <c r="J508" s="10" t="inlineStr">
        <is>
          <t>connpass</t>
        </is>
      </c>
      <c r="K508" s="10" t="inlineStr">
        <is>
          <t>会場</t>
        </is>
      </c>
      <c r="L508" s="10" t="inlineStr">
        <is>
          <t>東京都中央区日本橋2-7-1 (東京日本橋タワー)</t>
        </is>
      </c>
      <c r="M508" s="10" t="inlineStr">
        <is>
          <t>営業・マーケ・CS</t>
        </is>
      </c>
      <c r="N508" s="10" t="inlineStr">
        <is>
          <t>MCP</t>
        </is>
      </c>
      <c r="O508" s="12" t="inlineStr">
        <is>
          <t>◎</t>
        </is>
      </c>
      <c r="P508" s="13" t="n">
        <v>136</v>
      </c>
      <c r="Q508" s="12" t="inlineStr">
        <is>
          <t>参加者数</t>
        </is>
      </c>
      <c r="R508" s="14" t="n">
        <v>550</v>
      </c>
      <c r="S508" s="10" t="n"/>
      <c r="T508" s="10" t="n"/>
      <c r="U508" s="15" t="inlineStr">
        <is>
          <t>https://jmbc.connpass.com/event/402603/</t>
        </is>
      </c>
      <c r="V508" s="10" t="n"/>
      <c r="W508" s="10" t="inlineStr">
        <is>
          <t>タイトル一致</t>
        </is>
      </c>
      <c r="X508" s="10" t="n"/>
    </row>
    <row r="509">
      <c r="A509" s="10" t="n">
        <v>508</v>
      </c>
      <c r="B509" s="24" t="n">
        <v>46274</v>
      </c>
      <c r="C509" s="24" t="n">
        <v>46274</v>
      </c>
      <c r="D509" s="10">
        <f>MONTH(B509)&amp;"月"</f>
        <v/>
      </c>
      <c r="E509" s="12" t="n">
        <v>1</v>
      </c>
      <c r="F509" s="10" t="n"/>
      <c r="G509" s="10" t="inlineStr">
        <is>
          <t>【VC2026】サイバーエージェント Special Lunch MeetUp</t>
        </is>
      </c>
      <c r="H509" s="10" t="inlineStr">
        <is>
          <t>サイバーエージェント / CyberAgent</t>
        </is>
      </c>
      <c r="I509" s="10" t="n"/>
      <c r="J509" s="10" t="inlineStr">
        <is>
          <t>connpass</t>
        </is>
      </c>
      <c r="K509" s="10" t="inlineStr">
        <is>
          <t>会場</t>
        </is>
      </c>
      <c r="L509" s="10" t="inlineStr">
        <is>
          <t>北海道大学周辺</t>
        </is>
      </c>
      <c r="M509" s="10" t="inlineStr">
        <is>
          <t>営業・マーケ・CS</t>
        </is>
      </c>
      <c r="N509" s="10" t="inlineStr">
        <is>
          <t>AIエージェント</t>
        </is>
      </c>
      <c r="O509" s="12" t="inlineStr">
        <is>
          <t>◎</t>
        </is>
      </c>
      <c r="P509" s="13" t="n">
        <v>20</v>
      </c>
      <c r="Q509" s="12" t="inlineStr">
        <is>
          <t>参加者数</t>
        </is>
      </c>
      <c r="R509" s="14" t="n">
        <v>30</v>
      </c>
      <c r="S509" s="10" t="n"/>
      <c r="T509" s="10" t="n"/>
      <c r="U509" s="15" t="inlineStr">
        <is>
          <t>https://cyberagent.connpass.com/event/400123/</t>
        </is>
      </c>
      <c r="V509" s="10" t="n"/>
      <c r="W509" s="10" t="inlineStr">
        <is>
          <t>タイトル一致</t>
        </is>
      </c>
      <c r="X509" s="10" t="n"/>
    </row>
    <row r="510">
      <c r="A510" s="10" t="n">
        <v>509</v>
      </c>
      <c r="B510" s="24" t="n">
        <v>46274</v>
      </c>
      <c r="C510" s="24" t="n">
        <v>46295</v>
      </c>
      <c r="D510" s="10">
        <f>MONTH(B510)&amp;"月"</f>
        <v/>
      </c>
      <c r="E510" s="12" t="n">
        <v>1</v>
      </c>
      <c r="F510" s="10" t="n"/>
      <c r="G510" s="10" t="inlineStr">
        <is>
          <t>【オンデマンド配信】コーディングエージェントを使った最新の開発技法</t>
        </is>
      </c>
      <c r="H510" s="10" t="inlineStr">
        <is>
          <t>アポロ株式会社</t>
        </is>
      </c>
      <c r="I510" s="10" t="n"/>
      <c r="J510" s="10" t="inlineStr">
        <is>
          <t>TECH PLAY</t>
        </is>
      </c>
      <c r="K510" s="10" t="inlineStr">
        <is>
          <t>オンライン</t>
        </is>
      </c>
      <c r="L510" s="10" t="n"/>
      <c r="M510" s="10" t="inlineStr">
        <is>
          <t>開発生産性</t>
        </is>
      </c>
      <c r="N510" s="10" t="inlineStr">
        <is>
          <t>AIエージェント</t>
        </is>
      </c>
      <c r="O510" s="12" t="inlineStr">
        <is>
          <t>○</t>
        </is>
      </c>
      <c r="P510" s="13" t="n"/>
      <c r="Q510" s="12" t="inlineStr">
        <is>
          <t>非公開</t>
        </is>
      </c>
      <c r="R510" s="14" t="n">
        <v>30</v>
      </c>
      <c r="S510" s="10" t="n"/>
      <c r="T510" s="10" t="inlineStr">
        <is>
          <t>📝 イベント概要 コーディングエージェントは、導入するだけで成果が出るツールではありません。エージェントに開発フローを任せるための「ハーネス」をどう設計するか、そしてタスクを継続的に回す「ループ」をどう組み立てるか。 ここ最近注目を集めているハーネスエンジニアリングやループエンジニアリングといった考え方を踏まえながら、アポロが実践している最新の開発手法を体系的に解説します。 理論だけでなく、実際の開発現場でコーディングエージェントをどう</t>
        </is>
      </c>
      <c r="U510" s="15" t="inlineStr">
        <is>
          <t>https://techplay.jp/event/1000387</t>
        </is>
      </c>
      <c r="V510" s="10" t="n"/>
      <c r="W510" s="10" t="inlineStr">
        <is>
          <t>タイトル一致</t>
        </is>
      </c>
      <c r="X510" s="10" t="n"/>
    </row>
    <row r="511">
      <c r="A511" s="10" t="n">
        <v>510</v>
      </c>
      <c r="B511" s="24" t="n">
        <v>46274</v>
      </c>
      <c r="C511" s="24" t="n">
        <v>46274</v>
      </c>
      <c r="D511" s="10">
        <f>MONTH(B511)&amp;"月"</f>
        <v/>
      </c>
      <c r="E511" s="12" t="n">
        <v>1</v>
      </c>
      <c r="F511" s="10" t="n"/>
      <c r="G511" s="10" t="inlineStr">
        <is>
          <t>【水曜のDX道場】GitHub MCPを使ってみましょう（Vol.33）</t>
        </is>
      </c>
      <c r="H511" s="10" t="inlineStr">
        <is>
          <t>水曜のDX道場</t>
        </is>
      </c>
      <c r="I511" s="10" t="n"/>
      <c r="J511" s="10" t="inlineStr">
        <is>
          <t>個別調査（公式サイト・PR TIMES等）</t>
        </is>
      </c>
      <c r="K511" s="10" t="inlineStr">
        <is>
          <t>ハイブリッド</t>
        </is>
      </c>
      <c r="L511" s="10" t="inlineStr">
        <is>
          <t>コミュニティスペース5.6（大阪市北区）＋オンライン</t>
        </is>
      </c>
      <c r="M511" s="10" t="inlineStr">
        <is>
          <t>開発生産性</t>
        </is>
      </c>
      <c r="N511" s="10" t="inlineStr">
        <is>
          <t>MCP</t>
        </is>
      </c>
      <c r="O511" s="12" t="inlineStr">
        <is>
          <t>○</t>
        </is>
      </c>
      <c r="P511" s="13" t="n">
        <v>7</v>
      </c>
      <c r="Q511" s="12" t="inlineStr">
        <is>
          <t>参加者数</t>
        </is>
      </c>
      <c r="R511" s="14" t="n"/>
      <c r="S511" s="10" t="inlineStr">
        <is>
          <t>オンライン5名と会場2名の合計。connpassの表示</t>
        </is>
      </c>
      <c r="T511" s="10" t="inlineStr">
        <is>
          <t>GitHub MCPをハンズオンで試し、GitHub Actionsによる自動デプロイまでを体験する勉強会。</t>
        </is>
      </c>
      <c r="U511" s="15" t="inlineStr">
        <is>
          <t>https://dxdojo.connpass.com/event/406058/</t>
        </is>
      </c>
      <c r="V511" s="10" t="n"/>
      <c r="W511" s="10" t="inlineStr">
        <is>
          <t>個別確認</t>
        </is>
      </c>
      <c r="X511" s="10" t="inlineStr">
        <is>
          <t>小規模</t>
        </is>
      </c>
    </row>
    <row r="512">
      <c r="A512" s="10" t="n">
        <v>511</v>
      </c>
      <c r="B512" s="24" t="n">
        <v>46274</v>
      </c>
      <c r="C512" s="24" t="n">
        <v>46274</v>
      </c>
      <c r="D512" s="10">
        <f>MONTH(B512)&amp;"月"</f>
        <v/>
      </c>
      <c r="E512" s="12" t="n">
        <v>1</v>
      </c>
      <c r="F512" s="10" t="n"/>
      <c r="G512" s="10" t="inlineStr">
        <is>
          <t>【無料/先着】ChatGPT・Geminiの“次の一手”。ワークフロー型AIエージェントを実演2本で解説</t>
        </is>
      </c>
      <c r="H512" s="10" t="inlineStr">
        <is>
          <t>サイオニックエーアイ</t>
        </is>
      </c>
      <c r="I512" s="10" t="n"/>
      <c r="J512" s="10" t="inlineStr">
        <is>
          <t>TECH PLAY</t>
        </is>
      </c>
      <c r="K512" s="10" t="inlineStr">
        <is>
          <t>オンライン</t>
        </is>
      </c>
      <c r="L512" s="10" t="n"/>
      <c r="M512" s="10" t="inlineStr">
        <is>
          <t>生産管理・製造・SCM</t>
        </is>
      </c>
      <c r="N512" s="10" t="inlineStr">
        <is>
          <t>AIエージェント</t>
        </is>
      </c>
      <c r="O512" s="12" t="inlineStr">
        <is>
          <t>◎</t>
        </is>
      </c>
      <c r="P512" s="13" t="n"/>
      <c r="Q512" s="12" t="inlineStr">
        <is>
          <t>非公開</t>
        </is>
      </c>
      <c r="R512" s="14" t="n">
        <v>300</v>
      </c>
      <c r="S512" s="10" t="n"/>
      <c r="T512" s="10" t="inlineStr">
        <is>
          <t>【無料ウェビナー(先着)】ChatGPT・Geminiの“次の一手”ワークフロー型AIエージェントを2つの実演で解説 概要 ChatGPT・Gemini、便利に使っていますか？ では、「業務そのもの」は変わりましたか？ アイデア出し、文章の下書き、ちょっとした相談。生成AIを業務で使う企業は、着実に増えています。 生成AIを全社的または一部部署で活用している企業は43.4%まで増加しました。 一方、生成AIを活用している企業のうち、AI</t>
        </is>
      </c>
      <c r="U512" s="15" t="inlineStr">
        <is>
          <t>https://techplay.jp/event/999638</t>
        </is>
      </c>
      <c r="V512" s="10" t="n"/>
      <c r="W512" s="10" t="inlineStr">
        <is>
          <t>タイトル一致</t>
        </is>
      </c>
      <c r="X512" s="10" t="n"/>
    </row>
    <row r="513">
      <c r="A513" s="10" t="n">
        <v>512</v>
      </c>
      <c r="B513" s="24" t="n">
        <v>46274</v>
      </c>
      <c r="C513" s="24" t="n">
        <v>46274</v>
      </c>
      <c r="D513" s="10">
        <f>MONTH(B513)&amp;"月"</f>
        <v/>
      </c>
      <c r="E513" s="12" t="n">
        <v>1</v>
      </c>
      <c r="F513" s="10" t="n"/>
      <c r="G513" s="10" t="inlineStr">
        <is>
          <t>みんなで学ぶAIエージェント時代のMicrosoftセキュリティ@Avanade Japan</t>
        </is>
      </c>
      <c r="H513" s="10" t="inlineStr">
        <is>
          <t>Avanade Japan Tech</t>
        </is>
      </c>
      <c r="I513" s="10" t="n"/>
      <c r="J513" s="10" t="inlineStr">
        <is>
          <t>connpass</t>
        </is>
      </c>
      <c r="K513" s="10" t="inlineStr">
        <is>
          <t>会場</t>
        </is>
      </c>
      <c r="L513" s="10" t="inlineStr">
        <is>
          <t>東京都港区六本木１丁目６−１ 泉ガーデンタワー 9F</t>
        </is>
      </c>
      <c r="M513" s="10" t="inlineStr">
        <is>
          <t>営業・マーケ・CS</t>
        </is>
      </c>
      <c r="N513" s="10" t="inlineStr">
        <is>
          <t>AIエージェント</t>
        </is>
      </c>
      <c r="O513" s="12" t="inlineStr">
        <is>
          <t>◎</t>
        </is>
      </c>
      <c r="P513" s="13" t="n">
        <v>84</v>
      </c>
      <c r="Q513" s="12" t="inlineStr">
        <is>
          <t>参加者数</t>
        </is>
      </c>
      <c r="R513" s="14" t="n"/>
      <c r="S513" s="10" t="n"/>
      <c r="T513" s="10" t="n"/>
      <c r="U513" s="15" t="inlineStr">
        <is>
          <t>https://avanadejapantech.connpass.com/event/403423/</t>
        </is>
      </c>
      <c r="V513" s="10" t="n"/>
      <c r="W513" s="10" t="inlineStr">
        <is>
          <t>タイトル一致</t>
        </is>
      </c>
      <c r="X513" s="10" t="n"/>
    </row>
    <row r="514">
      <c r="A514" s="10" t="n">
        <v>513</v>
      </c>
      <c r="B514" s="24" t="n">
        <v>46274</v>
      </c>
      <c r="C514" s="24" t="n">
        <v>46276</v>
      </c>
      <c r="D514" s="10">
        <f>MONTH(B514)&amp;"月"</f>
        <v/>
      </c>
      <c r="E514" s="12" t="n">
        <v>1</v>
      </c>
      <c r="F514" s="10" t="n"/>
      <c r="G514" s="10" t="inlineStr">
        <is>
          <t>ファクトリーイノベーションWeek［秋］2026（スマート工場EXPO・生成AI World ほか）</t>
        </is>
      </c>
      <c r="H514" s="10" t="inlineStr">
        <is>
          <t>RX Japan</t>
        </is>
      </c>
      <c r="I514" s="10" t="n"/>
      <c r="J514" s="10" t="inlineStr">
        <is>
          <t>個別調査（公式サイト・PR TIMES等）</t>
        </is>
      </c>
      <c r="K514" s="10" t="inlineStr">
        <is>
          <t>会場</t>
        </is>
      </c>
      <c r="L514" s="10" t="inlineStr">
        <is>
          <t>幕張メッセ</t>
        </is>
      </c>
      <c r="M514" s="10" t="inlineStr">
        <is>
          <t>生産管理・製造・SCM</t>
        </is>
      </c>
      <c r="N514" s="10" t="inlineStr">
        <is>
          <t>AIエージェント</t>
        </is>
      </c>
      <c r="O514" s="12" t="inlineStr">
        <is>
          <t>◎</t>
        </is>
      </c>
      <c r="P514" s="13" t="n">
        <v>33925</v>
      </c>
      <c r="Q514" s="12" t="inlineStr">
        <is>
          <t>来場者数</t>
        </is>
      </c>
      <c r="R514" s="14" t="n"/>
      <c r="S514" s="10" t="inlineStr">
        <is>
          <t>速報値（同時開催展を含む）。9/9は9,771名、9/10は11,281名、9/11は12,873名</t>
        </is>
      </c>
      <c r="T514" s="10" t="inlineStr">
        <is>
          <t>IoTによる見える化、生成AI、AI外観検査、生産管理システムなど、工場DXの製品が集まる展示会。</t>
        </is>
      </c>
      <c r="U514" s="15" t="inlineStr">
        <is>
          <t>https://www.fiweek.jp/autumn/ja-jp/about/previous/visitorcount.html</t>
        </is>
      </c>
      <c r="V514" s="10" t="n"/>
      <c r="W514" s="10" t="inlineStr">
        <is>
          <t>個別確認</t>
        </is>
      </c>
      <c r="X514" s="10" t="inlineStr">
        <is>
          <t>生産管理システムの展示あり</t>
        </is>
      </c>
    </row>
    <row r="515">
      <c r="A515" s="10" t="n">
        <v>514</v>
      </c>
      <c r="B515" s="24" t="n">
        <v>46274</v>
      </c>
      <c r="C515" s="24" t="n">
        <v>46274</v>
      </c>
      <c r="D515" s="10">
        <f>MONTH(B515)&amp;"月"</f>
        <v/>
      </c>
      <c r="E515" s="12" t="n">
        <v>1</v>
      </c>
      <c r="F515" s="10" t="n"/>
      <c r="G515" s="10" t="inlineStr">
        <is>
          <t>商談準備をAIに任せると、営業はどう変わる？ Claude Code活用ウェビナー</t>
        </is>
      </c>
      <c r="H515" s="10" t="inlineStr">
        <is>
          <t>株式会社フルバリュー</t>
        </is>
      </c>
      <c r="I515" s="10" t="n"/>
      <c r="J515" s="10" t="inlineStr">
        <is>
          <t>TECH PLAY</t>
        </is>
      </c>
      <c r="K515" s="10" t="inlineStr">
        <is>
          <t>オンライン</t>
        </is>
      </c>
      <c r="L515" s="10" t="n"/>
      <c r="M515" s="10" t="inlineStr">
        <is>
          <t>営業・マーケ・CS</t>
        </is>
      </c>
      <c r="N515" s="10" t="inlineStr">
        <is>
          <t>AIエージェント</t>
        </is>
      </c>
      <c r="O515" s="12" t="inlineStr">
        <is>
          <t>◎</t>
        </is>
      </c>
      <c r="P515" s="13" t="n">
        <v>11</v>
      </c>
      <c r="Q515" s="12" t="inlineStr">
        <is>
          <t>申込者数</t>
        </is>
      </c>
      <c r="R515" s="14" t="n">
        <v>50</v>
      </c>
      <c r="S515" s="10" t="n"/>
      <c r="T515" s="10" t="inlineStr">
        <is>
          <t>少人数の営業組織では、営業担当者が商談だけをしているわけではありません。 商談先を調べ、過去のやり取りを確認し、提案を考え、商談後にはメールを書いて記録を残す。 こうした作業をAIに任せられる範囲が広がっています。 本ウェビナーでは、Claude Codeを使って営業業務をどこまで効率化できるのかを、実際の画面と成果物をもとに紹介します。 当日は「商談準備」をその場で実演。さらに、提案構成、フォローメール、商談記録、営業の振り返りまで、</t>
        </is>
      </c>
      <c r="U515" s="15" t="inlineStr">
        <is>
          <t>https://techplay.jp/event/1000046</t>
        </is>
      </c>
      <c r="V515" s="10" t="n"/>
      <c r="W515" s="10" t="inlineStr">
        <is>
          <t>タイトル一致</t>
        </is>
      </c>
      <c r="X515" s="10" t="n"/>
    </row>
    <row r="516">
      <c r="A516" s="10" t="n">
        <v>515</v>
      </c>
      <c r="B516" s="24" t="n">
        <v>46274</v>
      </c>
      <c r="C516" s="24" t="n">
        <v>46274</v>
      </c>
      <c r="D516" s="10">
        <f>MONTH(B516)&amp;"月"</f>
        <v/>
      </c>
      <c r="E516" s="12" t="n">
        <v>1</v>
      </c>
      <c r="F516" s="10" t="n"/>
      <c r="G516" s="10" t="inlineStr">
        <is>
          <t>東京都:【無料セミナー】「見る・探す・入力」作業をゼロへ! ～ComPDF AI × Agentifyで実現するAIドキュメントワークフローの構築～</t>
        </is>
      </c>
      <c r="H516" s="10" t="inlineStr">
        <is>
          <t>KDAN Japan(ケダン ジャパン)セミナー事務局</t>
        </is>
      </c>
      <c r="I516" s="10" t="n"/>
      <c r="J516" s="10" t="inlineStr">
        <is>
          <t>こくちーずプロ</t>
        </is>
      </c>
      <c r="K516" s="10" t="inlineStr">
        <is>
          <t>オフライン（会場）</t>
        </is>
      </c>
      <c r="L516" s="10" t="inlineStr">
        <is>
          <t>ビジョンセンター東京駅前 707 東京都東京都中央区八重洲1-8-17 新槇町ビル6F,7F</t>
        </is>
      </c>
      <c r="M516" s="10" t="inlineStr">
        <is>
          <t>生産性向上・業務効率化</t>
        </is>
      </c>
      <c r="N516" s="10" t="inlineStr">
        <is>
          <t>AIエージェント</t>
        </is>
      </c>
      <c r="O516" s="12" t="inlineStr">
        <is>
          <t>◎</t>
        </is>
      </c>
      <c r="P516" s="13" t="n"/>
      <c r="Q516" s="12" t="inlineStr">
        <is>
          <t>不明</t>
        </is>
      </c>
      <c r="R516" s="14" t="n"/>
      <c r="S516" s="10" t="n"/>
      <c r="T516" s="10" t="inlineStr">
        <is>
          <t>書類の確認、必要な情報の検索、システムへの入力など、日々のドキュメント業務に多くの時間を費やしていませんか？ AI-OCRや生成AIを導入しても、読み取り精度が安定せず、結局は人の目による確認や手直しが必要になるケースも少なくありません。 その背景には、ドキュメントから情報を読み取る工程と、その後の業務処理が分断されているという課題があります。 本セミナーでは、高精度なデータ抽出・構造化を実現する「ComPDF AI」と、AIエージェン</t>
        </is>
      </c>
      <c r="U516" s="15" t="inlineStr">
        <is>
          <t>https://www.kokuchpro.com/event/e25134762a709789a33e8254f2dc9043/</t>
        </is>
      </c>
      <c r="V516" s="10" t="n"/>
      <c r="W516" s="10" t="inlineStr">
        <is>
          <t>タイトル一致</t>
        </is>
      </c>
      <c r="X516" s="10" t="n"/>
    </row>
    <row r="517">
      <c r="A517" s="10" t="n">
        <v>516</v>
      </c>
      <c r="B517" s="24" t="n">
        <v>46274</v>
      </c>
      <c r="C517" s="24" t="n">
        <v>46274</v>
      </c>
      <c r="D517" s="10">
        <f>MONTH(B517)&amp;"月"</f>
        <v/>
      </c>
      <c r="E517" s="12" t="n">
        <v>1</v>
      </c>
      <c r="F517" s="10" t="n"/>
      <c r="G517" s="10" t="inlineStr">
        <is>
          <t>生成AIエージェントで変わるQlik Cloud開発ワークフロー ー　ClaudeとQlik MCP Serverの連携が拓く、データ活用の新しいアプローチ</t>
        </is>
      </c>
      <c r="H517" s="10" t="inlineStr">
        <is>
          <t>Qlik &amp; Talend</t>
        </is>
      </c>
      <c r="I517" s="10" t="n"/>
      <c r="J517" s="10" t="inlineStr">
        <is>
          <t>TECH PLAY</t>
        </is>
      </c>
      <c r="K517" s="10" t="inlineStr">
        <is>
          <t>オンライン</t>
        </is>
      </c>
      <c r="L517" s="10" t="n"/>
      <c r="M517" s="10" t="inlineStr">
        <is>
          <t>開発生産性</t>
        </is>
      </c>
      <c r="N517" s="10" t="inlineStr">
        <is>
          <t>両方</t>
        </is>
      </c>
      <c r="O517" s="12" t="inlineStr">
        <is>
          <t>○</t>
        </is>
      </c>
      <c r="P517" s="13" t="n">
        <v>21</v>
      </c>
      <c r="Q517" s="12" t="inlineStr">
        <is>
          <t>申込者数</t>
        </is>
      </c>
      <c r="R517" s="14" t="n">
        <v>50</v>
      </c>
      <c r="S517" s="10" t="n"/>
      <c r="T517" s="10" t="inlineStr">
        <is>
          <t>Qlik TECH TALK セミナー：生成AIエージェントで変わるQlik Cloud開発ワークフロー～ ClaudeとQlik MCP Serverの連携が拓く、データ活用の新しいアプローチ 生成AIエージェントであるClaudeとQlik MCP Serverを連携させることで、データ準備からアプリケーション構築、分析設計に至る一連の作業がどのように変化するのかをご紹介します。AIエージェントによる自動化と、人による判断・操作を組</t>
        </is>
      </c>
      <c r="U517" s="15" t="inlineStr">
        <is>
          <t>https://techplay.jp/event/999808</t>
        </is>
      </c>
      <c r="V517" s="10" t="n"/>
      <c r="W517" s="10" t="inlineStr">
        <is>
          <t>タイトル一致</t>
        </is>
      </c>
      <c r="X517" s="10" t="n"/>
    </row>
    <row r="518">
      <c r="A518" s="10" t="n">
        <v>517</v>
      </c>
      <c r="B518" s="24" t="n">
        <v>46274</v>
      </c>
      <c r="C518" s="24" t="n">
        <v>46274</v>
      </c>
      <c r="D518" s="10">
        <f>MONTH(B518)&amp;"月"</f>
        <v/>
      </c>
      <c r="E518" s="12" t="n">
        <v>1</v>
      </c>
      <c r="F518" s="10" t="n"/>
      <c r="G518" s="10" t="inlineStr">
        <is>
          <t>生成AI活用実践 ─ 物流業界における配車AI構築ライブデモ</t>
        </is>
      </c>
      <c r="H518" s="10" t="inlineStr">
        <is>
          <t>Solvio株式会社</t>
        </is>
      </c>
      <c r="I518" s="10" t="n"/>
      <c r="J518" s="10" t="inlineStr">
        <is>
          <t>TECH PLAY</t>
        </is>
      </c>
      <c r="K518" s="10" t="inlineStr">
        <is>
          <t>オンライン</t>
        </is>
      </c>
      <c r="L518" s="10" t="n"/>
      <c r="M518" s="10" t="inlineStr">
        <is>
          <t>生産管理・製造・SCM</t>
        </is>
      </c>
      <c r="N518" s="10" t="inlineStr">
        <is>
          <t>AIエージェント</t>
        </is>
      </c>
      <c r="O518" s="12" t="inlineStr">
        <is>
          <t>○</t>
        </is>
      </c>
      <c r="P518" s="13" t="n">
        <v>4</v>
      </c>
      <c r="Q518" s="12" t="inlineStr">
        <is>
          <t>申込者数</t>
        </is>
      </c>
      <c r="R518" s="14" t="n">
        <v>100</v>
      </c>
      <c r="S518" s="10" t="n"/>
      <c r="T518" s="10" t="inlineStr">
        <is>
          <t>概要 生成AI業務活用ウェビナーシリーズ 今回は物流業界をテーマに置き、生成AIの業務活用方法を紹介して行きます。 デモ形式で実際に動くツールを作成するところまでをお見せします。 Claude Codeを使い、業務要件の整理から 動くツールの実装までのプロセスを、 実際のデモを交えて解説します。 技術的な詳細を理解していなくても、 「業務課題を伝えると、生成AIで動くツールができる」感覚を 持ち帰っていただける内容です。 こんな方におす</t>
        </is>
      </c>
      <c r="U518" s="15" t="inlineStr">
        <is>
          <t>https://techplay.jp/event/1000099</t>
        </is>
      </c>
      <c r="V518" s="10" t="n"/>
      <c r="W518" s="10" t="inlineStr">
        <is>
          <t>本文一致</t>
        </is>
      </c>
      <c r="X518" s="10" t="n"/>
    </row>
    <row r="519">
      <c r="A519" s="10" t="n">
        <v>518</v>
      </c>
      <c r="B519" s="24" t="n">
        <v>46274</v>
      </c>
      <c r="C519" s="24" t="n">
        <v>46274</v>
      </c>
      <c r="D519" s="10">
        <f>MONTH(B519)&amp;"月"</f>
        <v/>
      </c>
      <c r="E519" s="12" t="n">
        <v>2</v>
      </c>
      <c r="F519" s="10" t="inlineStr">
        <is>
          <t>09/09、09/09</t>
        </is>
      </c>
      <c r="G519" s="10" t="inlineStr">
        <is>
          <t>第18回経営者交流会～とちぎる～</t>
        </is>
      </c>
      <c r="H519" s="10" t="inlineStr">
        <is>
          <t>株式会社WINエージェント</t>
        </is>
      </c>
      <c r="I519" s="10" t="n"/>
      <c r="J519" s="10" t="inlineStr">
        <is>
          <t>Doorkeeper</t>
        </is>
      </c>
      <c r="K519" s="10" t="inlineStr">
        <is>
          <t>会場</t>
        </is>
      </c>
      <c r="L519" s="10" t="inlineStr">
        <is>
          <t>ライトキューブ宇都宮１０１・１０２ 〒321-0969 栃木県宇都宮市宮みらい１−１</t>
        </is>
      </c>
      <c r="M519" s="10" t="inlineStr">
        <is>
          <t>生産性向上・業務効率化</t>
        </is>
      </c>
      <c r="N519" s="10" t="inlineStr">
        <is>
          <t>AIエージェント</t>
        </is>
      </c>
      <c r="O519" s="12" t="inlineStr">
        <is>
          <t>○</t>
        </is>
      </c>
      <c r="P519" s="13" t="n">
        <v>36</v>
      </c>
      <c r="Q519" s="12" t="inlineStr">
        <is>
          <t>参加者数</t>
        </is>
      </c>
      <c r="R519" s="14" t="n">
        <v>80</v>
      </c>
      <c r="S519" s="10" t="inlineStr">
        <is>
          <t>全2回の合計</t>
        </is>
      </c>
      <c r="T519" s="10" t="inlineStr">
        <is>
          <t xml:space="preserve"> とちぎるとは 【栃木】をより魅力ある地域にすることを目的とする経営者層コミュニティ。 栃木県内（主に宇都宮を予定）で交流イベントを開催し、新たなマッチングを創出していきます。 参加者同士しっかりコミュニケーションの取れる場を用意しておりますので、ご自由に名刺交換やアポイント設定を行っていただけます。 ご自身のビジネスに有効な人脈形成や情報交換を通して、 栃木の魅力を最大限に引き出し、全国に名を轟かせたい！ 栃木に住みたい、栃木で働きた</t>
        </is>
      </c>
      <c r="U519" s="15" t="inlineStr">
        <is>
          <t>https://tochigi-guild.doorkeeper.jp/events/197663</t>
        </is>
      </c>
      <c r="V519" s="10" t="n"/>
      <c r="W519" s="10" t="inlineStr">
        <is>
          <t>本文一致</t>
        </is>
      </c>
      <c r="X519" s="10" t="n"/>
    </row>
    <row r="520">
      <c r="A520" s="10" t="n">
        <v>519</v>
      </c>
      <c r="B520" s="24" t="n">
        <v>46275</v>
      </c>
      <c r="C520" s="24" t="n">
        <v>46276</v>
      </c>
      <c r="D520" s="10">
        <f>MONTH(B520)&amp;"月"</f>
        <v/>
      </c>
      <c r="E520" s="12" t="n">
        <v>1</v>
      </c>
      <c r="F520" s="10" t="n"/>
      <c r="G520" s="10" t="inlineStr">
        <is>
          <t>AGNTCon + MCPCon Japan 2026</t>
        </is>
      </c>
      <c r="H520" s="10" t="inlineStr">
        <is>
          <t>Agentic AI Foundation（AAIF）／Linux Foundation</t>
        </is>
      </c>
      <c r="I520" s="10" t="n"/>
      <c r="J520" s="10" t="inlineStr">
        <is>
          <t>個別調査（公式サイト・PR TIMES等）</t>
        </is>
      </c>
      <c r="K520" s="10" t="inlineStr">
        <is>
          <t>会場</t>
        </is>
      </c>
      <c r="L520" s="10" t="inlineStr">
        <is>
          <t>ベルサール渋谷ガーデン</t>
        </is>
      </c>
      <c r="M520" s="10" t="inlineStr">
        <is>
          <t>大型カンファレンス・展示会</t>
        </is>
      </c>
      <c r="N520" s="10" t="inlineStr">
        <is>
          <t>両方</t>
        </is>
      </c>
      <c r="O520" s="12" t="inlineStr">
        <is>
          <t>◎</t>
        </is>
      </c>
      <c r="P520" s="13" t="n"/>
      <c r="Q520" s="12" t="inlineStr">
        <is>
          <t>不明</t>
        </is>
      </c>
      <c r="R520" s="14" t="n"/>
      <c r="S520" s="10" t="inlineStr">
        <is>
          <t>通常の入場券は6万円</t>
        </is>
      </c>
      <c r="T520" s="10" t="inlineStr">
        <is>
          <t>日本で初めてのAgentic AI・MCPのカンファレンス。MCPの共同作者David Soria Parra氏が基調講演し、企業システムとの接続課題を議論した。</t>
        </is>
      </c>
      <c r="U520" s="15" t="inlineStr">
        <is>
          <t>https://www.publickey1.jp/blog/26/anthropicmcpmcpagntconmcpcon_japan_2026.html</t>
        </is>
      </c>
      <c r="V520" s="15" t="inlineStr">
        <is>
          <t>https://gihyo.jp/article/2026/09/aaif-mcp-a2a-briefing</t>
        </is>
      </c>
      <c r="W520" s="10" t="inlineStr">
        <is>
          <t>個別確認</t>
        </is>
      </c>
      <c r="X520" s="10" t="inlineStr">
        <is>
          <t>MCPを主題とする最大のイベント</t>
        </is>
      </c>
    </row>
    <row r="521">
      <c r="A521" s="10" t="n">
        <v>520</v>
      </c>
      <c r="B521" s="24" t="n">
        <v>46275</v>
      </c>
      <c r="C521" s="24" t="n">
        <v>46275</v>
      </c>
      <c r="D521" s="10">
        <f>MONTH(B521)&amp;"月"</f>
        <v/>
      </c>
      <c r="E521" s="12" t="n">
        <v>1</v>
      </c>
      <c r="F521" s="10" t="n"/>
      <c r="G521" s="10" t="inlineStr">
        <is>
          <t>AI Marketing Day 2026</t>
        </is>
      </c>
      <c r="H521" s="10" t="inlineStr">
        <is>
          <t>Media Innovation（株式会社イード）</t>
        </is>
      </c>
      <c r="I521" s="10" t="n"/>
      <c r="J521" s="10" t="inlineStr">
        <is>
          <t>個別調査（公式サイト・PR TIMES等）</t>
        </is>
      </c>
      <c r="K521" s="10" t="inlineStr">
        <is>
          <t>ハイブリッド</t>
        </is>
      </c>
      <c r="L521" s="10" t="inlineStr">
        <is>
          <t>大手町プレイス ホール&amp;カンファレンス</t>
        </is>
      </c>
      <c r="M521" s="10" t="inlineStr">
        <is>
          <t>営業・マーケ・CS</t>
        </is>
      </c>
      <c r="N521" s="10" t="inlineStr">
        <is>
          <t>AIエージェント</t>
        </is>
      </c>
      <c r="O521" s="12" t="inlineStr">
        <is>
          <t>◎</t>
        </is>
      </c>
      <c r="P521" s="13" t="n"/>
      <c r="Q521" s="12" t="inlineStr">
        <is>
          <t>不明</t>
        </is>
      </c>
      <c r="R521" s="14" t="n"/>
      <c r="S521" s="10" t="n"/>
      <c r="T521" s="10" t="inlineStr">
        <is>
          <t>エージェンティックAIがマーケティングをどう変えるかを議論し、AIエージェントの開発事例をデモで紹介する。</t>
        </is>
      </c>
      <c r="U521" s="15" t="inlineStr">
        <is>
          <t>https://media-innovation.jp/article/2026/07/06/143478.html</t>
        </is>
      </c>
      <c r="V521" s="10" t="n"/>
      <c r="W521" s="10" t="inlineStr">
        <is>
          <t>個別確認</t>
        </is>
      </c>
      <c r="X521" s="10" t="n"/>
    </row>
    <row r="522">
      <c r="A522" s="10" t="n">
        <v>521</v>
      </c>
      <c r="B522" s="24" t="n">
        <v>46275</v>
      </c>
      <c r="C522" s="24" t="n">
        <v>46275</v>
      </c>
      <c r="D522" s="10">
        <f>MONTH(B522)&amp;"月"</f>
        <v/>
      </c>
      <c r="E522" s="12" t="n">
        <v>1</v>
      </c>
      <c r="F522" s="10" t="n"/>
      <c r="G522" s="10" t="inlineStr">
        <is>
          <t>AI Sales Conference 2026〜AIで、一人あたりの生産性を最大化し、売上を伸ばす〜</t>
        </is>
      </c>
      <c r="H522" s="10" t="inlineStr">
        <is>
          <t>株式会社SalesNow</t>
        </is>
      </c>
      <c r="I522" s="10" t="inlineStr">
        <is>
          <t>Salesforce Japan・Zoom・SALESCORE・Magic Moment ほか</t>
        </is>
      </c>
      <c r="J522" s="10" t="inlineStr">
        <is>
          <t>個別調査（公式サイト・PR TIMES等）</t>
        </is>
      </c>
      <c r="K522" s="10" t="inlineStr">
        <is>
          <t>オンライン</t>
        </is>
      </c>
      <c r="L522" s="10" t="n"/>
      <c r="M522" s="10" t="inlineStr">
        <is>
          <t>営業・マーケ・CS</t>
        </is>
      </c>
      <c r="N522" s="10" t="inlineStr">
        <is>
          <t>AIエージェント</t>
        </is>
      </c>
      <c r="O522" s="12" t="inlineStr">
        <is>
          <t>◎</t>
        </is>
      </c>
      <c r="P522" s="13" t="n"/>
      <c r="Q522" s="12" t="inlineStr">
        <is>
          <t>不明</t>
        </is>
      </c>
      <c r="R522" s="14" t="n"/>
      <c r="S522" s="10" t="n"/>
      <c r="T522" s="10" t="inlineStr">
        <is>
          <t>AIと人の分業設計、定型業務の自動化、商談品質の向上を扱う。対象はAI導入後も成果が出ない営業組織。</t>
        </is>
      </c>
      <c r="U522" s="15" t="inlineStr">
        <is>
          <t>https://salesnow.jp/seminars/58/</t>
        </is>
      </c>
      <c r="V522" s="15" t="inlineStr">
        <is>
          <t>https://techplay.jp/event/999720</t>
        </is>
      </c>
      <c r="W522" s="10" t="inlineStr">
        <is>
          <t>個別確認</t>
        </is>
      </c>
      <c r="X522" s="10" t="n"/>
    </row>
    <row r="523">
      <c r="A523" s="10" t="n">
        <v>522</v>
      </c>
      <c r="B523" s="24" t="n">
        <v>46275</v>
      </c>
      <c r="C523" s="24" t="n">
        <v>46275</v>
      </c>
      <c r="D523" s="10">
        <f>MONTH(B523)&amp;"月"</f>
        <v/>
      </c>
      <c r="E523" s="12" t="n">
        <v>1</v>
      </c>
      <c r="F523" s="10" t="n"/>
      <c r="G523" s="10" t="inlineStr">
        <is>
          <t>Dify、AIエージェントの本番実装をテーマに「IF Con Tokyo 2026」開催</t>
        </is>
      </c>
      <c r="H523" s="10" t="inlineStr">
        <is>
          <t>株式会社LangGenius（Dify 開発元）</t>
        </is>
      </c>
      <c r="I523" s="10" t="n"/>
      <c r="J523" s="10" t="inlineStr">
        <is>
          <t>PR TIMES</t>
        </is>
      </c>
      <c r="K523" s="10" t="inlineStr">
        <is>
          <t>offline</t>
        </is>
      </c>
      <c r="L523" s="10" t="inlineStr">
        <is>
          <t>東京コンベンションホール</t>
        </is>
      </c>
      <c r="M523" s="10" t="inlineStr">
        <is>
          <t>開発生産性</t>
        </is>
      </c>
      <c r="N523" s="10" t="inlineStr">
        <is>
          <t>AIエージェント</t>
        </is>
      </c>
      <c r="O523" s="12" t="inlineStr">
        <is>
          <t>○</t>
        </is>
      </c>
      <c r="P523" s="13" t="n"/>
      <c r="Q523" s="12" t="inlineStr">
        <is>
          <t>不明</t>
        </is>
      </c>
      <c r="R523" s="14" t="n"/>
      <c r="S523" s="10" t="n"/>
      <c r="T523" s="10" t="inlineStr">
        <is>
          <t>株式会社LangGenius（本社：東京都中央区、代表取締役社長：キジ マルダン）は、生成AIカンファレンス「IF Con Tokyo 2026」を、2026年9月10日（木）に東京コンベンションホールにて開催いたします。参加費は無料、事前登録制です。 「IF Con Tokyo 2026」は、生成AIをPoCで終わらせず、組織・業務・プロダクトで本番活用したい方に向けたカンファレンスです。AIエージェントと共同する時代に、企業の想像を</t>
        </is>
      </c>
      <c r="U523" s="15" t="inlineStr">
        <is>
          <t>https://prtimes.jp/main/html/rd/p/000000028.000166429.html</t>
        </is>
      </c>
      <c r="V523" s="10" t="n"/>
      <c r="W523" s="10" t="inlineStr">
        <is>
          <t>タイトル一致</t>
        </is>
      </c>
      <c r="X523" s="10" t="n"/>
    </row>
    <row r="524">
      <c r="A524" s="10" t="n">
        <v>523</v>
      </c>
      <c r="B524" s="24" t="n">
        <v>46275</v>
      </c>
      <c r="C524" s="24" t="n">
        <v>46275</v>
      </c>
      <c r="D524" s="10">
        <f>MONTH(B524)&amp;"月"</f>
        <v/>
      </c>
      <c r="E524" s="12" t="n">
        <v>1</v>
      </c>
      <c r="F524" s="10" t="n"/>
      <c r="G524" s="10" t="inlineStr">
        <is>
          <t>【30分・GCP】閉域網で安全に生成AIを動かす——Gemini Enterprise Agent Platformのデータ境界・権限・監査を先に決める実行基盤とプロジェクトの進め方</t>
        </is>
      </c>
      <c r="H524" s="10" t="inlineStr">
        <is>
          <t>Ragate株式会社</t>
        </is>
      </c>
      <c r="I524" s="10" t="n"/>
      <c r="J524" s="10" t="inlineStr">
        <is>
          <t>TECH PLAY</t>
        </is>
      </c>
      <c r="K524" s="10" t="inlineStr">
        <is>
          <t>オンライン</t>
        </is>
      </c>
      <c r="L524" s="10" t="n"/>
      <c r="M524" s="10" t="inlineStr">
        <is>
          <t>営業・マーケ・CS</t>
        </is>
      </c>
      <c r="N524" s="10" t="inlineStr">
        <is>
          <t>AIエージェント</t>
        </is>
      </c>
      <c r="O524" s="12" t="inlineStr">
        <is>
          <t>◎</t>
        </is>
      </c>
      <c r="P524" s="13" t="n">
        <v>6</v>
      </c>
      <c r="Q524" s="12" t="inlineStr">
        <is>
          <t>申込者数</t>
        </is>
      </c>
      <c r="R524" s="14" t="n">
        <v>50</v>
      </c>
      <c r="S524" s="10" t="n"/>
      <c r="T524" s="10" t="inlineStr">
        <is>
          <t>機密情報や個人情報を扱う企業では、生成AIを社内データへつなぐ際に「インターネットへ出さないこと」が重要な要件になります。Google Cloudでは、Cloud Interconnect、Private Google Access、Private Service Connect、VPC Service Controlsなどを組み合わせ、オンプレミスからGoogle CloudのAI・データサービスまでの経路と境界を設計できます。しかし</t>
        </is>
      </c>
      <c r="U524" s="15" t="inlineStr">
        <is>
          <t>https://techplay.jp/event/998462</t>
        </is>
      </c>
      <c r="V524" s="10" t="n"/>
      <c r="W524" s="10" t="inlineStr">
        <is>
          <t>タイトル一致</t>
        </is>
      </c>
      <c r="X524" s="10" t="n"/>
    </row>
    <row r="525">
      <c r="A525" s="10" t="n">
        <v>524</v>
      </c>
      <c r="B525" s="24" t="n">
        <v>46275</v>
      </c>
      <c r="C525" s="24" t="n">
        <v>46275</v>
      </c>
      <c r="D525" s="10">
        <f>MONTH(B525)&amp;"月"</f>
        <v/>
      </c>
      <c r="E525" s="12" t="n">
        <v>1</v>
      </c>
      <c r="F525" s="10" t="n"/>
      <c r="G525" s="10" t="inlineStr">
        <is>
          <t>【Claude超入門】チャットで終わらせない、AIエージェント活用の第一歩</t>
        </is>
      </c>
      <c r="H525" s="10" t="inlineStr">
        <is>
          <t>アジアクエスト株式会社</t>
        </is>
      </c>
      <c r="I525" s="10" t="n"/>
      <c r="J525" s="10" t="inlineStr">
        <is>
          <t>個別調査（公式サイト・PR TIMES等）</t>
        </is>
      </c>
      <c r="K525" s="10" t="inlineStr">
        <is>
          <t>オンライン</t>
        </is>
      </c>
      <c r="L525" s="10" t="n"/>
      <c r="M525" s="10" t="inlineStr">
        <is>
          <t>生産性向上・業務効率化</t>
        </is>
      </c>
      <c r="N525" s="10" t="inlineStr">
        <is>
          <t>AIエージェント</t>
        </is>
      </c>
      <c r="O525" s="12" t="inlineStr">
        <is>
          <t>◎</t>
        </is>
      </c>
      <c r="P525" s="13" t="n">
        <v>58</v>
      </c>
      <c r="Q525" s="12" t="inlineStr">
        <is>
          <t>参加者数</t>
        </is>
      </c>
      <c r="R525" s="14" t="n"/>
      <c r="S525" s="10" t="inlineStr">
        <is>
          <t>connpassの表示</t>
        </is>
      </c>
      <c r="T525" s="10" t="inlineStr">
        <is>
          <t>チャット型AIから、実際に作業を任せるAIエージェントへの移り方を、Claude CodeとClaude Coworkのデモで紹介する。</t>
        </is>
      </c>
      <c r="U525" s="15" t="inlineStr">
        <is>
          <t>https://asiaquest.connpass.com/event/404823/</t>
        </is>
      </c>
      <c r="V525" s="10" t="n"/>
      <c r="W525" s="10" t="inlineStr">
        <is>
          <t>個別確認</t>
        </is>
      </c>
      <c r="X525" s="10" t="n"/>
    </row>
    <row r="526">
      <c r="A526" s="10" t="n">
        <v>525</v>
      </c>
      <c r="B526" s="24" t="n">
        <v>46275</v>
      </c>
      <c r="C526" s="24" t="n">
        <v>46275</v>
      </c>
      <c r="D526" s="10">
        <f>MONTH(B526)&amp;"月"</f>
        <v/>
      </c>
      <c r="E526" s="12" t="n">
        <v>1</v>
      </c>
      <c r="F526" s="10" t="n"/>
      <c r="G526" s="10" t="inlineStr">
        <is>
          <t>【エージェント型AI、ClaudeCode活用事例特集】ビジネスマッチング部会</t>
        </is>
      </c>
      <c r="H526" s="10" t="inlineStr">
        <is>
          <t>retech</t>
        </is>
      </c>
      <c r="I526" s="10" t="n"/>
      <c r="J526" s="10" t="inlineStr">
        <is>
          <t>Doorkeeper</t>
        </is>
      </c>
      <c r="K526" s="10" t="inlineStr">
        <is>
          <t>会場</t>
        </is>
      </c>
      <c r="L526" s="10" t="inlineStr">
        <is>
          <t>MIRAI LAB PALETTE （ミライラボパレット） 東京都千代田区大手町1-6-1 大手町ビル2階（中央部）</t>
        </is>
      </c>
      <c r="M526" s="10" t="inlineStr">
        <is>
          <t>営業・マーケ・CS</t>
        </is>
      </c>
      <c r="N526" s="10" t="inlineStr">
        <is>
          <t>AIエージェント</t>
        </is>
      </c>
      <c r="O526" s="12" t="inlineStr">
        <is>
          <t>◎</t>
        </is>
      </c>
      <c r="P526" s="13" t="n">
        <v>58</v>
      </c>
      <c r="Q526" s="12" t="inlineStr">
        <is>
          <t>参加者数</t>
        </is>
      </c>
      <c r="R526" s="14" t="n"/>
      <c r="S526" s="10" t="n"/>
      <c r="T526" s="10" t="inlineStr">
        <is>
          <t xml:space="preserve"> 2022年の初開催以来、不動産テック協会主催のビジネスマッチング部会には、延べ1,400名以上の方にご来場いただいております。 今回は、前回開催した「Claude Code初心者勉強会」が大きな反響をいただいたことを受け、 さらに一歩踏み込んだ「Claude Codeの実践活用」をテーマにイベントを開催いたします。 Claude Codeを実際の業務やサービス開発で活用している不動産・不動産テック業界の実践者をお招きし、「Claude</t>
        </is>
      </c>
      <c r="U526" s="15" t="inlineStr">
        <is>
          <t>https://retech.doorkeeper.jp/events/198730</t>
        </is>
      </c>
      <c r="V526" s="10" t="n"/>
      <c r="W526" s="10" t="inlineStr">
        <is>
          <t>タイトル一致</t>
        </is>
      </c>
      <c r="X526" s="10" t="n"/>
    </row>
    <row r="527">
      <c r="A527" s="10" t="n">
        <v>526</v>
      </c>
      <c r="B527" s="24" t="n">
        <v>46275</v>
      </c>
      <c r="C527" s="24" t="n">
        <v>46275</v>
      </c>
      <c r="D527" s="10">
        <f>MONTH(B527)&amp;"月"</f>
        <v/>
      </c>
      <c r="E527" s="12" t="n">
        <v>1</v>
      </c>
      <c r="F527" s="10" t="n"/>
      <c r="G527" s="10" t="inlineStr">
        <is>
          <t>【情シス・DX担当者向け】ローカルLLM導入に、大規模サーバーは必要か？ ～GBase×HP ZGX Nanoで始めるRAG基盤の小規模導入～</t>
        </is>
      </c>
      <c r="H527" s="10" t="inlineStr">
        <is>
          <t>三谷商事株式会社 株式会社 日本HP</t>
        </is>
      </c>
      <c r="I527" s="10" t="inlineStr">
        <is>
          <t>三谷商事株式会社 株式会社 日本HP</t>
        </is>
      </c>
      <c r="J527" s="10" t="inlineStr">
        <is>
          <t>Doorkeeper</t>
        </is>
      </c>
      <c r="K527" s="10" t="inlineStr">
        <is>
          <t>不明</t>
        </is>
      </c>
      <c r="L527" s="10" t="n"/>
      <c r="M527" s="10" t="inlineStr">
        <is>
          <t>生産性向上・業務効率化</t>
        </is>
      </c>
      <c r="N527" s="10" t="inlineStr">
        <is>
          <t>AIエージェント</t>
        </is>
      </c>
      <c r="O527" s="12" t="inlineStr">
        <is>
          <t>○</t>
        </is>
      </c>
      <c r="P527" s="13" t="n">
        <v>1</v>
      </c>
      <c r="Q527" s="12" t="inlineStr">
        <is>
          <t>参加者数</t>
        </is>
      </c>
      <c r="R527" s="14" t="n">
        <v>1</v>
      </c>
      <c r="S527" s="10" t="n"/>
      <c r="T527"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機密情報を外部に出さない生成AI環境への需要 生成AIの業務活用が広がる一方で、クラウド型AIツールに機密情報や社内文書を入力することへの懸念は多く存在しています。 このため、この懸念に対応する選択肢と</t>
        </is>
      </c>
      <c r="U527" s="15" t="inlineStr">
        <is>
          <t>https://majisemi-technology.doorkeeper.jp/events/198905</t>
        </is>
      </c>
      <c r="V527" s="10" t="n"/>
      <c r="W527" s="10" t="inlineStr">
        <is>
          <t>本文一致</t>
        </is>
      </c>
      <c r="X527" s="10" t="n"/>
    </row>
    <row r="528">
      <c r="A528" s="10" t="n">
        <v>527</v>
      </c>
      <c r="B528" s="24" t="n">
        <v>46275</v>
      </c>
      <c r="C528" s="24" t="n">
        <v>46275</v>
      </c>
      <c r="D528" s="10">
        <f>MONTH(B528)&amp;"月"</f>
        <v/>
      </c>
      <c r="E528" s="12" t="n">
        <v>1</v>
      </c>
      <c r="F528" s="10" t="n"/>
      <c r="G528" s="10" t="inlineStr">
        <is>
          <t>【特典あり・参加申込400名突破】Obsidian × Claude Codeで才能を「強み」に育てる、AI時代のキャリア戦略｜講師：かおる氏〈ADP Vol.102〉</t>
        </is>
      </c>
      <c r="H528" s="10" t="inlineStr">
        <is>
          <t>AI Dreamers Production(ADP)</t>
        </is>
      </c>
      <c r="I528" s="10" t="n"/>
      <c r="J528" s="10" t="inlineStr">
        <is>
          <t>Peatix</t>
        </is>
      </c>
      <c r="K528" s="10" t="inlineStr">
        <is>
          <t>オンライン</t>
        </is>
      </c>
      <c r="L528" s="10" t="n"/>
      <c r="M528" s="10" t="inlineStr">
        <is>
          <t>開発生産性</t>
        </is>
      </c>
      <c r="N528" s="10" t="inlineStr">
        <is>
          <t>AIエージェント</t>
        </is>
      </c>
      <c r="O528" s="12" t="inlineStr">
        <is>
          <t>○</t>
        </is>
      </c>
      <c r="P528" s="13" t="n"/>
      <c r="Q528" s="12" t="inlineStr">
        <is>
          <t>定員</t>
        </is>
      </c>
      <c r="R528" s="14" t="n">
        <v>600</v>
      </c>
      <c r="S528" s="10" t="n"/>
      <c r="T528" s="10" t="inlineStr">
        <is>
          <t>2026年9月10日(木)20:00-21:30 定員600名 リアルタイム無料/特典付きアーカイブ1,980円</t>
        </is>
      </c>
      <c r="U528" s="15" t="inlineStr">
        <is>
          <t>https://adp-102.peatix.com/</t>
        </is>
      </c>
      <c r="V528" s="10" t="n"/>
      <c r="W528" s="10" t="inlineStr">
        <is>
          <t>タイトル一致</t>
        </is>
      </c>
      <c r="X528" s="10" t="n"/>
    </row>
    <row r="529">
      <c r="A529" s="10" t="n">
        <v>528</v>
      </c>
      <c r="B529" s="24" t="n">
        <v>46275</v>
      </c>
      <c r="C529" s="24" t="n">
        <v>46276</v>
      </c>
      <c r="D529" s="10">
        <f>MONTH(B529)&amp;"月"</f>
        <v/>
      </c>
      <c r="E529" s="12" t="n">
        <v>1</v>
      </c>
      <c r="F529" s="10" t="n"/>
      <c r="G529" s="10" t="inlineStr">
        <is>
          <t>第29回 カスタマーサポートシンポジウム</t>
        </is>
      </c>
      <c r="H529" s="10" t="inlineStr">
        <is>
          <t>公益社団法人企業情報化協会（IT協会）</t>
        </is>
      </c>
      <c r="I529" s="10" t="n"/>
      <c r="J529" s="10" t="inlineStr">
        <is>
          <t>個別調査（公式サイト・PR TIMES等）</t>
        </is>
      </c>
      <c r="K529" s="10" t="inlineStr">
        <is>
          <t>ハイブリッド</t>
        </is>
      </c>
      <c r="L529" s="10" t="inlineStr">
        <is>
          <t>東京プリンスホテル</t>
        </is>
      </c>
      <c r="M529" s="10" t="inlineStr">
        <is>
          <t>営業・マーケ・CS</t>
        </is>
      </c>
      <c r="N529" s="10" t="inlineStr">
        <is>
          <t>AIエージェント（一部セッション）</t>
        </is>
      </c>
      <c r="O529" s="12" t="inlineStr">
        <is>
          <t>◎</t>
        </is>
      </c>
      <c r="P529" s="13" t="n"/>
      <c r="Q529" s="12" t="inlineStr">
        <is>
          <t>不明</t>
        </is>
      </c>
      <c r="R529" s="14" t="n"/>
      <c r="S529" s="10" t="n"/>
      <c r="T529" s="10" t="inlineStr">
        <is>
          <t>生成AIによるCXと現場の改革を扱う。質問型AIエージェント「Navie」などが紹介された。</t>
        </is>
      </c>
      <c r="U529" s="15" t="inlineStr">
        <is>
          <t>https://ai2-jp.com/news/2026/07/17/20055/</t>
        </is>
      </c>
      <c r="V529" s="10" t="n"/>
      <c r="W529" s="10" t="inlineStr">
        <is>
          <t>個別確認</t>
        </is>
      </c>
      <c r="X529" s="10" t="n"/>
    </row>
    <row r="530">
      <c r="A530" s="10" t="n">
        <v>529</v>
      </c>
      <c r="B530" s="24" t="n">
        <v>46276</v>
      </c>
      <c r="C530" s="24" t="n">
        <v>46276</v>
      </c>
      <c r="D530" s="10">
        <f>MONTH(B530)&amp;"月"</f>
        <v/>
      </c>
      <c r="E530" s="12" t="n">
        <v>1</v>
      </c>
      <c r="F530" s="10" t="n"/>
      <c r="G530" s="10" t="inlineStr">
        <is>
          <t>AI&amp;DX Leaders' Conference 2026 AIエージェント時代に『描く』人・組織・事業の未来</t>
        </is>
      </c>
      <c r="H530" s="10" t="inlineStr">
        <is>
          <t>産経新聞社</t>
        </is>
      </c>
      <c r="I530" s="10" t="inlineStr">
        <is>
          <t>一般社団法人生成AI活用普及協会（GUGA）</t>
        </is>
      </c>
      <c r="J530" s="10" t="inlineStr">
        <is>
          <t>個別調査（公式サイト・PR TIMES等）</t>
        </is>
      </c>
      <c r="K530" s="10" t="inlineStr">
        <is>
          <t>会場</t>
        </is>
      </c>
      <c r="L530" s="10" t="inlineStr">
        <is>
          <t>大手町プレイス ホール&amp;カンファレンス</t>
        </is>
      </c>
      <c r="M530" s="10" t="inlineStr">
        <is>
          <t>生産性向上・業務効率化</t>
        </is>
      </c>
      <c r="N530" s="10" t="inlineStr">
        <is>
          <t>AIエージェント</t>
        </is>
      </c>
      <c r="O530" s="12" t="inlineStr">
        <is>
          <t>◎</t>
        </is>
      </c>
      <c r="P530" s="13" t="n">
        <v>1000</v>
      </c>
      <c r="Q530" s="12" t="inlineStr">
        <is>
          <t>定員</t>
        </is>
      </c>
      <c r="R530" s="14" t="n">
        <v>1000</v>
      </c>
      <c r="S530" s="10" t="n"/>
      <c r="T530" s="10" t="inlineStr">
        <is>
          <t>効率化のための生成AIから、自律型AIエージェントやフィジカルAIへの進化を踏まえ、経営戦略と組織のあり方を議論する。</t>
        </is>
      </c>
      <c r="U530" s="15" t="inlineStr">
        <is>
          <t>https://prtimes.jp/main/html/rd/p/000002092.000022608.html</t>
        </is>
      </c>
      <c r="V530" s="10" t="n"/>
      <c r="W530" s="10" t="inlineStr">
        <is>
          <t>個別確認</t>
        </is>
      </c>
      <c r="X530" s="10" t="n"/>
    </row>
    <row r="531">
      <c r="A531" s="10" t="n">
        <v>530</v>
      </c>
      <c r="B531" s="24" t="n">
        <v>46276</v>
      </c>
      <c r="C531" s="24" t="n">
        <v>46276</v>
      </c>
      <c r="D531" s="10">
        <f>MONTH(B531)&amp;"月"</f>
        <v/>
      </c>
      <c r="E531" s="12" t="n">
        <v>1</v>
      </c>
      <c r="F531" s="10" t="n"/>
      <c r="G531" s="10" t="inlineStr">
        <is>
          <t>AIエージェント時代の設計DX PDMからPLMへ ― BOM・設計変更情報をどうつなぐか</t>
        </is>
      </c>
      <c r="H531" s="10" t="inlineStr">
        <is>
          <t>株式会社グローバルブレインスクエア セミナー事務局</t>
        </is>
      </c>
      <c r="I531" s="10" t="n"/>
      <c r="J531" s="10" t="inlineStr">
        <is>
          <t>こくちーずプロ</t>
        </is>
      </c>
      <c r="K531" s="10" t="inlineStr">
        <is>
          <t>オンライン</t>
        </is>
      </c>
      <c r="L531" s="10" t="inlineStr">
        <is>
          <t>オンライン 日本</t>
        </is>
      </c>
      <c r="M531" s="10" t="inlineStr">
        <is>
          <t>生産管理・製造・SCM</t>
        </is>
      </c>
      <c r="N531" s="10" t="inlineStr">
        <is>
          <t>AIエージェント</t>
        </is>
      </c>
      <c r="O531" s="12" t="inlineStr">
        <is>
          <t>◎</t>
        </is>
      </c>
      <c r="P531" s="13" t="n">
        <v>0</v>
      </c>
      <c r="Q531" s="12" t="inlineStr">
        <is>
          <t>参加者数</t>
        </is>
      </c>
      <c r="R531" s="14" t="n">
        <v>250</v>
      </c>
      <c r="S531" s="10" t="n"/>
      <c r="T531" s="10" t="inlineStr">
        <is>
          <t>AIエージェント時代の設計DX PDMからPLMへ ― BOM・設計変更情報をどうつなぐか 受注設計型製造業では、図面、部品情報、BOM、仕様書、設計変更履歴などの設計情報が、部門やシステムごとに分散しやすくなります。 一方、生成AIやAIエージェントを設計業務で活用するためには、AIに質問するだけではなく、必要な設計情報同士がつながり、正しい情報を参照できる基盤を整えることが重要です。 本セミナーでは、既存のPDMやCADなどの資産を</t>
        </is>
      </c>
      <c r="U531" s="15" t="inlineStr">
        <is>
          <t>https://www.kokuchpro.com/event/5935c0785024bc4e4eadd7a78c581ede/</t>
        </is>
      </c>
      <c r="V531" s="10" t="n"/>
      <c r="W531" s="10" t="inlineStr">
        <is>
          <t>タイトル一致</t>
        </is>
      </c>
      <c r="X531" s="10" t="n"/>
    </row>
    <row r="532">
      <c r="A532" s="10" t="n">
        <v>531</v>
      </c>
      <c r="B532" s="24" t="n">
        <v>46276</v>
      </c>
      <c r="C532" s="24" t="n">
        <v>46276</v>
      </c>
      <c r="D532" s="10">
        <f>MONTH(B532)&amp;"月"</f>
        <v/>
      </c>
      <c r="E532" s="12" t="n">
        <v>1</v>
      </c>
      <c r="F532" s="10" t="n"/>
      <c r="G532" s="10" t="inlineStr">
        <is>
          <t>DX&amp;AI Forum 2026 秋 名古屋</t>
        </is>
      </c>
      <c r="H532" s="10" t="inlineStr">
        <is>
          <t>SBクリエイティブ株式会社（ビジネス＋IT）</t>
        </is>
      </c>
      <c r="I532" s="10" t="n"/>
      <c r="J532" s="10" t="inlineStr">
        <is>
          <t>ビジネス+IT</t>
        </is>
      </c>
      <c r="K532" s="10" t="inlineStr">
        <is>
          <t>offline</t>
        </is>
      </c>
      <c r="L532" s="10" t="inlineStr">
        <is>
          <t>愛知県</t>
        </is>
      </c>
      <c r="M532" s="10" t="inlineStr">
        <is>
          <t>生産性向上・業務効率化</t>
        </is>
      </c>
      <c r="N532" s="10" t="inlineStr">
        <is>
          <t>AIエージェント</t>
        </is>
      </c>
      <c r="O532" s="12" t="inlineStr">
        <is>
          <t>○</t>
        </is>
      </c>
      <c r="P532" s="13" t="n"/>
      <c r="Q532" s="12" t="inlineStr">
        <is>
          <t>不明</t>
        </is>
      </c>
      <c r="R532" s="14" t="n"/>
      <c r="S532" s="10" t="n"/>
      <c r="T532" s="10" t="inlineStr">
        <is>
          <t>世界的な地政学リスクと経済安全保障問題、AI主権をめぐるAI開発競争など、厳しさを増す経済環境の中、日本企業は生き残りをかけた変革を迫られています。一方でAIは、自ら考え行動するエージェンティックAIや現実世界で動くフィジカルAIへと進化し、人とAIが協調し稼働する「自律型社会」が、AGI（汎用人工知能）の実現を視野にいよいよ現実となろうとしています。日本企業がAIやデジタルを融合した「AX戦略」で「再成長」へ向かうには、今、何が必要で</t>
        </is>
      </c>
      <c r="U532" s="15" t="inlineStr">
        <is>
          <t>https://www.sbbit.jp/eventinfo/89409</t>
        </is>
      </c>
      <c r="V532" s="10" t="n"/>
      <c r="W532" s="10" t="inlineStr">
        <is>
          <t>本文一致</t>
        </is>
      </c>
      <c r="X532" s="10" t="n"/>
    </row>
    <row r="533">
      <c r="A533" s="10" t="n">
        <v>532</v>
      </c>
      <c r="B533" s="24" t="n">
        <v>46276</v>
      </c>
      <c r="C533" s="24" t="n">
        <v>46290</v>
      </c>
      <c r="D533" s="10">
        <f>MONTH(B533)&amp;"月"</f>
        <v/>
      </c>
      <c r="E533" s="12" t="n">
        <v>3</v>
      </c>
      <c r="F533" s="10" t="inlineStr">
        <is>
          <t>09/11、09/18、09/25</t>
        </is>
      </c>
      <c r="G533" s="10" t="inlineStr">
        <is>
          <t>RAGの限界を超える！MCPで実現する正確なAIデータ活用</t>
        </is>
      </c>
      <c r="H533" s="10" t="inlineStr">
        <is>
          <t>スノーリーズ株式会社</t>
        </is>
      </c>
      <c r="I533" s="10" t="n"/>
      <c r="J533" s="10" t="inlineStr">
        <is>
          <t>TECH PLAY</t>
        </is>
      </c>
      <c r="K533" s="10" t="inlineStr">
        <is>
          <t>オンライン</t>
        </is>
      </c>
      <c r="L533" s="10" t="n"/>
      <c r="M533" s="10" t="inlineStr">
        <is>
          <t>生産管理・製造・SCM</t>
        </is>
      </c>
      <c r="N533" s="10" t="inlineStr">
        <is>
          <t>MCP</t>
        </is>
      </c>
      <c r="O533" s="12" t="inlineStr">
        <is>
          <t>◎</t>
        </is>
      </c>
      <c r="P533" s="13" t="n"/>
      <c r="Q533" s="12" t="inlineStr">
        <is>
          <t>非公開</t>
        </is>
      </c>
      <c r="R533" s="14" t="n">
        <v>150</v>
      </c>
      <c r="S533" s="10" t="inlineStr">
        <is>
          <t>全3回の合計</t>
        </is>
      </c>
      <c r="T533" s="10" t="inlineStr">
        <is>
          <t>RAGの限界を超える！MCPで実現する正確なAIデータ活用 「AIを入れたのに、結局Excelで集計している」——そのままでいいですか？ 生成AIを試した多くの企業が、こんな現実に直面しています。 RAGを導入したが、数値の回答が信用できず人手でチェックが発生 レポート作成のためにシステムからデータを抽出する作業が毎月続く AIに社内データを連携させたいが、やり方がわからず止まっている その原因は、ツールの問題ではなくAIとデータの"つ</t>
        </is>
      </c>
      <c r="U533" s="15" t="inlineStr">
        <is>
          <t>https://techplay.jp/event/1000056</t>
        </is>
      </c>
      <c r="V533" s="10" t="n"/>
      <c r="W533" s="10" t="inlineStr">
        <is>
          <t>タイトル一致</t>
        </is>
      </c>
      <c r="X533" s="10" t="n"/>
    </row>
    <row r="534">
      <c r="A534" s="10" t="n">
        <v>533</v>
      </c>
      <c r="B534" s="24" t="n">
        <v>46276</v>
      </c>
      <c r="C534" s="24" t="n">
        <v>46276</v>
      </c>
      <c r="D534" s="10">
        <f>MONTH(B534)&amp;"月"</f>
        <v/>
      </c>
      <c r="E534" s="12" t="n">
        <v>1</v>
      </c>
      <c r="F534" s="10" t="n"/>
      <c r="G534" s="10" t="inlineStr">
        <is>
          <t>「AIエージェントDXPO東京'26 夏」にて大変好評だったセミナーをウェビナー配信</t>
        </is>
      </c>
      <c r="H534" s="10" t="inlineStr">
        <is>
          <t>アップセルテクノロジィーズ株式会社</t>
        </is>
      </c>
      <c r="I534" s="10" t="n"/>
      <c r="J534" s="10" t="inlineStr">
        <is>
          <t>PR TIMES</t>
        </is>
      </c>
      <c r="K534" s="10" t="inlineStr">
        <is>
          <t>online</t>
        </is>
      </c>
      <c r="L534" s="10" t="inlineStr">
        <is>
          <t>オンライン</t>
        </is>
      </c>
      <c r="M534" s="10" t="inlineStr">
        <is>
          <t>生産性向上・業務効率化</t>
        </is>
      </c>
      <c r="N534" s="10" t="inlineStr">
        <is>
          <t>AIエージェント</t>
        </is>
      </c>
      <c r="O534" s="12" t="inlineStr">
        <is>
          <t>◎</t>
        </is>
      </c>
      <c r="P534" s="13" t="n"/>
      <c r="Q534" s="12" t="inlineStr">
        <is>
          <t>不明</t>
        </is>
      </c>
      <c r="R534" s="14" t="n"/>
      <c r="S534" s="10" t="n"/>
      <c r="T534" s="10" t="inlineStr">
        <is>
          <t>アップセルテクノロジィーズ株式会社（本社：東京都豊島区、代表取締役CEO グループ会長：高橋良太、以下「当社」）は、2026年8月20日（木）・21日（金）に東京ビッグサイトで開催された「AIエージェントDXPO東京'26 夏」に出展し、AIオペレーター「miraio（ミライオ）」を展示しました。 会期中には、AIオペレーターを活用した電話対応・顧客対応の可能性について紹介するセミナー「電話対応の人手依存から脱却 ～AIオペレーター『m</t>
        </is>
      </c>
      <c r="U534" s="15" t="inlineStr">
        <is>
          <t>https://prtimes.jp/main/html/rd/p/000000071.000030394.html</t>
        </is>
      </c>
      <c r="V534" s="10" t="n"/>
      <c r="W534" s="10" t="inlineStr">
        <is>
          <t>タイトル一致</t>
        </is>
      </c>
      <c r="X534" s="10" t="n"/>
    </row>
    <row r="535">
      <c r="A535" s="10" t="n">
        <v>534</v>
      </c>
      <c r="B535" s="24" t="n">
        <v>46276</v>
      </c>
      <c r="C535" s="24" t="n">
        <v>46276</v>
      </c>
      <c r="D535" s="10">
        <f>MONTH(B535)&amp;"月"</f>
        <v/>
      </c>
      <c r="E535" s="12" t="n">
        <v>1</v>
      </c>
      <c r="F535" s="10" t="n"/>
      <c r="G535" s="10" t="inlineStr">
        <is>
          <t>【9月11日】AIコーディングのLTやります!エンジニア交流会【東京】</t>
        </is>
      </c>
      <c r="H535" s="10" t="inlineStr">
        <is>
          <t>【9月11日】AIコーディングのLTやります!エンジニア交流会【東京】事務局</t>
        </is>
      </c>
      <c r="I535" s="10" t="n"/>
      <c r="J535" s="10" t="inlineStr">
        <is>
          <t>こくちーずプロ</t>
        </is>
      </c>
      <c r="K535" s="10" t="inlineStr">
        <is>
          <t>オフライン（会場）</t>
        </is>
      </c>
      <c r="L535" s="10" t="inlineStr">
        <is>
          <t>六本木ファーストビル17階オフィス 東京都港区六本木1丁目9-9 六本木ファーストビル17階</t>
        </is>
      </c>
      <c r="M535" s="10" t="inlineStr">
        <is>
          <t>開発生産性</t>
        </is>
      </c>
      <c r="N535" s="10" t="inlineStr">
        <is>
          <t>両方</t>
        </is>
      </c>
      <c r="O535" s="12" t="inlineStr">
        <is>
          <t>△</t>
        </is>
      </c>
      <c r="P535" s="13" t="n">
        <v>0</v>
      </c>
      <c r="Q535" s="12" t="inlineStr">
        <is>
          <t>参加者数</t>
        </is>
      </c>
      <c r="R535" s="14" t="n">
        <v>15</v>
      </c>
      <c r="S535" s="10" t="n"/>
      <c r="T535" s="10" t="inlineStr">
        <is>
          <t>AI×エンジニア交流会 in 六本木‍ AIに詳しくなくても大歓迎！エンジニア同士で気軽に交流しませんか？‍ エンジニア同士で気軽につながり、技術やキャリアについて話せる交流会を六本木で開催します！ 今回は「AI×データ活用」をテーマにしたLTも予定していますが、AIの知識や実務経験は必要ありません。 「AIにはまだ詳しくないけれど、最近の動向を少し聞いてみたい」 「仕事やキャリアについて、同業者と気軽に話したい」 そんな方も大歓迎です</t>
        </is>
      </c>
      <c r="U535" s="15" t="inlineStr">
        <is>
          <t>https://www.kokuchpro.com/event/abbb3d41ba72194e3075547d143c3acc/</t>
        </is>
      </c>
      <c r="V535" s="10" t="n"/>
      <c r="W535" s="10" t="inlineStr">
        <is>
          <t>本文一致</t>
        </is>
      </c>
      <c r="X535" s="10" t="n"/>
    </row>
    <row r="536">
      <c r="A536" s="10" t="n">
        <v>535</v>
      </c>
      <c r="B536" s="24" t="n">
        <v>46276</v>
      </c>
      <c r="C536" s="24" t="n">
        <v>46276</v>
      </c>
      <c r="D536" s="10">
        <f>MONTH(B536)&amp;"月"</f>
        <v/>
      </c>
      <c r="E536" s="12" t="n">
        <v>1</v>
      </c>
      <c r="F536" s="10" t="n"/>
      <c r="G536" s="10" t="inlineStr">
        <is>
          <t>【増枠】Claude Code Night #2 ~プロダクト開発現場での活用事例~</t>
        </is>
      </c>
      <c r="H536" s="10" t="inlineStr">
        <is>
          <t>スタディプラス株式会社</t>
        </is>
      </c>
      <c r="I536" s="10" t="n"/>
      <c r="J536" s="10" t="inlineStr">
        <is>
          <t>connpass</t>
        </is>
      </c>
      <c r="K536" s="10" t="inlineStr">
        <is>
          <t>会場</t>
        </is>
      </c>
      <c r="L536" s="10" t="inlineStr">
        <is>
          <t>東京都千代田区神田駿河台2丁目 5-12 NMF駿河台ビル 4階 スタディプラス株式会社</t>
        </is>
      </c>
      <c r="M536" s="10" t="inlineStr">
        <is>
          <t>開発生産性</t>
        </is>
      </c>
      <c r="N536" s="10" t="inlineStr">
        <is>
          <t>AIエージェント</t>
        </is>
      </c>
      <c r="O536" s="12" t="inlineStr">
        <is>
          <t>○</t>
        </is>
      </c>
      <c r="P536" s="13" t="n">
        <v>121</v>
      </c>
      <c r="Q536" s="12" t="inlineStr">
        <is>
          <t>参加者数</t>
        </is>
      </c>
      <c r="R536" s="14" t="n">
        <v>160</v>
      </c>
      <c r="S536" s="10" t="n"/>
      <c r="T536" s="10" t="n"/>
      <c r="U536" s="15" t="inlineStr">
        <is>
          <t>https://studyplus.connpass.com/event/402991/</t>
        </is>
      </c>
      <c r="V536" s="10" t="n"/>
      <c r="W536" s="10" t="inlineStr">
        <is>
          <t>タイトル一致</t>
        </is>
      </c>
      <c r="X536" s="10" t="n"/>
    </row>
    <row r="537">
      <c r="A537" s="10" t="n">
        <v>536</v>
      </c>
      <c r="B537" s="24" t="n">
        <v>46276</v>
      </c>
      <c r="C537" s="24" t="n">
        <v>46276</v>
      </c>
      <c r="D537" s="10">
        <f>MONTH(B537)&amp;"月"</f>
        <v/>
      </c>
      <c r="E537" s="12" t="n">
        <v>1</v>
      </c>
      <c r="F537" s="10" t="n"/>
      <c r="G537" s="10" t="inlineStr">
        <is>
          <t>【福岡】Zenn Agentic AI ミニハッカソン with Google Cloud</t>
        </is>
      </c>
      <c r="H537" s="10" t="inlineStr">
        <is>
          <t>クラスメソッド株式会社</t>
        </is>
      </c>
      <c r="I537" s="10" t="n"/>
      <c r="J537" s="10" t="inlineStr">
        <is>
          <t>connpass</t>
        </is>
      </c>
      <c r="K537" s="10" t="inlineStr">
        <is>
          <t>会場</t>
        </is>
      </c>
      <c r="L537" s="10" t="inlineStr">
        <is>
          <t>福岡県福岡市中央区舞鶴３丁目９−３９ (福岡舞鶴スクエア 4階)</t>
        </is>
      </c>
      <c r="M537" s="10" t="inlineStr">
        <is>
          <t>技術・AI全般</t>
        </is>
      </c>
      <c r="N537" s="10" t="inlineStr">
        <is>
          <t>AIエージェント</t>
        </is>
      </c>
      <c r="O537" s="12" t="inlineStr">
        <is>
          <t>○</t>
        </is>
      </c>
      <c r="P537" s="13" t="n">
        <v>19</v>
      </c>
      <c r="Q537" s="12" t="inlineStr">
        <is>
          <t>参加者数</t>
        </is>
      </c>
      <c r="R537" s="14" t="n">
        <v>40</v>
      </c>
      <c r="S537" s="10" t="n"/>
      <c r="T537" s="10" t="n"/>
      <c r="U537" s="15" t="inlineStr">
        <is>
          <t>https://classmethod.connpass.com/event/398579/</t>
        </is>
      </c>
      <c r="V537" s="10" t="n"/>
      <c r="W537" s="10" t="inlineStr">
        <is>
          <t>タイトル一致</t>
        </is>
      </c>
      <c r="X537" s="10" t="n"/>
    </row>
    <row r="538">
      <c r="A538" s="10" t="n">
        <v>537</v>
      </c>
      <c r="B538" s="24" t="n">
        <v>46276</v>
      </c>
      <c r="C538" s="24" t="n">
        <v>46276</v>
      </c>
      <c r="D538" s="10">
        <f>MONTH(B538)&amp;"月"</f>
        <v/>
      </c>
      <c r="E538" s="12" t="n">
        <v>1</v>
      </c>
      <c r="F538" s="10" t="n"/>
      <c r="G538" s="10" t="inlineStr">
        <is>
          <t>サブエージェント100体を運用する、Claude Codeの実践と人間拡張</t>
        </is>
      </c>
      <c r="H538" s="10" t="inlineStr">
        <is>
          <t>アイリス株式会社</t>
        </is>
      </c>
      <c r="I538" s="10" t="n"/>
      <c r="J538" s="10" t="inlineStr">
        <is>
          <t>connpass</t>
        </is>
      </c>
      <c r="K538" s="10" t="inlineStr">
        <is>
          <t>会場</t>
        </is>
      </c>
      <c r="L538" s="10" t="inlineStr">
        <is>
          <t>東京都千代田区丸の内2-7-2 (JPタワー19F)</t>
        </is>
      </c>
      <c r="M538" s="10" t="inlineStr">
        <is>
          <t>開発生産性</t>
        </is>
      </c>
      <c r="N538" s="10" t="inlineStr">
        <is>
          <t>AIエージェント</t>
        </is>
      </c>
      <c r="O538" s="12" t="inlineStr">
        <is>
          <t>○</t>
        </is>
      </c>
      <c r="P538" s="13" t="n">
        <v>59</v>
      </c>
      <c r="Q538" s="12" t="inlineStr">
        <is>
          <t>参加者数</t>
        </is>
      </c>
      <c r="R538" s="14" t="n">
        <v>120</v>
      </c>
      <c r="S538" s="10" t="n"/>
      <c r="T538" s="10" t="n"/>
      <c r="U538" s="15" t="inlineStr">
        <is>
          <t>https://aillis.connpass.com/event/403439/</t>
        </is>
      </c>
      <c r="V538" s="10" t="n"/>
      <c r="W538" s="10" t="inlineStr">
        <is>
          <t>タイトル一致</t>
        </is>
      </c>
      <c r="X538" s="10" t="n"/>
    </row>
    <row r="539">
      <c r="A539" s="10" t="n">
        <v>538</v>
      </c>
      <c r="B539" s="24" t="n">
        <v>46276</v>
      </c>
      <c r="C539" s="24" t="n">
        <v>46276</v>
      </c>
      <c r="D539" s="10">
        <f>MONTH(B539)&amp;"月"</f>
        <v/>
      </c>
      <c r="E539" s="12" t="n">
        <v>1</v>
      </c>
      <c r="F539" s="10" t="n"/>
      <c r="G539" s="10" t="inlineStr">
        <is>
          <t>中小企業のためのAI体感セミナー/「AIがつくる」を、あなたの目で確かめる90分。</t>
        </is>
      </c>
      <c r="H539" s="10" t="inlineStr">
        <is>
          <t>株式会社Qukuri</t>
        </is>
      </c>
      <c r="I539" s="10" t="n"/>
      <c r="J539" s="10" t="inlineStr">
        <is>
          <t>こくちーずプロ</t>
        </is>
      </c>
      <c r="K539" s="10" t="inlineStr">
        <is>
          <t>オフライン（会場）</t>
        </is>
      </c>
      <c r="L539" s="10" t="inlineStr">
        <is>
          <t>仙台駅Place204 宮城県仙台市若林区新寺1-6-8 チサンマンション第三仙台</t>
        </is>
      </c>
      <c r="M539" s="10" t="inlineStr">
        <is>
          <t>生産性向上・業務効率化</t>
        </is>
      </c>
      <c r="N539" s="10" t="inlineStr">
        <is>
          <t>AIエージェント</t>
        </is>
      </c>
      <c r="O539" s="12" t="inlineStr">
        <is>
          <t>○</t>
        </is>
      </c>
      <c r="P539" s="13" t="n"/>
      <c r="Q539" s="12" t="inlineStr">
        <is>
          <t>不明</t>
        </is>
      </c>
      <c r="R539" s="14" t="n"/>
      <c r="S539" s="10" t="n"/>
      <c r="T539" s="10" t="inlineStr">
        <is>
          <t>◆ IT革命から四半世紀、大AI革命時代到来 約25年前、「IT革命」という言葉とともに、私たちの働き方や暮らし方は大きく変わりました。そして今、生成AIの登場により、世界は新たな転換点「大AI革命時代」を迎えています。産業革命並みの淘汰と創造の波が、避けられない現実として目前に迫っているのです。 重要なのは、「AIを使わない」という選択をする場合でも、AIそのものを正しく理解しておく必要があるということ。AIは、いまや社会やビジネスの</t>
        </is>
      </c>
      <c r="U539" s="15" t="inlineStr">
        <is>
          <t>https://www.kokuchpro.com/event/7bec60ea2732bc904b172ce8fec8cb89/</t>
        </is>
      </c>
      <c r="V539" s="10" t="n"/>
      <c r="W539" s="10" t="inlineStr">
        <is>
          <t>本文一致</t>
        </is>
      </c>
      <c r="X539" s="10" t="n"/>
    </row>
    <row r="540">
      <c r="A540" s="10" t="n">
        <v>539</v>
      </c>
      <c r="B540" s="24" t="n">
        <v>46276</v>
      </c>
      <c r="C540" s="24" t="n">
        <v>46276</v>
      </c>
      <c r="D540" s="10">
        <f>MONTH(B540)&amp;"月"</f>
        <v/>
      </c>
      <c r="E540" s="12" t="n">
        <v>1</v>
      </c>
      <c r="F540" s="10" t="n"/>
      <c r="G540" s="10" t="inlineStr">
        <is>
          <t>人を増やさず処理能力を2倍に—Claude Codeで「数千円の即戦力」を【経営者向けライブ実演】</t>
        </is>
      </c>
      <c r="H540" s="10" t="inlineStr">
        <is>
          <t>株式会社ノヴァリス</t>
        </is>
      </c>
      <c r="I540" s="10" t="n"/>
      <c r="J540" s="10" t="inlineStr">
        <is>
          <t>connpass</t>
        </is>
      </c>
      <c r="K540" s="10" t="inlineStr">
        <is>
          <t>オンライン</t>
        </is>
      </c>
      <c r="L540" s="10" t="inlineStr">
        <is>
          <t>オンライン</t>
        </is>
      </c>
      <c r="M540" s="10" t="inlineStr">
        <is>
          <t>生産性向上・業務効率化</t>
        </is>
      </c>
      <c r="N540" s="10" t="inlineStr">
        <is>
          <t>AIエージェント</t>
        </is>
      </c>
      <c r="O540" s="12" t="inlineStr">
        <is>
          <t>◎</t>
        </is>
      </c>
      <c r="P540" s="13" t="n">
        <v>7</v>
      </c>
      <c r="Q540" s="12" t="inlineStr">
        <is>
          <t>参加者数</t>
        </is>
      </c>
      <c r="R540" s="14" t="n">
        <v>10</v>
      </c>
      <c r="S540" s="10" t="n"/>
      <c r="T540" s="10" t="n"/>
      <c r="U540" s="15" t="inlineStr">
        <is>
          <t>https://connpass.com/event/404736/</t>
        </is>
      </c>
      <c r="V540" s="10" t="n"/>
      <c r="W540" s="10" t="inlineStr">
        <is>
          <t>タイトル一致</t>
        </is>
      </c>
      <c r="X540" s="10" t="n"/>
    </row>
    <row r="541">
      <c r="A541" s="10" t="n">
        <v>540</v>
      </c>
      <c r="B541" s="24" t="n">
        <v>46276</v>
      </c>
      <c r="C541" s="24" t="n">
        <v>46276</v>
      </c>
      <c r="D541" s="10">
        <f>MONTH(B541)&amp;"月"</f>
        <v/>
      </c>
      <c r="E541" s="12" t="n">
        <v>1</v>
      </c>
      <c r="F541" s="10" t="n"/>
      <c r="G541" s="10" t="inlineStr">
        <is>
          <t>個人利用で止まるAI活用、なぜ組織活用へ進められないのか</t>
        </is>
      </c>
      <c r="H541" s="10" t="inlineStr">
        <is>
          <t>AKKODiSコンサルティング株式会社（協力：マジセミ株式会社）</t>
        </is>
      </c>
      <c r="I541" s="10" t="n"/>
      <c r="J541" s="10" t="inlineStr">
        <is>
          <t>マジセミ</t>
        </is>
      </c>
      <c r="K541" s="10" t="inlineStr">
        <is>
          <t>online</t>
        </is>
      </c>
      <c r="L541" s="10" t="inlineStr">
        <is>
          <t>オンライン</t>
        </is>
      </c>
      <c r="M541" s="10" t="inlineStr">
        <is>
          <t>生産性向上・業務効率化</t>
        </is>
      </c>
      <c r="N541" s="10" t="inlineStr">
        <is>
          <t>AIエージェント</t>
        </is>
      </c>
      <c r="O541" s="12" t="inlineStr">
        <is>
          <t>○</t>
        </is>
      </c>
      <c r="P541" s="13" t="n"/>
      <c r="Q541" s="12" t="inlineStr">
        <is>
          <t>不明</t>
        </is>
      </c>
      <c r="R541" s="14" t="n"/>
      <c r="S541" s="10" t="n"/>
      <c r="T541" s="10" t="inlineStr">
        <is>
          <t>■生成AIの利用は広がっても、組織活用は進まない 生成AIを使った情報収集や文章作成など、個人利用は企業の中でも急速に広がっています。しかし、個人の作業が速くなることと、組織全体の業務が変わることは同じではありません。AIを業務プロセスに組み込み、継続的に成果を生み出すためには、利用目的や対象業務を整理し、AIエージェントの活用を見据えた取り組みが必要です。 ■組織活用を阻む、ガバナンス・知識・育成設計の未整備 組織的なAI活用へ移行す</t>
        </is>
      </c>
      <c r="U541" s="15" t="inlineStr">
        <is>
          <t>https://prtimes.jp/main/html/rd/p/000005612.000054842.html</t>
        </is>
      </c>
      <c r="V541" s="10" t="n"/>
      <c r="W541" s="10" t="inlineStr">
        <is>
          <t>本文一致</t>
        </is>
      </c>
      <c r="X541" s="10" t="n"/>
    </row>
    <row r="542">
      <c r="A542" s="10" t="n">
        <v>541</v>
      </c>
      <c r="B542" s="24" t="n">
        <v>46276</v>
      </c>
      <c r="C542" s="24" t="n">
        <v>46290</v>
      </c>
      <c r="D542" s="10">
        <f>MONTH(B542)&amp;"月"</f>
        <v/>
      </c>
      <c r="E542" s="12" t="n">
        <v>3</v>
      </c>
      <c r="F542" s="10" t="inlineStr">
        <is>
          <t>09/11、09/18、09/25</t>
        </is>
      </c>
      <c r="G542" s="10" t="inlineStr">
        <is>
          <t>社内システム × AI連携『MCP』入門 今日から使える業務効率化の新常識</t>
        </is>
      </c>
      <c r="H542" s="10" t="inlineStr">
        <is>
          <t>スノーリーズ株式会社</t>
        </is>
      </c>
      <c r="I542" s="10" t="n"/>
      <c r="J542" s="10" t="inlineStr">
        <is>
          <t>TECH PLAY</t>
        </is>
      </c>
      <c r="K542" s="10" t="inlineStr">
        <is>
          <t>オンライン</t>
        </is>
      </c>
      <c r="L542" s="10" t="n"/>
      <c r="M542" s="10" t="inlineStr">
        <is>
          <t>生産性向上・業務効率化</t>
        </is>
      </c>
      <c r="N542" s="10" t="inlineStr">
        <is>
          <t>MCP</t>
        </is>
      </c>
      <c r="O542" s="12" t="inlineStr">
        <is>
          <t>◎</t>
        </is>
      </c>
      <c r="P542" s="13" t="n"/>
      <c r="Q542" s="12" t="inlineStr">
        <is>
          <t>非公開</t>
        </is>
      </c>
      <c r="R542" s="14" t="n">
        <v>150</v>
      </c>
      <c r="S542" s="10" t="inlineStr">
        <is>
          <t>全3回の合計</t>
        </is>
      </c>
      <c r="T542" s="10" t="inlineStr">
        <is>
          <t>社内システム × AI連携「MCP」入門 今日から使える業務効率化の新常識 毎回データを手でコピーしている、その作業——終わりにしませんか？ 会計システムからデータを引き出してAIに貼り付け、問い合わせ対応のたびに複数システムを手動で検索——AIを導入したはずなのに、結局手作業が減らない。そんな現実に直面している方は少なくありません。 その原因は、AIツールの性能ではなく、AIと社内システムが「つながっていない」ことにあります。 なぜA</t>
        </is>
      </c>
      <c r="U542" s="15" t="inlineStr">
        <is>
          <t>https://techplay.jp/event/1000057</t>
        </is>
      </c>
      <c r="V542" s="10" t="n"/>
      <c r="W542" s="10" t="inlineStr">
        <is>
          <t>タイトル一致</t>
        </is>
      </c>
      <c r="X542" s="10" t="n"/>
    </row>
    <row r="543">
      <c r="A543" s="10" t="n">
        <v>542</v>
      </c>
      <c r="B543" s="24" t="n">
        <v>46277</v>
      </c>
      <c r="C543" s="24" t="n">
        <v>46277</v>
      </c>
      <c r="D543" s="10">
        <f>MONTH(B543)&amp;"月"</f>
        <v/>
      </c>
      <c r="E543" s="12" t="n">
        <v>1</v>
      </c>
      <c r="F543" s="10" t="n"/>
      <c r="G543" s="10" t="inlineStr">
        <is>
          <t>【プロダクト開発関係者向け】AIエージェントで変わるチームコラボレーション　9/12（土）無料セミナー「プロダクト・UX・開発をつなぐ新しい仕事の進め方」開催</t>
        </is>
      </c>
      <c r="H543" s="10" t="inlineStr">
        <is>
          <t>株式会社クリーク･アンド･リバー社</t>
        </is>
      </c>
      <c r="I543" s="10" t="n"/>
      <c r="J543" s="10" t="inlineStr">
        <is>
          <t>PR TIMES</t>
        </is>
      </c>
      <c r="K543" s="10" t="inlineStr">
        <is>
          <t>online</t>
        </is>
      </c>
      <c r="L543" s="10" t="inlineStr">
        <is>
          <t>オンライン開催</t>
        </is>
      </c>
      <c r="M543" s="10" t="inlineStr">
        <is>
          <t>開発生産性</t>
        </is>
      </c>
      <c r="N543" s="10" t="inlineStr">
        <is>
          <t>AIエージェント</t>
        </is>
      </c>
      <c r="O543" s="12" t="inlineStr">
        <is>
          <t>○</t>
        </is>
      </c>
      <c r="P543" s="13" t="n"/>
      <c r="Q543" s="12" t="inlineStr">
        <is>
          <t>定員</t>
        </is>
      </c>
      <c r="R543" s="14" t="n">
        <v>60</v>
      </c>
      <c r="S543" s="10" t="n"/>
      <c r="T543" s="10" t="inlineStr">
        <is>
          <t>株式会社クリーク･アンド･リバー社（C&amp;R社）は9月12日（土）、プロダクト開発に携わる方などを対象に、無料のオンラインセミナー「AIエージェントで変わるチームコラボレーション～プロダクト・UX・開発をつなぐ新しい仕事の進め方～」を開催します。なお、本セミナーは、全編英語で行いますが、同時通訳を通して日本語でお聞きいただくことも可能です。 ※ご自身でオリジナル（英語）または通訳チャンネルを選択していただくことができます プロダクト開発の</t>
        </is>
      </c>
      <c r="U543" s="15" t="inlineStr">
        <is>
          <t>https://prtimes.jp/main/html/rd/p/000005025.000003670.html</t>
        </is>
      </c>
      <c r="V543" s="10" t="n"/>
      <c r="W543" s="10" t="inlineStr">
        <is>
          <t>タイトル一致</t>
        </is>
      </c>
      <c r="X543" s="10" t="n"/>
    </row>
    <row r="544">
      <c r="A544" s="10" t="n">
        <v>543</v>
      </c>
      <c r="B544" s="24" t="n">
        <v>46277</v>
      </c>
      <c r="C544" s="24" t="n">
        <v>46277</v>
      </c>
      <c r="D544" s="10">
        <f>MONTH(B544)&amp;"月"</f>
        <v/>
      </c>
      <c r="E544" s="12" t="n">
        <v>1</v>
      </c>
      <c r="F544" s="10" t="n"/>
      <c r="G544" s="10" t="inlineStr">
        <is>
          <t>【梅田開催】AIで自分のホームページを作ろう！第1回 Claude Code ハンズオン</t>
        </is>
      </c>
      <c r="H544" s="10" t="inlineStr">
        <is>
          <t>【0 to 1】AIで収益を上げていきましょう！！</t>
        </is>
      </c>
      <c r="I544" s="10" t="n"/>
      <c r="J544" s="10" t="inlineStr">
        <is>
          <t>connpass</t>
        </is>
      </c>
      <c r="K544" s="10" t="inlineStr">
        <is>
          <t>会場</t>
        </is>
      </c>
      <c r="L544" s="10" t="inlineStr">
        <is>
          <t>大阪府 大阪市北区 堂島1丁目 堂島地下街8号</t>
        </is>
      </c>
      <c r="M544" s="10" t="inlineStr">
        <is>
          <t>開発生産性</t>
        </is>
      </c>
      <c r="N544" s="10" t="inlineStr">
        <is>
          <t>AIエージェント</t>
        </is>
      </c>
      <c r="O544" s="12" t="inlineStr">
        <is>
          <t>○</t>
        </is>
      </c>
      <c r="P544" s="13" t="n">
        <v>6</v>
      </c>
      <c r="Q544" s="12" t="inlineStr">
        <is>
          <t>参加者数</t>
        </is>
      </c>
      <c r="R544" s="14" t="n"/>
      <c r="S544" s="10" t="n"/>
      <c r="T544" s="10" t="n"/>
      <c r="U544" s="15" t="inlineStr">
        <is>
          <t>https://0to1.connpass.com/event/403093/</t>
        </is>
      </c>
      <c r="V544" s="10" t="n"/>
      <c r="W544" s="10" t="inlineStr">
        <is>
          <t>タイトル一致</t>
        </is>
      </c>
      <c r="X544" s="10" t="n"/>
    </row>
    <row r="545">
      <c r="A545" s="10" t="n">
        <v>544</v>
      </c>
      <c r="B545" s="24" t="n">
        <v>46278</v>
      </c>
      <c r="C545" s="24" t="n">
        <v>46278</v>
      </c>
      <c r="D545" s="10">
        <f>MONTH(B545)&amp;"月"</f>
        <v/>
      </c>
      <c r="E545" s="12" t="n">
        <v>1</v>
      </c>
      <c r="F545" s="10" t="n"/>
      <c r="G545" s="10" t="inlineStr">
        <is>
          <t>AgentCoreハンズオン 〜マルチエージェントでフットボールー対決！〜</t>
        </is>
      </c>
      <c r="H545" s="10" t="inlineStr">
        <is>
          <t>JAWS-UG東京</t>
        </is>
      </c>
      <c r="I545" s="10" t="n"/>
      <c r="J545" s="10" t="inlineStr">
        <is>
          <t>connpass</t>
        </is>
      </c>
      <c r="K545" s="10" t="inlineStr">
        <is>
          <t>会場</t>
        </is>
      </c>
      <c r="L545" s="10" t="inlineStr">
        <is>
          <t>〒106-0041 東京都港区麻布台一丁目三番一号</t>
        </is>
      </c>
      <c r="M545" s="10" t="inlineStr">
        <is>
          <t>技術・AI全般</t>
        </is>
      </c>
      <c r="N545" s="10" t="inlineStr">
        <is>
          <t>AIエージェント</t>
        </is>
      </c>
      <c r="O545" s="12" t="inlineStr">
        <is>
          <t>○</t>
        </is>
      </c>
      <c r="P545" s="13" t="n">
        <v>55</v>
      </c>
      <c r="Q545" s="12" t="inlineStr">
        <is>
          <t>参加者数</t>
        </is>
      </c>
      <c r="R545" s="14" t="n">
        <v>70</v>
      </c>
      <c r="S545" s="10" t="n"/>
      <c r="T545" s="10" t="n"/>
      <c r="U545" s="15" t="inlineStr">
        <is>
          <t>https://jawsug.connpass.com/event/404331/</t>
        </is>
      </c>
      <c r="V545" s="10" t="n"/>
      <c r="W545" s="10" t="inlineStr">
        <is>
          <t>タイトル一致</t>
        </is>
      </c>
      <c r="X545" s="10" t="n"/>
    </row>
    <row r="546">
      <c r="A546" s="10" t="n">
        <v>545</v>
      </c>
      <c r="B546" s="24" t="n">
        <v>46278</v>
      </c>
      <c r="C546" s="24" t="n">
        <v>46278</v>
      </c>
      <c r="D546" s="10">
        <f>MONTH(B546)&amp;"月"</f>
        <v/>
      </c>
      <c r="E546" s="12" t="n">
        <v>1</v>
      </c>
      <c r="F546" s="10" t="n"/>
      <c r="G546" s="10" t="inlineStr">
        <is>
          <t>【超初心者歓迎】指示を出したらあとはお任せ!?話題の「AIエージェント」完全無料勉強会(使用ツール:Codex)</t>
        </is>
      </c>
      <c r="H546" s="10" t="inlineStr">
        <is>
          <t>【超初心者歓迎】指示を出したらあとはお任せ!?話題の「AIエージェント」完全無料勉強会(使用ツール:Codex)事務局</t>
        </is>
      </c>
      <c r="I546" s="10" t="n"/>
      <c r="J546" s="10" t="inlineStr">
        <is>
          <t>こくちーずプロ</t>
        </is>
      </c>
      <c r="K546" s="10" t="inlineStr">
        <is>
          <t>オフライン（会場）</t>
        </is>
      </c>
      <c r="L546" s="10" t="inlineStr">
        <is>
          <t>ドトールコーヒーショップ 北心斎橋店 大阪府大阪市中央区 南船場 3‐11‐2 3F</t>
        </is>
      </c>
      <c r="M546" s="10" t="inlineStr">
        <is>
          <t>開発生産性</t>
        </is>
      </c>
      <c r="N546" s="10" t="inlineStr">
        <is>
          <t>AIエージェント</t>
        </is>
      </c>
      <c r="O546" s="12" t="inlineStr">
        <is>
          <t>○</t>
        </is>
      </c>
      <c r="P546" s="13" t="n">
        <v>0</v>
      </c>
      <c r="Q546" s="12" t="inlineStr">
        <is>
          <t>参加者数</t>
        </is>
      </c>
      <c r="R546" s="14" t="n">
        <v>5</v>
      </c>
      <c r="S546" s="10" t="n"/>
      <c r="T546" s="10" t="inlineStr">
        <is>
          <t>【心斎橋 開催】 AIエージェント知識ゼロの方歓迎！ 話題の「AIエージェント」無料の勉強会開催のお知らせ！ 「AIって便利そうだけど、何から学べばいいかわからない」 「AIエージェントって聞くけど、ChatGPTと何が違うの？」 そんな方に向けた、完全初心者向けの勉強会です。 少人数開催のため、参加者のペースに合わせて一緒に進めていきます！ ＊＊勉強会の内容＊＊ 話題のAIエージェントを使って、チャットで「〇〇をやって」と指示するだけ</t>
        </is>
      </c>
      <c r="U546" s="15" t="inlineStr">
        <is>
          <t>https://www.kokuchpro.com/event/885131b06ee794f997be83d4fb78edb0/</t>
        </is>
      </c>
      <c r="V546" s="10" t="n"/>
      <c r="W546" s="10" t="inlineStr">
        <is>
          <t>タイトル一致</t>
        </is>
      </c>
      <c r="X546" s="10" t="n"/>
    </row>
    <row r="547">
      <c r="A547" s="10" t="n">
        <v>546</v>
      </c>
      <c r="B547" s="24" t="n">
        <v>46279</v>
      </c>
      <c r="C547" s="24" t="n">
        <v>46279</v>
      </c>
      <c r="D547" s="10">
        <f>MONTH(B547)&amp;"月"</f>
        <v/>
      </c>
      <c r="E547" s="12" t="n">
        <v>1</v>
      </c>
      <c r="F547" s="10" t="n"/>
      <c r="G547" s="10" t="inlineStr">
        <is>
          <t>AIエージェントが変えるランサムウェア攻撃の脅威と対策</t>
        </is>
      </c>
      <c r="H547" s="10" t="inlineStr">
        <is>
          <t>#ホワイトハッカーズラボ /セキュ塾</t>
        </is>
      </c>
      <c r="I547" s="10" t="n"/>
      <c r="J547" s="10" t="inlineStr">
        <is>
          <t>connpass</t>
        </is>
      </c>
      <c r="K547" s="10" t="inlineStr">
        <is>
          <t>オンライン</t>
        </is>
      </c>
      <c r="L547" s="10" t="inlineStr">
        <is>
          <t>オンライン</t>
        </is>
      </c>
      <c r="M547" s="10" t="inlineStr">
        <is>
          <t>技術・AI全般</t>
        </is>
      </c>
      <c r="N547" s="10" t="inlineStr">
        <is>
          <t>AIエージェント</t>
        </is>
      </c>
      <c r="O547" s="12" t="inlineStr">
        <is>
          <t>○</t>
        </is>
      </c>
      <c r="P547" s="13" t="n">
        <v>100</v>
      </c>
      <c r="Q547" s="12" t="inlineStr">
        <is>
          <t>参加者数</t>
        </is>
      </c>
      <c r="R547" s="14" t="n">
        <v>100</v>
      </c>
      <c r="S547" s="10" t="n"/>
      <c r="T547" s="10" t="n"/>
      <c r="U547" s="15" t="inlineStr">
        <is>
          <t>https://white-hackers-lab.connpass.com/event/405772/</t>
        </is>
      </c>
      <c r="V547" s="10" t="n"/>
      <c r="W547" s="10" t="inlineStr">
        <is>
          <t>タイトル一致</t>
        </is>
      </c>
      <c r="X547" s="10" t="n"/>
    </row>
    <row r="548">
      <c r="A548" s="10" t="n">
        <v>547</v>
      </c>
      <c r="B548" s="24" t="n">
        <v>46279</v>
      </c>
      <c r="C548" s="24" t="n">
        <v>46279</v>
      </c>
      <c r="D548" s="10">
        <f>MONTH(B548)&amp;"月"</f>
        <v/>
      </c>
      <c r="E548" s="12" t="n">
        <v>1</v>
      </c>
      <c r="F548" s="10" t="n"/>
      <c r="G548" s="10" t="inlineStr">
        <is>
          <t>【再増枠】AIエージェント時代のPlatform Engineering</t>
        </is>
      </c>
      <c r="H548" s="10" t="inlineStr">
        <is>
          <t>スタディスト / Studist</t>
        </is>
      </c>
      <c r="I548" s="10" t="n"/>
      <c r="J548" s="10" t="inlineStr">
        <is>
          <t>connpass</t>
        </is>
      </c>
      <c r="K548" s="10" t="inlineStr">
        <is>
          <t>会場</t>
        </is>
      </c>
      <c r="L548" s="10" t="inlineStr">
        <is>
          <t>東京都千代田区神田錦町1-6 住友商事錦町ビル9階</t>
        </is>
      </c>
      <c r="M548" s="10" t="inlineStr">
        <is>
          <t>技術・AI全般</t>
        </is>
      </c>
      <c r="N548" s="10" t="inlineStr">
        <is>
          <t>AIエージェント</t>
        </is>
      </c>
      <c r="O548" s="12" t="inlineStr">
        <is>
          <t>○</t>
        </is>
      </c>
      <c r="P548" s="13" t="n">
        <v>45</v>
      </c>
      <c r="Q548" s="12" t="inlineStr">
        <is>
          <t>参加者数</t>
        </is>
      </c>
      <c r="R548" s="14" t="n">
        <v>46</v>
      </c>
      <c r="S548" s="10" t="n"/>
      <c r="T548" s="10" t="n"/>
      <c r="U548" s="15" t="inlineStr">
        <is>
          <t>https://studist.connpass.com/event/401612/</t>
        </is>
      </c>
      <c r="V548" s="10" t="n"/>
      <c r="W548" s="10" t="inlineStr">
        <is>
          <t>タイトル一致</t>
        </is>
      </c>
      <c r="X548" s="10" t="n"/>
    </row>
    <row r="549">
      <c r="A549" s="10" t="n">
        <v>548</v>
      </c>
      <c r="B549" s="24" t="n">
        <v>46279</v>
      </c>
      <c r="C549" s="24" t="n">
        <v>46279</v>
      </c>
      <c r="D549" s="10">
        <f>MONTH(B549)&amp;"月"</f>
        <v/>
      </c>
      <c r="E549" s="12" t="n">
        <v>1</v>
      </c>
      <c r="F549" s="10" t="n"/>
      <c r="G549" s="10" t="inlineStr">
        <is>
          <t>【初心者歓迎】Claude入門：Claude &amp; Claude Codeを基礎からまるごと学ぶ</t>
        </is>
      </c>
      <c r="H549" s="10" t="inlineStr">
        <is>
          <t>WEST-SEC</t>
        </is>
      </c>
      <c r="I549" s="10" t="n"/>
      <c r="J549" s="10" t="inlineStr">
        <is>
          <t>connpass</t>
        </is>
      </c>
      <c r="K549" s="10" t="inlineStr">
        <is>
          <t>オンライン</t>
        </is>
      </c>
      <c r="L549" s="10" t="inlineStr">
        <is>
          <t>オンライン</t>
        </is>
      </c>
      <c r="M549" s="10" t="inlineStr">
        <is>
          <t>開発生産性</t>
        </is>
      </c>
      <c r="N549" s="10" t="inlineStr">
        <is>
          <t>AIエージェント</t>
        </is>
      </c>
      <c r="O549" s="12" t="inlineStr">
        <is>
          <t>○</t>
        </is>
      </c>
      <c r="P549" s="13" t="n"/>
      <c r="Q549" s="12" t="inlineStr">
        <is>
          <t>不明</t>
        </is>
      </c>
      <c r="R549" s="14" t="n"/>
      <c r="S549" s="10" t="n"/>
      <c r="T549" s="10" t="n"/>
      <c r="U549" s="15" t="inlineStr">
        <is>
          <t>https://west-sec.connpass.com/event/404497/</t>
        </is>
      </c>
      <c r="V549" s="10" t="n"/>
      <c r="W549" s="10" t="inlineStr">
        <is>
          <t>タイトル一致</t>
        </is>
      </c>
      <c r="X549" s="10" t="n"/>
    </row>
    <row r="550">
      <c r="A550" s="10" t="n">
        <v>549</v>
      </c>
      <c r="B550" s="24" t="n">
        <v>46279</v>
      </c>
      <c r="C550" s="24" t="n">
        <v>46279</v>
      </c>
      <c r="D550" s="10">
        <f>MONTH(B550)&amp;"月"</f>
        <v/>
      </c>
      <c r="E550" s="12" t="n">
        <v>1</v>
      </c>
      <c r="F550" s="10" t="n"/>
      <c r="G550" s="10" t="inlineStr">
        <is>
          <t>そのCRM、3年後も使えますか？-AIと働く時代に後悔しないための4つの選定基準-</t>
        </is>
      </c>
      <c r="H550" s="10" t="inlineStr">
        <is>
          <t>株式会社セールスフォース・ジャパン</t>
        </is>
      </c>
      <c r="I550" s="10" t="n"/>
      <c r="J550" s="10" t="inlineStr">
        <is>
          <t>個別調査（公式サイト・PR TIMES等）</t>
        </is>
      </c>
      <c r="K550" s="10" t="inlineStr">
        <is>
          <t>オンライン</t>
        </is>
      </c>
      <c r="L550" s="10" t="inlineStr">
        <is>
          <t>オンデマンド配信あり</t>
        </is>
      </c>
      <c r="M550" s="10" t="inlineStr">
        <is>
          <t>営業・マーケ・CS</t>
        </is>
      </c>
      <c r="N550" s="10" t="inlineStr">
        <is>
          <t>AIエージェント</t>
        </is>
      </c>
      <c r="O550" s="12" t="inlineStr">
        <is>
          <t>◎</t>
        </is>
      </c>
      <c r="P550" s="13" t="n"/>
      <c r="Q550" s="12" t="inlineStr">
        <is>
          <t>不明</t>
        </is>
      </c>
      <c r="R550" s="14" t="n"/>
      <c r="S550" s="10" t="n"/>
      <c r="T550" s="10" t="inlineStr">
        <is>
          <t>AIエージェントへの対応、マルチAIのガバナンス、Slack/Teams連携など、AI時代にCRMを選ぶ4つの基準を解説する。</t>
        </is>
      </c>
      <c r="U550" s="15" t="inlineStr">
        <is>
          <t>https://www.salesforce.com/jp/events/webinars/no-regret-crm/</t>
        </is>
      </c>
      <c r="V550" s="10" t="n"/>
      <c r="W550" s="10" t="inlineStr">
        <is>
          <t>個別確認</t>
        </is>
      </c>
      <c r="X550" s="10" t="n"/>
    </row>
    <row r="551">
      <c r="A551" s="10" t="n">
        <v>550</v>
      </c>
      <c r="B551" s="24" t="n">
        <v>46279</v>
      </c>
      <c r="C551" s="24" t="n">
        <v>46279</v>
      </c>
      <c r="D551" s="10">
        <f>MONTH(B551)&amp;"月"</f>
        <v/>
      </c>
      <c r="E551" s="12" t="n">
        <v>1</v>
      </c>
      <c r="F551" s="10" t="n"/>
      <c r="G551" s="10" t="inlineStr">
        <is>
          <t>ひとり社長の仕事をAI社員に任せる方法|ライブ実演60分</t>
        </is>
      </c>
      <c r="H551" s="10" t="inlineStr">
        <is>
          <t>経営者のためのAI活用相談所</t>
        </is>
      </c>
      <c r="I551" s="10" t="n"/>
      <c r="J551" s="10" t="inlineStr">
        <is>
          <t>こくちーずプロ</t>
        </is>
      </c>
      <c r="K551" s="10" t="inlineStr">
        <is>
          <t>オンライン</t>
        </is>
      </c>
      <c r="L551" s="10" t="inlineStr">
        <is>
          <t>オンライン 日本</t>
        </is>
      </c>
      <c r="M551" s="10" t="inlineStr">
        <is>
          <t>営業・マーケ・CS</t>
        </is>
      </c>
      <c r="N551" s="10" t="inlineStr">
        <is>
          <t>AIエージェント</t>
        </is>
      </c>
      <c r="O551" s="12" t="inlineStr">
        <is>
          <t>○</t>
        </is>
      </c>
      <c r="P551" s="13" t="n">
        <v>3</v>
      </c>
      <c r="Q551" s="12" t="inlineStr">
        <is>
          <t>参加者数</t>
        </is>
      </c>
      <c r="R551" s="14" t="n">
        <v>100</v>
      </c>
      <c r="S551" s="10" t="n"/>
      <c r="T551" s="10" t="inlineStr">
        <is>
          <t>ChatGPTに文章を書いてもらう。調べ物を手伝ってもらう。でも、商談のメモを整理して、お礼メールを書いて、次の予定を決めるのは、結局ぜんぶ自分。 「AIは使っているのに、仕事が減らないな」と感じたことはありませんか？ 今回のテーマは、ひとり社長の仕事を「AI社員」に任せる方法です。 AI社員とは、役割と手順を決めて、仕事を進めてもらうAIエージェントのこと。営業のメモ整理、メールの下書き、次にやることの洗い出し。まずは身近な1つの仕事</t>
        </is>
      </c>
      <c r="U551" s="15" t="inlineStr">
        <is>
          <t>https://www.kokuchpro.com/event/e810888cf8ab2cb40a1aae463ca73115/</t>
        </is>
      </c>
      <c r="V551" s="10" t="n"/>
      <c r="W551" s="10" t="inlineStr">
        <is>
          <t>本文一致</t>
        </is>
      </c>
      <c r="X551" s="10" t="n"/>
    </row>
    <row r="552">
      <c r="A552" s="10" t="n">
        <v>551</v>
      </c>
      <c r="B552" s="24" t="n">
        <v>46279</v>
      </c>
      <c r="C552" s="24" t="n">
        <v>46279</v>
      </c>
      <c r="D552" s="10">
        <f>MONTH(B552)&amp;"月"</f>
        <v/>
      </c>
      <c r="E552" s="12" t="n">
        <v>1</v>
      </c>
      <c r="F552" s="10" t="n"/>
      <c r="G552" s="10" t="inlineStr">
        <is>
          <t>マーケティングテクノロジスト認定講座【WACA公式】（旧上級GA4講座）9月（2日間講座）</t>
        </is>
      </c>
      <c r="H552" s="10" t="inlineStr">
        <is>
          <t>一般社団法人ウェブ解析士協会</t>
        </is>
      </c>
      <c r="I552" s="10" t="n"/>
      <c r="J552" s="10" t="inlineStr">
        <is>
          <t>Doorkeeper</t>
        </is>
      </c>
      <c r="K552" s="10" t="inlineStr">
        <is>
          <t>不明</t>
        </is>
      </c>
      <c r="L552" s="10" t="n"/>
      <c r="M552" s="10" t="inlineStr">
        <is>
          <t>営業・マーケ・CS</t>
        </is>
      </c>
      <c r="N552" s="10" t="inlineStr">
        <is>
          <t>AIエージェント</t>
        </is>
      </c>
      <c r="O552" s="12" t="inlineStr">
        <is>
          <t>○</t>
        </is>
      </c>
      <c r="P552" s="13" t="n">
        <v>1</v>
      </c>
      <c r="Q552" s="12" t="inlineStr">
        <is>
          <t>参加者数</t>
        </is>
      </c>
      <c r="R552" s="14" t="n">
        <v>10</v>
      </c>
      <c r="S552" s="10" t="n"/>
      <c r="T552" s="10" t="inlineStr">
        <is>
          <t xml:space="preserve"> 講座概要 本講座は、 2026年9月14日（月）・9月28日（月）13:00〜17:00 に開催する、WACA認定マーケティングテクノロジストを養成する2日間講座です。 マーケティングテクノロジストに求められるのは、GA4を「見る」ことではありません。顧客データを適切に収集・統合・分析し、AIを活用して、事業の成長につながる施策を実装・検証する力です。 本講座では、Google Tag Manager、GA4、BigQuery、Loo</t>
        </is>
      </c>
      <c r="U552" s="15" t="inlineStr">
        <is>
          <t>https://web-mining.doorkeeper.jp/events/197760</t>
        </is>
      </c>
      <c r="V552" s="10" t="n"/>
      <c r="W552" s="10" t="inlineStr">
        <is>
          <t>本文一致</t>
        </is>
      </c>
      <c r="X552" s="10" t="n"/>
    </row>
    <row r="553">
      <c r="A553" s="10" t="n">
        <v>552</v>
      </c>
      <c r="B553" s="24" t="n">
        <v>46279</v>
      </c>
      <c r="C553" s="24" t="n">
        <v>46279</v>
      </c>
      <c r="D553" s="10">
        <f>MONTH(B553)&amp;"月"</f>
        <v/>
      </c>
      <c r="E553" s="12" t="n">
        <v>1</v>
      </c>
      <c r="F553" s="10" t="n"/>
      <c r="G553" s="10" t="inlineStr">
        <is>
          <t>審査員とハッカソン提出作品を振り返る！DevOps×AI Agent Hackathon 2026</t>
        </is>
      </c>
      <c r="H553" s="10" t="inlineStr">
        <is>
          <t>Findy Tools</t>
        </is>
      </c>
      <c r="I553" s="10" t="n"/>
      <c r="J553" s="10" t="inlineStr">
        <is>
          <t>connpass</t>
        </is>
      </c>
      <c r="K553" s="10" t="inlineStr">
        <is>
          <t>会場</t>
        </is>
      </c>
      <c r="L553" s="10" t="inlineStr">
        <is>
          <t>(場所未定)</t>
        </is>
      </c>
      <c r="M553" s="10" t="inlineStr">
        <is>
          <t>開発生産性</t>
        </is>
      </c>
      <c r="N553" s="10" t="inlineStr">
        <is>
          <t>AIエージェント</t>
        </is>
      </c>
      <c r="O553" s="12" t="inlineStr">
        <is>
          <t>○</t>
        </is>
      </c>
      <c r="P553" s="13" t="n">
        <v>41</v>
      </c>
      <c r="Q553" s="12" t="inlineStr">
        <is>
          <t>参加者数</t>
        </is>
      </c>
      <c r="R553" s="14" t="n"/>
      <c r="S553" s="10" t="n"/>
      <c r="T553" s="10" t="n"/>
      <c r="U553" s="15" t="inlineStr">
        <is>
          <t>https://findy-tools.connpass.com/event/405926/</t>
        </is>
      </c>
      <c r="V553" s="10" t="n"/>
      <c r="W553" s="10" t="inlineStr">
        <is>
          <t>タイトル一致</t>
        </is>
      </c>
      <c r="X553" s="10" t="n"/>
    </row>
    <row r="554">
      <c r="A554" s="10" t="n">
        <v>553</v>
      </c>
      <c r="B554" s="24" t="n">
        <v>46280</v>
      </c>
      <c r="C554" s="24" t="n">
        <v>46280</v>
      </c>
      <c r="D554" s="10">
        <f>MONTH(B554)&amp;"月"</f>
        <v/>
      </c>
      <c r="E554" s="12" t="n">
        <v>1</v>
      </c>
      <c r="F554" s="10" t="n"/>
      <c r="G554" s="10" t="inlineStr">
        <is>
          <t>AI Agent Journey 2026 第2回｜ 世の中に伝える</t>
        </is>
      </c>
      <c r="H554" s="10" t="inlineStr">
        <is>
          <t>データ分析・AI x データサイエンスコミュニティ</t>
        </is>
      </c>
      <c r="I554" s="10" t="n"/>
      <c r="J554" s="10" t="inlineStr">
        <is>
          <t>connpass</t>
        </is>
      </c>
      <c r="K554" s="10" t="inlineStr">
        <is>
          <t>会場</t>
        </is>
      </c>
      <c r="L554" s="10" t="inlineStr">
        <is>
          <t>〒541-0041 大阪府大阪市中央区北浜１丁目８−１６</t>
        </is>
      </c>
      <c r="M554" s="10" t="inlineStr">
        <is>
          <t>技術・AI全般</t>
        </is>
      </c>
      <c r="N554" s="10" t="inlineStr">
        <is>
          <t>AIエージェント</t>
        </is>
      </c>
      <c r="O554" s="12" t="inlineStr">
        <is>
          <t>○</t>
        </is>
      </c>
      <c r="P554" s="13" t="n">
        <v>40</v>
      </c>
      <c r="Q554" s="12" t="inlineStr">
        <is>
          <t>参加者数</t>
        </is>
      </c>
      <c r="R554" s="14" t="n">
        <v>54</v>
      </c>
      <c r="S554" s="10" t="n"/>
      <c r="T554" s="10" t="n"/>
      <c r="U554" s="15" t="inlineStr">
        <is>
          <t>https://datascience-mokumoku-kyobashi.connpass.com/event/402446/</t>
        </is>
      </c>
      <c r="V554" s="10" t="n"/>
      <c r="W554" s="10" t="inlineStr">
        <is>
          <t>タイトル一致</t>
        </is>
      </c>
      <c r="X554" s="10" t="n"/>
    </row>
    <row r="555">
      <c r="A555" s="10" t="n">
        <v>554</v>
      </c>
      <c r="B555" s="24" t="n">
        <v>46280</v>
      </c>
      <c r="C555" s="24" t="n">
        <v>46280</v>
      </c>
      <c r="D555" s="10">
        <f>MONTH(B555)&amp;"月"</f>
        <v/>
      </c>
      <c r="E555" s="12" t="n">
        <v>1</v>
      </c>
      <c r="F555" s="10" t="n"/>
      <c r="G555" s="10" t="inlineStr">
        <is>
          <t>AIが脆弱性を見つける時代、自社は攻撃対象になっていないと言い切れますか？ ～ダークウェブと攻撃者視点から、防御対象を見極める～</t>
        </is>
      </c>
      <c r="H555" s="10" t="inlineStr">
        <is>
          <t>KELA株式会社</t>
        </is>
      </c>
      <c r="I555" s="10" t="inlineStr">
        <is>
          <t>マジセミ株式会社</t>
        </is>
      </c>
      <c r="J555" s="10" t="inlineStr">
        <is>
          <t>Doorkeeper</t>
        </is>
      </c>
      <c r="K555" s="10" t="inlineStr">
        <is>
          <t>不明</t>
        </is>
      </c>
      <c r="L555" s="10" t="n"/>
      <c r="M555" s="10" t="inlineStr">
        <is>
          <t>営業・マーケ・CS</t>
        </is>
      </c>
      <c r="N555" s="10" t="inlineStr">
        <is>
          <t>AIエージェント</t>
        </is>
      </c>
      <c r="O555" s="12" t="inlineStr">
        <is>
          <t>○</t>
        </is>
      </c>
      <c r="P555" s="13" t="n">
        <v>0</v>
      </c>
      <c r="Q555" s="12" t="inlineStr">
        <is>
          <t>参加者数</t>
        </is>
      </c>
      <c r="R555" s="14" t="n"/>
      <c r="S555" s="10" t="n"/>
      <c r="T555"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AIが脆弱性を見つける時代、攻撃者から見た自社の「侵入口」はどこにあるのか 近年、生成AIやAIエージェントの進化により、脆弱性の発見や公開情報の調査は、かつてないスピードで行われるようになりました。 </t>
        </is>
      </c>
      <c r="U555" s="15" t="inlineStr">
        <is>
          <t>https://majisemi-security.doorkeeper.jp/events/198997</t>
        </is>
      </c>
      <c r="V555" s="10" t="n"/>
      <c r="W555" s="10" t="inlineStr">
        <is>
          <t>本文一致</t>
        </is>
      </c>
      <c r="X555" s="10" t="n"/>
    </row>
    <row r="556">
      <c r="A556" s="10" t="n">
        <v>555</v>
      </c>
      <c r="B556" s="24" t="n">
        <v>46280</v>
      </c>
      <c r="C556" s="24" t="n">
        <v>46280</v>
      </c>
      <c r="D556" s="10">
        <f>MONTH(B556)&amp;"月"</f>
        <v/>
      </c>
      <c r="E556" s="12" t="n">
        <v>1</v>
      </c>
      <c r="F556" s="10" t="n"/>
      <c r="G556" s="10" t="inlineStr">
        <is>
          <t>AIエージェント設計勉強会 ～自己改善、検索編～</t>
        </is>
      </c>
      <c r="H556" s="10" t="inlineStr">
        <is>
          <t>LayerX</t>
        </is>
      </c>
      <c r="I556" s="10" t="n"/>
      <c r="J556" s="10" t="inlineStr">
        <is>
          <t>connpass</t>
        </is>
      </c>
      <c r="K556" s="10" t="inlineStr">
        <is>
          <t>会場</t>
        </is>
      </c>
      <c r="L556" s="10" t="inlineStr">
        <is>
          <t>東京都千代田区大手町1-6-1 大手町ビル4F</t>
        </is>
      </c>
      <c r="M556" s="10" t="inlineStr">
        <is>
          <t>技術・AI全般</t>
        </is>
      </c>
      <c r="N556" s="10" t="inlineStr">
        <is>
          <t>AIエージェント</t>
        </is>
      </c>
      <c r="O556" s="12" t="inlineStr">
        <is>
          <t>○</t>
        </is>
      </c>
      <c r="P556" s="13" t="n"/>
      <c r="Q556" s="12" t="inlineStr">
        <is>
          <t>不明</t>
        </is>
      </c>
      <c r="R556" s="14" t="n"/>
      <c r="S556" s="10" t="n"/>
      <c r="T556" s="10" t="n"/>
      <c r="U556" s="15" t="inlineStr">
        <is>
          <t>https://layerx.connpass.com/event/405165/</t>
        </is>
      </c>
      <c r="V556" s="10" t="n"/>
      <c r="W556" s="10" t="inlineStr">
        <is>
          <t>タイトル一致</t>
        </is>
      </c>
      <c r="X556" s="10" t="n"/>
    </row>
    <row r="557">
      <c r="A557" s="10" t="n">
        <v>556</v>
      </c>
      <c r="B557" s="24" t="n">
        <v>46280</v>
      </c>
      <c r="C557" s="24" t="n">
        <v>46280</v>
      </c>
      <c r="D557" s="10">
        <f>MONTH(B557)&amp;"月"</f>
        <v/>
      </c>
      <c r="E557" s="12" t="n">
        <v>1</v>
      </c>
      <c r="F557" s="10" t="n"/>
      <c r="G557" s="10" t="inlineStr">
        <is>
          <t>Claude、みんなはどう使ってる?ひとり起業を回す10の仕組み</t>
        </is>
      </c>
      <c r="H557" s="10" t="inlineStr">
        <is>
          <t>ランマッチ</t>
        </is>
      </c>
      <c r="I557" s="10" t="n"/>
      <c r="J557" s="10" t="inlineStr">
        <is>
          <t>こくちーずプロ</t>
        </is>
      </c>
      <c r="K557" s="10" t="inlineStr">
        <is>
          <t>オンライン</t>
        </is>
      </c>
      <c r="L557" s="10" t="inlineStr">
        <is>
          <t>オンライン 日本</t>
        </is>
      </c>
      <c r="M557" s="10" t="inlineStr">
        <is>
          <t>営業・マーケ・CS</t>
        </is>
      </c>
      <c r="N557" s="10" t="inlineStr">
        <is>
          <t>AIエージェント</t>
        </is>
      </c>
      <c r="O557" s="12" t="inlineStr">
        <is>
          <t>○</t>
        </is>
      </c>
      <c r="P557" s="13" t="n">
        <v>0</v>
      </c>
      <c r="Q557" s="12" t="inlineStr">
        <is>
          <t>参加者数</t>
        </is>
      </c>
      <c r="R557" s="14" t="n">
        <v>10</v>
      </c>
      <c r="S557" s="10" t="n"/>
      <c r="T557" s="10" t="inlineStr">
        <is>
          <t>Claudeみんなはどう使ってる？ひとり起業を回す 10のAI仕組み 「なぜ、AIを毎⽇使っているのに、仕事は楽になっていないのか？」 ChatGPTやGeminiに聞けば、答えはすぐ返ってくる。⽂章も企画案も作ってくれる。なのに、 営業フォローも、資料づくりも、経理も̶̶結局ぜんぶ⾃分の⼿元に戻ってくる。そんな感覚は ありませんか。 この差を⽣んでいるのは、AIの性能でも、プロンプトの上⼿さでもありません。AIを「道具」と して使うか</t>
        </is>
      </c>
      <c r="U557" s="15" t="inlineStr">
        <is>
          <t>https://www.kokuchpro.com/event/796b7a53b89a25a7635fa57b6ce410b2/</t>
        </is>
      </c>
      <c r="V557" s="10" t="n"/>
      <c r="W557" s="10" t="inlineStr">
        <is>
          <t>本文一致</t>
        </is>
      </c>
      <c r="X557" s="10" t="n"/>
    </row>
    <row r="558">
      <c r="A558" s="10" t="n">
        <v>557</v>
      </c>
      <c r="B558" s="24" t="n">
        <v>46280</v>
      </c>
      <c r="C558" s="24" t="n">
        <v>46280</v>
      </c>
      <c r="D558" s="10">
        <f>MONTH(B558)&amp;"月"</f>
        <v/>
      </c>
      <c r="E558" s="12" t="n">
        <v>1</v>
      </c>
      <c r="F558" s="10" t="n"/>
      <c r="G558" s="10" t="inlineStr">
        <is>
          <t>「どこまでAIに任せる？」商談数を最大化する営業自動化ユースケース集</t>
        </is>
      </c>
      <c r="H558" s="10" t="inlineStr">
        <is>
          <t>Magic Moment</t>
        </is>
      </c>
      <c r="I558" s="10" t="inlineStr">
        <is>
          <t>5社共催カンファレンスの1セッション</t>
        </is>
      </c>
      <c r="J558" s="10" t="inlineStr">
        <is>
          <t>個別調査（公式サイト・PR TIMES等）</t>
        </is>
      </c>
      <c r="K558" s="10" t="inlineStr">
        <is>
          <t>オンライン</t>
        </is>
      </c>
      <c r="L558" s="10" t="n"/>
      <c r="M558" s="10" t="inlineStr">
        <is>
          <t>営業・マーケ・CS</t>
        </is>
      </c>
      <c r="N558" s="10" t="inlineStr">
        <is>
          <t>AI営業自動化</t>
        </is>
      </c>
      <c r="O558" s="12" t="inlineStr">
        <is>
          <t>◎</t>
        </is>
      </c>
      <c r="P558" s="13" t="n"/>
      <c r="Q558" s="12" t="inlineStr">
        <is>
          <t>不明</t>
        </is>
      </c>
      <c r="R558" s="14" t="n"/>
      <c r="S558" s="10" t="inlineStr">
        <is>
          <t>TECH PLAY経由の申込は2名（定員30名）。媒体別の数値</t>
        </is>
      </c>
      <c r="T558" s="10" t="inlineStr">
        <is>
          <t>AIと人の役割分担をどう設計するかを扱い、ハウスリストからの商談数を250%増やした事例を紹介する。</t>
        </is>
      </c>
      <c r="U558" s="15" t="inlineStr">
        <is>
          <t>https://techplay.jp/event/999348</t>
        </is>
      </c>
      <c r="V558" s="10" t="n"/>
      <c r="W558" s="10" t="inlineStr">
        <is>
          <t>個別確認</t>
        </is>
      </c>
      <c r="X558" s="10" t="inlineStr">
        <is>
          <t>AIエージェントの明記は弱い</t>
        </is>
      </c>
    </row>
    <row r="559">
      <c r="A559" s="10" t="n">
        <v>558</v>
      </c>
      <c r="B559" s="24" t="n">
        <v>46280</v>
      </c>
      <c r="C559" s="24" t="n">
        <v>46280</v>
      </c>
      <c r="D559" s="10">
        <f>MONTH(B559)&amp;"月"</f>
        <v/>
      </c>
      <c r="E559" s="12" t="n">
        <v>1</v>
      </c>
      <c r="F559" s="10" t="n"/>
      <c r="G559" s="10" t="inlineStr">
        <is>
          <t>【渋谷】Claude Code、みんなどこまで任せてる？｜AIエージェント活用LT＆交流会</t>
        </is>
      </c>
      <c r="H559" s="10" t="inlineStr">
        <is>
          <t>ITエンジニア One Up 勉強会</t>
        </is>
      </c>
      <c r="I559" s="10" t="n"/>
      <c r="J559" s="10" t="inlineStr">
        <is>
          <t>connpass</t>
        </is>
      </c>
      <c r="K559" s="10" t="inlineStr">
        <is>
          <t>会場</t>
        </is>
      </c>
      <c r="L559" s="10" t="inlineStr">
        <is>
          <t>東京都渋谷区桜丘町9番8号 KN渋谷3 4階</t>
        </is>
      </c>
      <c r="M559" s="10" t="inlineStr">
        <is>
          <t>開発生産性</t>
        </is>
      </c>
      <c r="N559" s="10" t="inlineStr">
        <is>
          <t>AIエージェント</t>
        </is>
      </c>
      <c r="O559" s="12" t="inlineStr">
        <is>
          <t>○</t>
        </is>
      </c>
      <c r="P559" s="13" t="n">
        <v>28</v>
      </c>
      <c r="Q559" s="12" t="inlineStr">
        <is>
          <t>参加者数</t>
        </is>
      </c>
      <c r="R559" s="14" t="n">
        <v>30</v>
      </c>
      <c r="S559" s="10" t="n"/>
      <c r="T559" s="10" t="n"/>
      <c r="U559" s="15" t="inlineStr">
        <is>
          <t>https://streamline.connpass.com/event/405411/</t>
        </is>
      </c>
      <c r="V559" s="10" t="n"/>
      <c r="W559" s="10" t="inlineStr">
        <is>
          <t>タイトル一致</t>
        </is>
      </c>
      <c r="X559" s="10" t="n"/>
    </row>
    <row r="560">
      <c r="A560" s="10" t="n">
        <v>559</v>
      </c>
      <c r="B560" s="24" t="n">
        <v>46280</v>
      </c>
      <c r="C560" s="24" t="n">
        <v>46280</v>
      </c>
      <c r="D560" s="10">
        <f>MONTH(B560)&amp;"月"</f>
        <v/>
      </c>
      <c r="E560" s="12" t="n">
        <v>1</v>
      </c>
      <c r="F560" s="10" t="n"/>
      <c r="G560" s="10" t="inlineStr">
        <is>
          <t>【無料】【実践型】AIとつくる、私の人生プロジェクトセミナー ― ObsidianとCodexで、夢を明日の一歩に変える ―</t>
        </is>
      </c>
      <c r="H560" s="10" t="inlineStr">
        <is>
          <t>WEB3LAB事務局</t>
        </is>
      </c>
      <c r="I560" s="10" t="n"/>
      <c r="J560" s="10" t="inlineStr">
        <is>
          <t>こくちーずプロ</t>
        </is>
      </c>
      <c r="K560" s="10" t="inlineStr">
        <is>
          <t>オフライン（会場）</t>
        </is>
      </c>
      <c r="L560" s="10" t="inlineStr">
        <is>
          <t>ハバスミーティングルーム 愛媛県松山市大手町1-12-5 イーストプレス2A</t>
        </is>
      </c>
      <c r="M560" s="10" t="inlineStr">
        <is>
          <t>開発生産性</t>
        </is>
      </c>
      <c r="N560" s="10" t="inlineStr">
        <is>
          <t>AIエージェント</t>
        </is>
      </c>
      <c r="O560" s="12" t="inlineStr">
        <is>
          <t>○</t>
        </is>
      </c>
      <c r="P560" s="13" t="n">
        <v>0</v>
      </c>
      <c r="Q560" s="12" t="inlineStr">
        <is>
          <t>参加者数</t>
        </is>
      </c>
      <c r="R560" s="14" t="n">
        <v>10</v>
      </c>
      <c r="S560" s="10" t="n"/>
      <c r="T560" s="10" t="inlineStr">
        <is>
          <t>■テーマ AIとつくる、私の人生プロジェクト ― ObsidianとCodexで、夢を明日の一歩に変える ― 自分の強みや経験を活かし、やりたいことを具体的な行動につなげる実践型ワークショップ ■概要 「いつかやってみたい」を、明日から始まる自分のプロジェクトに！ Obsidianに夢や気になることを書き出し、Codexとの対話を通じて、自分の想いや強みを見つけていきます。AIからの質問や提案でアイデアを広げながら、自分で選んだ「明日の</t>
        </is>
      </c>
      <c r="U560" s="15" t="inlineStr">
        <is>
          <t>https://www.kokuchpro.com/event/2236756418b28685ed98b32769517028/</t>
        </is>
      </c>
      <c r="V560" s="10" t="n"/>
      <c r="W560" s="10" t="inlineStr">
        <is>
          <t>タイトル一致</t>
        </is>
      </c>
      <c r="X560" s="10" t="n"/>
    </row>
    <row r="561">
      <c r="A561" s="10" t="n">
        <v>560</v>
      </c>
      <c r="B561" s="24" t="n">
        <v>46280</v>
      </c>
      <c r="C561" s="24" t="n">
        <v>46280</v>
      </c>
      <c r="D561" s="10">
        <f>MONTH(B561)&amp;"月"</f>
        <v/>
      </c>
      <c r="E561" s="12" t="n">
        <v>1</v>
      </c>
      <c r="F561" s="10" t="n"/>
      <c r="G561" s="10" t="inlineStr">
        <is>
          <t>【自社の現在地がわかる】生成AI業務活用ロードマップ</t>
        </is>
      </c>
      <c r="H561" s="10" t="inlineStr">
        <is>
          <t>株式会社リンクレア</t>
        </is>
      </c>
      <c r="I561" s="10" t="n"/>
      <c r="J561" s="10" t="inlineStr">
        <is>
          <t>ビジネス+IT</t>
        </is>
      </c>
      <c r="K561" s="10" t="inlineStr">
        <is>
          <t>online</t>
        </is>
      </c>
      <c r="L561" s="10" t="inlineStr">
        <is>
          <t>オンライン</t>
        </is>
      </c>
      <c r="M561" s="10" t="inlineStr">
        <is>
          <t>生産性向上・業務効率化</t>
        </is>
      </c>
      <c r="N561" s="10" t="inlineStr">
        <is>
          <t>AIエージェント</t>
        </is>
      </c>
      <c r="O561" s="12" t="inlineStr">
        <is>
          <t>○</t>
        </is>
      </c>
      <c r="P561" s="13" t="n"/>
      <c r="Q561" s="12" t="inlineStr">
        <is>
          <t>不明</t>
        </is>
      </c>
      <c r="R561" s="14" t="n"/>
      <c r="S561" s="10" t="n"/>
      <c r="T561" s="10" t="inlineStr">
        <is>
          <t>「生成AI（Copilot Chat、Gemini等）を導入したが、現場が使ってくれない」 「全社に導入したものの、目立った成果が見えていない」 「AIエージェントに興味はあるが、活用イメージが湧かない」 「自社だけで開発・運用するにはハードルが高い」 生成AI活用を推進する企業の多くが、こうした壁にぶつかっています。 成果を出すために重要なのは、自社の「現在地」を正しく把握し「次に何をすべきか」を明確にすることです。 本ウェビナーでは</t>
        </is>
      </c>
      <c r="U561" s="15" t="inlineStr">
        <is>
          <t>https://www.sbbit.jp/eventinfo/90124</t>
        </is>
      </c>
      <c r="V561" s="10" t="n"/>
      <c r="W561" s="10" t="inlineStr">
        <is>
          <t>本文一致</t>
        </is>
      </c>
      <c r="X561" s="10" t="n"/>
    </row>
    <row r="562">
      <c r="A562" s="10" t="n">
        <v>561</v>
      </c>
      <c r="B562" s="24" t="n">
        <v>46280</v>
      </c>
      <c r="C562" s="24" t="n">
        <v>46281</v>
      </c>
      <c r="D562" s="10">
        <f>MONTH(B562)&amp;"月"</f>
        <v/>
      </c>
      <c r="E562" s="12" t="n">
        <v>1</v>
      </c>
      <c r="F562" s="10" t="n"/>
      <c r="G562" s="10" t="inlineStr">
        <is>
          <t>インプレス AI Days 2026〜対話から自律・協働へ─ビジネスを再定義するAI〜</t>
        </is>
      </c>
      <c r="H562" s="10" t="inlineStr">
        <is>
          <t>株式会社インプレス</t>
        </is>
      </c>
      <c r="I562" s="10" t="n"/>
      <c r="J562" s="10" t="inlineStr">
        <is>
          <t>個別調査（公式サイト・PR TIMES等）</t>
        </is>
      </c>
      <c r="K562" s="10" t="inlineStr">
        <is>
          <t>オンライン</t>
        </is>
      </c>
      <c r="L562" s="10" t="inlineStr">
        <is>
          <t>ライブ配信</t>
        </is>
      </c>
      <c r="M562" s="10" t="inlineStr">
        <is>
          <t>生産性向上・業務効率化</t>
        </is>
      </c>
      <c r="N562" s="10" t="inlineStr">
        <is>
          <t>AIエージェント</t>
        </is>
      </c>
      <c r="O562" s="12" t="inlineStr">
        <is>
          <t>◎</t>
        </is>
      </c>
      <c r="P562" s="13" t="n">
        <v>700</v>
      </c>
      <c r="Q562" s="12" t="inlineStr">
        <is>
          <t>定員</t>
        </is>
      </c>
      <c r="R562" s="14" t="n">
        <v>700</v>
      </c>
      <c r="S562" s="10" t="inlineStr">
        <is>
          <t>募集人数</t>
        </is>
      </c>
      <c r="T562" s="10" t="inlineStr">
        <is>
          <t>生成AIとAIエージェントの企業導入、業務プロセスの再設計、ガバナンスを4トラックで扱う。製造業での事例もある。</t>
        </is>
      </c>
      <c r="U562" s="15" t="inlineStr">
        <is>
          <t>https://academy.impress.co.jp/event/ai-day2026/</t>
        </is>
      </c>
      <c r="V562" s="15" t="inlineStr">
        <is>
          <t>https://prtimes.jp/main/html/rd/p/000007625.000005875.html</t>
        </is>
      </c>
      <c r="W562" s="10" t="inlineStr">
        <is>
          <t>個別確認</t>
        </is>
      </c>
      <c r="X562" s="10" t="n"/>
    </row>
    <row r="563">
      <c r="A563" s="10" t="n">
        <v>562</v>
      </c>
      <c r="B563" s="24" t="n">
        <v>46280</v>
      </c>
      <c r="C563" s="24" t="n">
        <v>46280</v>
      </c>
      <c r="D563" s="10">
        <f>MONTH(B563)&amp;"月"</f>
        <v/>
      </c>
      <c r="E563" s="12" t="n">
        <v>1</v>
      </c>
      <c r="F563" s="10" t="n"/>
      <c r="G563" s="10" t="inlineStr">
        <is>
          <t>バズワードに惑わされないAIエージェント実装のためのデータ戦略</t>
        </is>
      </c>
      <c r="H563" s="10" t="inlineStr">
        <is>
          <t>株式会社セールスフォース・ジャパン</t>
        </is>
      </c>
      <c r="I563" s="10" t="n"/>
      <c r="J563" s="10" t="inlineStr">
        <is>
          <t>個別調査（公式サイト・PR TIMES等）</t>
        </is>
      </c>
      <c r="K563" s="10" t="inlineStr">
        <is>
          <t>オンライン</t>
        </is>
      </c>
      <c r="L563" s="10" t="n"/>
      <c r="M563" s="10" t="inlineStr">
        <is>
          <t>営業・マーケ・CS</t>
        </is>
      </c>
      <c r="N563" s="10" t="inlineStr">
        <is>
          <t>AIエージェント</t>
        </is>
      </c>
      <c r="O563" s="12" t="inlineStr">
        <is>
          <t>◎</t>
        </is>
      </c>
      <c r="P563" s="13" t="n"/>
      <c r="Q563" s="12" t="inlineStr">
        <is>
          <t>不明</t>
        </is>
      </c>
      <c r="R563" s="14" t="n"/>
      <c r="S563" s="10" t="n"/>
      <c r="T563" s="10" t="inlineStr">
        <is>
          <t>エージェンティックAIに必要なデータ基盤と、信頼できるコンテキスト、オントロジーの位置づけを解説する。</t>
        </is>
      </c>
      <c r="U563" s="15" t="inlineStr">
        <is>
          <t>https://www.salesforce.com/jp/events/webinars/ontology-is-buzzword/</t>
        </is>
      </c>
      <c r="V563" s="10" t="n"/>
      <c r="W563" s="10" t="inlineStr">
        <is>
          <t>個別確認</t>
        </is>
      </c>
      <c r="X563" s="10" t="inlineStr">
        <is>
          <t>IT部門寄りの内容</t>
        </is>
      </c>
    </row>
    <row r="564">
      <c r="A564" s="10" t="n">
        <v>563</v>
      </c>
      <c r="B564" s="24" t="n">
        <v>46281</v>
      </c>
      <c r="C564" s="24" t="n">
        <v>46281</v>
      </c>
      <c r="D564" s="10">
        <f>MONTH(B564)&amp;"月"</f>
        <v/>
      </c>
      <c r="E564" s="12" t="n">
        <v>1</v>
      </c>
      <c r="F564" s="10" t="n"/>
      <c r="G564" s="10" t="inlineStr">
        <is>
          <t>AIに渡すデータは、本当に信頼できますか？ 「データ契約」と「AIエージェント」で実現する次世代データ品質管理</t>
        </is>
      </c>
      <c r="H564" s="10" t="inlineStr">
        <is>
          <t>Qlik &amp; Talend</t>
        </is>
      </c>
      <c r="I564" s="10" t="n"/>
      <c r="J564" s="10" t="inlineStr">
        <is>
          <t>TECH PLAY</t>
        </is>
      </c>
      <c r="K564" s="10" t="inlineStr">
        <is>
          <t>オンライン</t>
        </is>
      </c>
      <c r="L564" s="10" t="n"/>
      <c r="M564" s="10" t="inlineStr">
        <is>
          <t>生産管理・製造・SCM</t>
        </is>
      </c>
      <c r="N564" s="10" t="inlineStr">
        <is>
          <t>AIエージェント</t>
        </is>
      </c>
      <c r="O564" s="12" t="inlineStr">
        <is>
          <t>◎</t>
        </is>
      </c>
      <c r="P564" s="13" t="n">
        <v>8</v>
      </c>
      <c r="Q564" s="12" t="inlineStr">
        <is>
          <t>申込者数</t>
        </is>
      </c>
      <c r="R564" s="14" t="n">
        <v>50</v>
      </c>
      <c r="S564" s="10" t="n"/>
      <c r="T564" s="10" t="inlineStr">
        <is>
          <t>Qlik TECH TALK セミナー：AIに渡すデータは、本当に信頼できますか？「データ契約」と「AIエージェント」で実現する次世代データ品質管理 AI活用が進む中、AIに渡すデータが本当に信頼できるものか、改めて問われています。どれだけ高度なAIを導入しても、元となるデータに誤りや不整合があれば、導き出される答えの信頼性も損なわれてしまいます。 本セミナーでは、Qlik Cloudの最新機能を活用し、データ品質を「問題が起きてから直</t>
        </is>
      </c>
      <c r="U564" s="15" t="inlineStr">
        <is>
          <t>https://techplay.jp/event/1000301</t>
        </is>
      </c>
      <c r="V564" s="10" t="n"/>
      <c r="W564" s="10" t="inlineStr">
        <is>
          <t>タイトル一致</t>
        </is>
      </c>
      <c r="X564" s="10" t="n"/>
    </row>
    <row r="565">
      <c r="A565" s="10" t="n">
        <v>564</v>
      </c>
      <c r="B565" s="24" t="n">
        <v>46281</v>
      </c>
      <c r="C565" s="24" t="n">
        <v>46281</v>
      </c>
      <c r="D565" s="10">
        <f>MONTH(B565)&amp;"月"</f>
        <v/>
      </c>
      <c r="E565" s="12" t="n">
        <v>1</v>
      </c>
      <c r="F565" s="10" t="n"/>
      <c r="G565" s="10" t="inlineStr">
        <is>
          <t>AIエージェントキャッチアップ #91 - SkillsBench</t>
        </is>
      </c>
      <c r="H565" s="10" t="inlineStr">
        <is>
          <t>ジェネラティブエージェンツ / Generative Agents</t>
        </is>
      </c>
      <c r="I565" s="10" t="n"/>
      <c r="J565" s="10" t="inlineStr">
        <is>
          <t>connpass</t>
        </is>
      </c>
      <c r="K565" s="10" t="inlineStr">
        <is>
          <t>オンライン</t>
        </is>
      </c>
      <c r="L565" s="10" t="inlineStr">
        <is>
          <t>オンライン</t>
        </is>
      </c>
      <c r="M565" s="10" t="inlineStr">
        <is>
          <t>技術・AI全般</t>
        </is>
      </c>
      <c r="N565" s="10" t="inlineStr">
        <is>
          <t>AIエージェント</t>
        </is>
      </c>
      <c r="O565" s="12" t="inlineStr">
        <is>
          <t>○</t>
        </is>
      </c>
      <c r="P565" s="13" t="n">
        <v>41</v>
      </c>
      <c r="Q565" s="12" t="inlineStr">
        <is>
          <t>参加者数</t>
        </is>
      </c>
      <c r="R565" s="14" t="n">
        <v>200</v>
      </c>
      <c r="S565" s="10" t="n"/>
      <c r="T565" s="10" t="n"/>
      <c r="U565" s="15" t="inlineStr">
        <is>
          <t>https://generative-agents.connpass.com/event/405647/</t>
        </is>
      </c>
      <c r="V565" s="10" t="n"/>
      <c r="W565" s="10" t="inlineStr">
        <is>
          <t>タイトル一致</t>
        </is>
      </c>
      <c r="X565" s="10" t="n"/>
    </row>
    <row r="566">
      <c r="A566" s="10" t="n">
        <v>565</v>
      </c>
      <c r="B566" s="24" t="n">
        <v>46281</v>
      </c>
      <c r="C566" s="24" t="n">
        <v>46281</v>
      </c>
      <c r="D566" s="10">
        <f>MONTH(B566)&amp;"月"</f>
        <v/>
      </c>
      <c r="E566" s="12" t="n">
        <v>1</v>
      </c>
      <c r="F566" s="10" t="n"/>
      <c r="G566" s="10" t="inlineStr">
        <is>
          <t>AIエージェント本格展開の壁〜分断されたデータ・基盤を統合し、ガバナンスとコストを両立するには〜</t>
        </is>
      </c>
      <c r="H566" s="10" t="inlineStr">
        <is>
          <t>ニュータニックス・ジャパン合同会社</t>
        </is>
      </c>
      <c r="I566" s="10" t="inlineStr">
        <is>
          <t>マジセミ株式会社</t>
        </is>
      </c>
      <c r="J566" s="10" t="inlineStr">
        <is>
          <t>Doorkeeper</t>
        </is>
      </c>
      <c r="K566" s="10" t="inlineStr">
        <is>
          <t>オンライン</t>
        </is>
      </c>
      <c r="L566" s="10" t="inlineStr">
        <is>
          <t>Webセミナー（URLは主催企業からメールでお知らせします） オンライン</t>
        </is>
      </c>
      <c r="M566" s="10" t="inlineStr">
        <is>
          <t>生産性向上・業務効率化</t>
        </is>
      </c>
      <c r="N566" s="10" t="inlineStr">
        <is>
          <t>AIエージェント</t>
        </is>
      </c>
      <c r="O566" s="12" t="inlineStr">
        <is>
          <t>◎</t>
        </is>
      </c>
      <c r="P566" s="13" t="n">
        <v>0</v>
      </c>
      <c r="Q566" s="12" t="inlineStr">
        <is>
          <t>参加者数</t>
        </is>
      </c>
      <c r="R566" s="14" t="n"/>
      <c r="S566" s="10" t="n"/>
      <c r="T566" s="10" t="inlineStr">
        <is>
          <t xml:space="preserve"> 本セミナーはWebセミナーです 参加方法（URL）は主催企業より直接メールにてご連絡いたします。 「event.nutanix.com」「osslabo.com」「majisemi.com」からのメールが迷惑メールとならないよう、メールの設定をご確認ください。 AIエージェント活用はPoCから本格展開へ 生成AIの活用が検証段階から実業務へと広がる中、企業ではAIエージェントを複数の業務や部門に展開し、エンタープライズAIを一つのシス</t>
        </is>
      </c>
      <c r="U566" s="15" t="inlineStr">
        <is>
          <t>https://osslabo.doorkeeper.jp/events/199008</t>
        </is>
      </c>
      <c r="V566" s="10" t="n"/>
      <c r="W566" s="10" t="inlineStr">
        <is>
          <t>タイトル一致</t>
        </is>
      </c>
      <c r="X566" s="10" t="n"/>
    </row>
    <row r="567">
      <c r="A567" s="10" t="n">
        <v>566</v>
      </c>
      <c r="B567" s="24" t="n">
        <v>46281</v>
      </c>
      <c r="C567" s="24" t="n">
        <v>46281</v>
      </c>
      <c r="D567" s="10">
        <f>MONTH(B567)&amp;"月"</f>
        <v/>
      </c>
      <c r="E567" s="12" t="n">
        <v>1</v>
      </c>
      <c r="F567" s="10" t="n"/>
      <c r="G567" s="10" t="inlineStr">
        <is>
          <t>BtoB Growth EXPO for Sales（大手企業のAIエージェント活用の実証知が集結するセールス特化カンファレンス）</t>
        </is>
      </c>
      <c r="H567" s="10" t="inlineStr">
        <is>
          <t>株式会社Growth DX</t>
        </is>
      </c>
      <c r="I567" s="10" t="n"/>
      <c r="J567" s="10" t="inlineStr">
        <is>
          <t>PR TIMES</t>
        </is>
      </c>
      <c r="K567" s="10" t="inlineStr">
        <is>
          <t>offline</t>
        </is>
      </c>
      <c r="L567" s="10" t="inlineStr">
        <is>
          <t>品川ザ・グランドホール（東京都港区）</t>
        </is>
      </c>
      <c r="M567" s="10" t="inlineStr">
        <is>
          <t>営業・マーケ・CS</t>
        </is>
      </c>
      <c r="N567" s="10" t="inlineStr">
        <is>
          <t>AIエージェント</t>
        </is>
      </c>
      <c r="O567" s="12" t="inlineStr">
        <is>
          <t>◎</t>
        </is>
      </c>
      <c r="P567" s="13" t="n"/>
      <c r="Q567" s="12" t="inlineStr">
        <is>
          <t>不明</t>
        </is>
      </c>
      <c r="R567" s="14" t="n"/>
      <c r="S567" s="10" t="n"/>
      <c r="T567" s="10" t="inlineStr">
        <is>
          <t>■ 『BtoB Growth EXPO for Sales』開催の背景と目的 イベント情報を見る 生成AI・AIエージェントの導入が一巡し、企業の関心は「とりあえず使ってみる」段階から「自社の業務・知識に組み込み、成果につなげる」段階へと移行しつつあります。特にBtoB営業組織においては、属人化した勝ちパターンをどう組織知に変え、AIエージェントに実務レベルで"耐えうる"運用をさせるかが、各社共通の課題となっています。 本カンファレンス</t>
        </is>
      </c>
      <c r="U567" s="15" t="inlineStr">
        <is>
          <t>https://prtimes.jp/main/html/rd/p/000000033.000151821.html</t>
        </is>
      </c>
      <c r="V567" s="10" t="n"/>
      <c r="W567" s="10" t="inlineStr">
        <is>
          <t>タイトル一致</t>
        </is>
      </c>
      <c r="X567" s="10" t="n"/>
    </row>
    <row r="568">
      <c r="A568" s="10" t="n">
        <v>567</v>
      </c>
      <c r="B568" s="24" t="n">
        <v>46281</v>
      </c>
      <c r="C568" s="24" t="n">
        <v>46281</v>
      </c>
      <c r="D568" s="10">
        <f>MONTH(B568)&amp;"月"</f>
        <v/>
      </c>
      <c r="E568" s="12" t="n">
        <v>1</v>
      </c>
      <c r="F568" s="10" t="n"/>
      <c r="G568" s="10" t="inlineStr">
        <is>
          <t>LeapAI、経営者・AX担当者向け「AIエージェント活用交流会」を9月16日にWeWork竹芝で開催</t>
        </is>
      </c>
      <c r="H568" s="10" t="inlineStr">
        <is>
          <t>株式会社LeapAI</t>
        </is>
      </c>
      <c r="I568" s="10" t="n"/>
      <c r="J568" s="10" t="inlineStr">
        <is>
          <t>PR TIMES</t>
        </is>
      </c>
      <c r="K568" s="10" t="inlineStr">
        <is>
          <t>offline</t>
        </is>
      </c>
      <c r="L568" s="10" t="inlineStr">
        <is>
          <t>WeWork竹芝</t>
        </is>
      </c>
      <c r="M568" s="10" t="inlineStr">
        <is>
          <t>生産性向上・業務効率化</t>
        </is>
      </c>
      <c r="N568" s="10" t="inlineStr">
        <is>
          <t>AIエージェント</t>
        </is>
      </c>
      <c r="O568" s="12" t="inlineStr">
        <is>
          <t>◎</t>
        </is>
      </c>
      <c r="P568" s="13" t="n"/>
      <c r="Q568" s="12" t="inlineStr">
        <is>
          <t>定員</t>
        </is>
      </c>
      <c r="R568" s="14" t="n">
        <v>20</v>
      </c>
      <c r="S568" s="10" t="n"/>
      <c r="T568" s="10" t="inlineStr">
        <is>
          <t>株式会社LeapAI（本社：東京都港区、代表取締役：岩田侑城）は、2026年9月16日（水）、WeWork東京ポートシティ竹芝にて、20名限定の少人数交流会「AIエージェント活用交流会」を開催します。 社内でAI導入を任されている経営者・事業責任者・AI推進担当者を対象に、Claude CodeやCodexなどのAIエージェントについて、各社の活用実態を持ち寄る交流会です。 参加費は無料、定員は20名。今回で、当社が主催する実務者向け交</t>
        </is>
      </c>
      <c r="U568" s="15" t="inlineStr">
        <is>
          <t>https://prtimes.jp/main/html/rd/p/000000012.000149931.html</t>
        </is>
      </c>
      <c r="V568" s="10" t="n"/>
      <c r="W568" s="10" t="inlineStr">
        <is>
          <t>タイトル一致</t>
        </is>
      </c>
      <c r="X568" s="10" t="n"/>
    </row>
    <row r="569">
      <c r="A569" s="10" t="n">
        <v>568</v>
      </c>
      <c r="B569" s="24" t="n">
        <v>46281</v>
      </c>
      <c r="C569" s="24" t="n">
        <v>46281</v>
      </c>
      <c r="D569" s="10">
        <f>MONTH(B569)&amp;"月"</f>
        <v/>
      </c>
      <c r="E569" s="12" t="n">
        <v>1</v>
      </c>
      <c r="F569" s="10" t="n"/>
      <c r="G569" s="10" t="inlineStr">
        <is>
          <t>【9/16 共催ウェビナー】ログリー「ウルテク」× SalesNow、“誰か分からない訪問者”にAIはどこまで踏み込めるか——2社のデータをMCPで繋ぐ実証実験を生配信</t>
        </is>
      </c>
      <c r="H569" s="10" t="inlineStr">
        <is>
          <t>株式会社SalesNow / ログリー株式会社</t>
        </is>
      </c>
      <c r="I569" s="10" t="n"/>
      <c r="J569" s="10" t="inlineStr">
        <is>
          <t>PR TIMES</t>
        </is>
      </c>
      <c r="K569" s="10" t="inlineStr">
        <is>
          <t>online</t>
        </is>
      </c>
      <c r="L569" s="10" t="inlineStr">
        <is>
          <t>オンライン（Zoom）</t>
        </is>
      </c>
      <c r="M569" s="10" t="inlineStr">
        <is>
          <t>営業・マーケ・CS</t>
        </is>
      </c>
      <c r="N569" s="10" t="inlineStr">
        <is>
          <t>両方</t>
        </is>
      </c>
      <c r="O569" s="12" t="inlineStr">
        <is>
          <t>◎</t>
        </is>
      </c>
      <c r="P569" s="13" t="n"/>
      <c r="Q569" s="12" t="inlineStr">
        <is>
          <t>不明</t>
        </is>
      </c>
      <c r="R569" s="14" t="n"/>
      <c r="S569" s="10" t="n"/>
      <c r="T569" s="10" t="inlineStr">
        <is>
          <t>ログリー株式会社（本社：東京都渋谷区、代表取締役：吉永浩和、証券コード：6579、以下 ログリー）は、BtoBマーケティングエージェント「ウルテク」（https://uruteq.logly.co.jp/）において、SalesNow株式会社（以下 SalesNow）との共催ウェビナーを2026年9月16日（水）12:00〜13:00に開催します。 本ウェビナーでは、両社が保有する異なるデータを生成AI／AIエージェントで繋ぐことで、サイ</t>
        </is>
      </c>
      <c r="U569" s="15" t="inlineStr">
        <is>
          <t>https://prtimes.jp/main/html/rd/p/000000214.000006043.html</t>
        </is>
      </c>
      <c r="V569" s="10" t="n"/>
      <c r="W569" s="10" t="inlineStr">
        <is>
          <t>タイトル一致</t>
        </is>
      </c>
      <c r="X569" s="10" t="n"/>
    </row>
    <row r="570">
      <c r="A570" s="10" t="n">
        <v>569</v>
      </c>
      <c r="B570" s="24" t="n">
        <v>46281</v>
      </c>
      <c r="C570" s="24" t="n">
        <v>46281</v>
      </c>
      <c r="D570" s="10">
        <f>MONTH(B570)&amp;"月"</f>
        <v/>
      </c>
      <c r="E570" s="12" t="n">
        <v>1</v>
      </c>
      <c r="F570" s="10" t="n"/>
      <c r="G570" s="10" t="inlineStr">
        <is>
          <t>【Dify活用ウェビナー】Dify無料版からビジネス活用へ！有償ライセンス×自社専用環境で進めるAI本格導入</t>
        </is>
      </c>
      <c r="H570" s="10" t="inlineStr">
        <is>
          <t>バイタリフィ｜ウェビナー情報【ベトナムでのオフショア開発、AI（人工知能）事業】</t>
        </is>
      </c>
      <c r="I570" s="10" t="n"/>
      <c r="J570" s="10" t="inlineStr">
        <is>
          <t>TECH PLAY</t>
        </is>
      </c>
      <c r="K570" s="10" t="inlineStr">
        <is>
          <t>オンライン</t>
        </is>
      </c>
      <c r="L570" s="10" t="n"/>
      <c r="M570" s="10" t="inlineStr">
        <is>
          <t>生産性向上・業務効率化</t>
        </is>
      </c>
      <c r="N570" s="10" t="inlineStr">
        <is>
          <t>AIエージェント</t>
        </is>
      </c>
      <c r="O570" s="12" t="inlineStr">
        <is>
          <t>◎</t>
        </is>
      </c>
      <c r="P570" s="13" t="n">
        <v>1</v>
      </c>
      <c r="Q570" s="12" t="inlineStr">
        <is>
          <t>申込者数</t>
        </is>
      </c>
      <c r="R570" s="14" t="n">
        <v>50</v>
      </c>
      <c r="S570" s="10" t="n"/>
      <c r="T570" s="10" t="inlineStr">
        <is>
          <t>概要 生成AIの業務活用が広がる中、ノーコード開発プラットフォーム「Dify」を検証環境や無償版で試す企業が急増しています。しかし、いざ全社展開や実業務への本格導入を検討する段階になると、「社内データを安全に扱うためのセキュリティ要件を満たせない」「アクセス権限や運用の管理ルールが定まらない」といった新たな壁に直面するケースが少なくありません。 本ウェビナーでは、Difyの基本機能のおさらいから無償OSS版と有償ライセンスの違い、さらに</t>
        </is>
      </c>
      <c r="U570" s="15" t="inlineStr">
        <is>
          <t>https://techplay.jp/event/1000249</t>
        </is>
      </c>
      <c r="V570" s="10" t="n"/>
      <c r="W570" s="10" t="inlineStr">
        <is>
          <t>タイトル一致</t>
        </is>
      </c>
      <c r="X570" s="10" t="n"/>
    </row>
    <row r="571">
      <c r="A571" s="10" t="n">
        <v>570</v>
      </c>
      <c r="B571" s="24" t="n">
        <v>46281</v>
      </c>
      <c r="C571" s="24" t="n">
        <v>46281</v>
      </c>
      <c r="D571" s="10">
        <f>MONTH(B571)&amp;"月"</f>
        <v/>
      </c>
      <c r="E571" s="12" t="n">
        <v>1</v>
      </c>
      <c r="F571" s="10" t="n"/>
      <c r="G571" s="10" t="inlineStr">
        <is>
          <t>【オンライン開催】Claude Code勉強会</t>
        </is>
      </c>
      <c r="H571" s="10" t="inlineStr">
        <is>
          <t>tecHub</t>
        </is>
      </c>
      <c r="I571" s="10" t="n"/>
      <c r="J571" s="10" t="inlineStr">
        <is>
          <t>TECH PLAY</t>
        </is>
      </c>
      <c r="K571" s="10" t="inlineStr">
        <is>
          <t>オンライン</t>
        </is>
      </c>
      <c r="L571" s="10" t="n"/>
      <c r="M571" s="10" t="inlineStr">
        <is>
          <t>開発生産性</t>
        </is>
      </c>
      <c r="N571" s="10" t="inlineStr">
        <is>
          <t>AIエージェント</t>
        </is>
      </c>
      <c r="O571" s="12" t="inlineStr">
        <is>
          <t>○</t>
        </is>
      </c>
      <c r="P571" s="13" t="n">
        <v>9</v>
      </c>
      <c r="Q571" s="12" t="inlineStr">
        <is>
          <t>申込者数</t>
        </is>
      </c>
      <c r="R571" s="14" t="n">
        <v>10</v>
      </c>
      <c r="S571" s="10" t="n"/>
      <c r="T571" s="10" t="inlineStr">
        <is>
          <t>📌 概要 AIの進化により、開発スタイルが大きく変わりつつあります。 本イベントでは、話題の Claude Code をテーマに、実務に活かせる使い方を学びます。 「触ったことはあるけど、実務でどう使うの？」 「ChatGPTとの違いって？」 「開発効率って本当に上がるの？」 といった疑問を解消しながら、実践的な知識をキャッチアップできます。 Claude Code未経験の方も大歓迎です！ これから触ってみたい方や、まずは概要を知りたい</t>
        </is>
      </c>
      <c r="U571" s="15" t="inlineStr">
        <is>
          <t>https://techplay.jp/event/999887</t>
        </is>
      </c>
      <c r="V571" s="10" t="n"/>
      <c r="W571" s="10" t="inlineStr">
        <is>
          <t>タイトル一致</t>
        </is>
      </c>
      <c r="X571" s="10" t="n"/>
    </row>
    <row r="572">
      <c r="A572" s="10" t="n">
        <v>571</v>
      </c>
      <c r="B572" s="24" t="n">
        <v>46281</v>
      </c>
      <c r="C572" s="24" t="n">
        <v>46281</v>
      </c>
      <c r="D572" s="10">
        <f>MONTH(B572)&amp;"月"</f>
        <v/>
      </c>
      <c r="E572" s="12" t="n">
        <v>1</v>
      </c>
      <c r="F572" s="10" t="n"/>
      <c r="G572" s="10" t="inlineStr">
        <is>
          <t>【水曜のDX道場】1つの指示でAIチームが動く！自律型AI「Agentic AI」の仕組みと実践</t>
        </is>
      </c>
      <c r="H572" s="10" t="inlineStr">
        <is>
          <t>水曜のDX道場</t>
        </is>
      </c>
      <c r="I572" s="10" t="n"/>
      <c r="J572" s="10" t="inlineStr">
        <is>
          <t>connpass</t>
        </is>
      </c>
      <c r="K572" s="10" t="inlineStr">
        <is>
          <t>会場</t>
        </is>
      </c>
      <c r="L572" s="10" t="inlineStr">
        <is>
          <t>大阪市北区本庄東１−１８−８</t>
        </is>
      </c>
      <c r="M572" s="10" t="inlineStr">
        <is>
          <t>生産性向上・業務効率化</t>
        </is>
      </c>
      <c r="N572" s="10" t="inlineStr">
        <is>
          <t>AIエージェント</t>
        </is>
      </c>
      <c r="O572" s="12" t="inlineStr">
        <is>
          <t>◎</t>
        </is>
      </c>
      <c r="P572" s="13" t="n">
        <v>8</v>
      </c>
      <c r="Q572" s="12" t="inlineStr">
        <is>
          <t>参加者数</t>
        </is>
      </c>
      <c r="R572" s="14" t="n">
        <v>24</v>
      </c>
      <c r="S572" s="10" t="n"/>
      <c r="T572" s="10" t="n"/>
      <c r="U572" s="15" t="inlineStr">
        <is>
          <t>https://dxdojo.connpass.com/event/406059/</t>
        </is>
      </c>
      <c r="V572" s="10" t="n"/>
      <c r="W572" s="10" t="inlineStr">
        <is>
          <t>タイトル一致</t>
        </is>
      </c>
      <c r="X572" s="10" t="n"/>
    </row>
    <row r="573">
      <c r="A573" s="10" t="n">
        <v>572</v>
      </c>
      <c r="B573" s="24" t="n">
        <v>46281</v>
      </c>
      <c r="C573" s="24" t="n">
        <v>46283</v>
      </c>
      <c r="D573" s="10">
        <f>MONTH(B573)&amp;"月"</f>
        <v/>
      </c>
      <c r="E573" s="12" t="n">
        <v>1</v>
      </c>
      <c r="F573" s="10" t="n"/>
      <c r="G573" s="10" t="inlineStr">
        <is>
          <t>バックオフィスAIエージェント EXPO【東京】（第26回 総務・人事・経理Week内）</t>
        </is>
      </c>
      <c r="H573" s="10" t="inlineStr">
        <is>
          <t>RX Japan</t>
        </is>
      </c>
      <c r="I573" s="10" t="n"/>
      <c r="J573" s="10" t="inlineStr">
        <is>
          <t>個別調査（公式サイト・PR TIMES等）</t>
        </is>
      </c>
      <c r="K573" s="10" t="inlineStr">
        <is>
          <t>会場</t>
        </is>
      </c>
      <c r="L573" s="10" t="inlineStr">
        <is>
          <t>東京ビッグサイト</t>
        </is>
      </c>
      <c r="M573" s="10" t="inlineStr">
        <is>
          <t>生産性向上・業務効率化</t>
        </is>
      </c>
      <c r="N573" s="10" t="inlineStr">
        <is>
          <t>AIエージェント</t>
        </is>
      </c>
      <c r="O573" s="12" t="inlineStr">
        <is>
          <t>◎</t>
        </is>
      </c>
      <c r="P573" s="13" t="n"/>
      <c r="Q573" s="12" t="inlineStr">
        <is>
          <t>不明</t>
        </is>
      </c>
      <c r="R573" s="14" t="n"/>
      <c r="S573" s="10" t="inlineStr">
        <is>
          <t>本展の数値は未公表。参考として、2025年6月の東京展（総務・人事・経理Week）は33,150名が来場</t>
        </is>
      </c>
      <c r="T573" s="10" t="inlineStr">
        <is>
          <t>総務・人事・経理・法務の業務を変える、生成AI・AIエージェント・AI-OCRなどのソリューションを集めた新設の専門展。</t>
        </is>
      </c>
      <c r="U573" s="15" t="inlineStr">
        <is>
          <t>https://prtimes.jp/main/html/rd/p/000002058.000026157.html</t>
        </is>
      </c>
      <c r="V573" s="15" t="inlineStr">
        <is>
          <t>https://www.office-expo.jp/hub/ja-jp/about/ai.html</t>
        </is>
      </c>
      <c r="W573" s="10" t="inlineStr">
        <is>
          <t>個別確認</t>
        </is>
      </c>
      <c r="X573" s="10" t="inlineStr">
        <is>
          <t>展示会</t>
        </is>
      </c>
    </row>
    <row r="574">
      <c r="A574" s="10" t="n">
        <v>573</v>
      </c>
      <c r="B574" s="24" t="n">
        <v>46281</v>
      </c>
      <c r="C574" s="24" t="n">
        <v>46281</v>
      </c>
      <c r="D574" s="10">
        <f>MONTH(B574)&amp;"月"</f>
        <v/>
      </c>
      <c r="E574" s="12" t="n">
        <v>1</v>
      </c>
      <c r="F574" s="10" t="n"/>
      <c r="G574" s="10" t="inlineStr">
        <is>
          <t>他社は、どこまで使いこなせてる？ AIエージェント活用交流会 @WeWork竹芝</t>
        </is>
      </c>
      <c r="H574" s="10" t="inlineStr">
        <is>
          <t>LeapAI</t>
        </is>
      </c>
      <c r="I574" s="10" t="n"/>
      <c r="J574" s="10" t="inlineStr">
        <is>
          <t>connpass</t>
        </is>
      </c>
      <c r="K574" s="10" t="inlineStr">
        <is>
          <t>会場</t>
        </is>
      </c>
      <c r="L574" s="10" t="inlineStr">
        <is>
          <t>東京都港区海岸1-7-1 10F</t>
        </is>
      </c>
      <c r="M574" s="10" t="inlineStr">
        <is>
          <t>技術・AI全般</t>
        </is>
      </c>
      <c r="N574" s="10" t="inlineStr">
        <is>
          <t>AIエージェント</t>
        </is>
      </c>
      <c r="O574" s="12" t="inlineStr">
        <is>
          <t>○</t>
        </is>
      </c>
      <c r="P574" s="13" t="n">
        <v>4</v>
      </c>
      <c r="Q574" s="12" t="inlineStr">
        <is>
          <t>参加者数</t>
        </is>
      </c>
      <c r="R574" s="14" t="n">
        <v>20</v>
      </c>
      <c r="S574" s="10" t="n"/>
      <c r="T574" s="10" t="n"/>
      <c r="U574" s="15" t="inlineStr">
        <is>
          <t>https://connpass.com/event/406195/</t>
        </is>
      </c>
      <c r="V574" s="10" t="n"/>
      <c r="W574" s="10" t="inlineStr">
        <is>
          <t>タイトル一致</t>
        </is>
      </c>
      <c r="X574" s="10" t="n"/>
    </row>
    <row r="575">
      <c r="A575" s="10" t="n">
        <v>574</v>
      </c>
      <c r="B575" s="24" t="n">
        <v>46281</v>
      </c>
      <c r="C575" s="24" t="n">
        <v>46281</v>
      </c>
      <c r="D575" s="10">
        <f>MONTH(B575)&amp;"月"</f>
        <v/>
      </c>
      <c r="E575" s="12" t="n">
        <v>1</v>
      </c>
      <c r="F575" s="10" t="n"/>
      <c r="G575" s="10" t="inlineStr">
        <is>
          <t>打ち合わせ直後にAIが勝手に見積書を仕上げる仕組みを完全公開【経営者向けライブ実演】</t>
        </is>
      </c>
      <c r="H575" s="10" t="inlineStr">
        <is>
          <t>株式会社ノヴァリス</t>
        </is>
      </c>
      <c r="I575" s="10" t="n"/>
      <c r="J575" s="10" t="inlineStr">
        <is>
          <t>TECH PLAY</t>
        </is>
      </c>
      <c r="K575" s="10" t="inlineStr">
        <is>
          <t>オンライン</t>
        </is>
      </c>
      <c r="L575" s="10" t="n"/>
      <c r="M575" s="10" t="inlineStr">
        <is>
          <t>生産管理・製造・SCM</t>
        </is>
      </c>
      <c r="N575" s="10" t="inlineStr">
        <is>
          <t>AIエージェント</t>
        </is>
      </c>
      <c r="O575" s="12" t="inlineStr">
        <is>
          <t>○</t>
        </is>
      </c>
      <c r="P575" s="13" t="n">
        <v>1</v>
      </c>
      <c r="Q575" s="12" t="inlineStr">
        <is>
          <t>申込者数</t>
        </is>
      </c>
      <c r="R575" s="14" t="n">
        <v>10</v>
      </c>
      <c r="S575" s="10" t="n"/>
      <c r="T575" s="10" t="inlineStr">
        <is>
          <t>打ち合わせ直後にAIが勝手に見積書を仕上げる仕組みを完全公開【経営者向けライブ実演】 参加無料 / オンライン / 60分（お昼休みに参加できます） ※ご参加特典あり：現場で使われている自動化事例をまとめた『Claude Code / Codex 自動化活用事例集 30選』（全82ページ）を、当日ご参加の方全員に無料でお渡しします。 ■ 商談が終わった瞬間、見積書までできていたら？ 少し想像してみてください。 お客様との打ち合わせが終わ</t>
        </is>
      </c>
      <c r="U575" s="15" t="inlineStr">
        <is>
          <t>https://techplay.jp/event/999907</t>
        </is>
      </c>
      <c r="V575" s="10" t="n"/>
      <c r="W575" s="10" t="inlineStr">
        <is>
          <t>本文一致</t>
        </is>
      </c>
      <c r="X575" s="10" t="n"/>
    </row>
    <row r="576">
      <c r="A576" s="10" t="n">
        <v>575</v>
      </c>
      <c r="B576" s="24" t="n">
        <v>46282</v>
      </c>
      <c r="C576" s="24" t="n">
        <v>46282</v>
      </c>
      <c r="D576" s="10">
        <f>MONTH(B576)&amp;"月"</f>
        <v/>
      </c>
      <c r="E576" s="12" t="n">
        <v>1</v>
      </c>
      <c r="F576" s="10" t="n"/>
      <c r="G576" s="10" t="inlineStr">
        <is>
          <t>AIとブラウザの最前線！WebMCP入門 × Brave Community Meetup</t>
        </is>
      </c>
      <c r="H576" s="10" t="inlineStr">
        <is>
          <t>BraveコミュニテイJAPAN</t>
        </is>
      </c>
      <c r="I576" s="10" t="n"/>
      <c r="J576" s="10" t="inlineStr">
        <is>
          <t>connpass</t>
        </is>
      </c>
      <c r="K576" s="10" t="inlineStr">
        <is>
          <t>会場</t>
        </is>
      </c>
      <c r="L576" s="10" t="inlineStr">
        <is>
          <t>東京都港区麻布十番</t>
        </is>
      </c>
      <c r="M576" s="10" t="inlineStr">
        <is>
          <t>技術・AI全般</t>
        </is>
      </c>
      <c r="N576" s="10" t="inlineStr">
        <is>
          <t>MCP</t>
        </is>
      </c>
      <c r="O576" s="12" t="inlineStr">
        <is>
          <t>○</t>
        </is>
      </c>
      <c r="P576" s="13" t="n">
        <v>2</v>
      </c>
      <c r="Q576" s="12" t="inlineStr">
        <is>
          <t>参加者数</t>
        </is>
      </c>
      <c r="R576" s="14" t="n">
        <v>15</v>
      </c>
      <c r="S576" s="10" t="n"/>
      <c r="T576" s="10" t="n"/>
      <c r="U576" s="15" t="inlineStr">
        <is>
          <t>https://bat-brave-japan.connpass.com/event/406316/</t>
        </is>
      </c>
      <c r="V576" s="10" t="n"/>
      <c r="W576" s="10" t="inlineStr">
        <is>
          <t>タイトル一致</t>
        </is>
      </c>
      <c r="X576" s="10" t="n"/>
    </row>
    <row r="577">
      <c r="A577" s="10" t="n">
        <v>576</v>
      </c>
      <c r="B577" s="24" t="n">
        <v>46282</v>
      </c>
      <c r="C577" s="24" t="n">
        <v>46282</v>
      </c>
      <c r="D577" s="10">
        <f>MONTH(B577)&amp;"月"</f>
        <v/>
      </c>
      <c r="E577" s="12" t="n">
        <v>1</v>
      </c>
      <c r="F577" s="10" t="n"/>
      <c r="G577" s="10" t="inlineStr">
        <is>
          <t>AIエージェントを、"新しいID"として管理できていますか？ ～生成AI・業務自動化で顕在化するIDガバナンスと実現アプローチ～</t>
        </is>
      </c>
      <c r="H577" s="10" t="inlineStr">
        <is>
          <t>Saviynt Inc 株式会社BREXA Technology</t>
        </is>
      </c>
      <c r="I577" s="10" t="inlineStr">
        <is>
          <t>Saviynt Inc 株式会社BREXA Technology</t>
        </is>
      </c>
      <c r="J577" s="10" t="inlineStr">
        <is>
          <t>Doorkeeper</t>
        </is>
      </c>
      <c r="K577" s="10" t="inlineStr">
        <is>
          <t>不明</t>
        </is>
      </c>
      <c r="L577" s="10" t="n"/>
      <c r="M577" s="10" t="inlineStr">
        <is>
          <t>生産性向上・業務効率化</t>
        </is>
      </c>
      <c r="N577" s="10" t="inlineStr">
        <is>
          <t>AIエージェント</t>
        </is>
      </c>
      <c r="O577" s="12" t="inlineStr">
        <is>
          <t>◎</t>
        </is>
      </c>
      <c r="P577" s="13" t="n">
        <v>1</v>
      </c>
      <c r="Q577" s="12" t="inlineStr">
        <is>
          <t>参加者数</t>
        </is>
      </c>
      <c r="R577" s="14" t="n">
        <v>1</v>
      </c>
      <c r="S577" s="10" t="n"/>
      <c r="T577"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AIエージェントの普及で、「人だけを管理するID運用」が限界に 生成AIや業務自動化の進展により、AIエージェントが情報を参照し、システムを操作しながら、人に代わって業務を行う場面が増えています。 一方</t>
        </is>
      </c>
      <c r="U577" s="15" t="inlineStr">
        <is>
          <t>https://majisemi-idaas.doorkeeper.jp/events/199072</t>
        </is>
      </c>
      <c r="V577" s="10" t="n"/>
      <c r="W577" s="10" t="inlineStr">
        <is>
          <t>タイトル一致</t>
        </is>
      </c>
      <c r="X577" s="10" t="n"/>
    </row>
    <row r="578">
      <c r="A578" s="10" t="n">
        <v>577</v>
      </c>
      <c r="B578" s="24" t="n">
        <v>46282</v>
      </c>
      <c r="C578" s="24" t="n">
        <v>46282</v>
      </c>
      <c r="D578" s="10">
        <f>MONTH(B578)&amp;"月"</f>
        <v/>
      </c>
      <c r="E578" s="12" t="n">
        <v>1</v>
      </c>
      <c r="F578" s="10" t="n"/>
      <c r="G578" s="10" t="inlineStr">
        <is>
          <t>AIエージェントマニアNight #5 〜AIエージェント×UXデザイン〜</t>
        </is>
      </c>
      <c r="H578" s="10" t="inlineStr">
        <is>
          <t>マネーフォワード</t>
        </is>
      </c>
      <c r="I578" s="10" t="n"/>
      <c r="J578" s="10" t="inlineStr">
        <is>
          <t>connpass</t>
        </is>
      </c>
      <c r="K578" s="10" t="inlineStr">
        <is>
          <t>会場</t>
        </is>
      </c>
      <c r="L578" s="10" t="inlineStr">
        <is>
          <t>東京都港区芝浦3-1-21 msb Tamachi 田町ステーションタワーS 21F</t>
        </is>
      </c>
      <c r="M578" s="10" t="inlineStr">
        <is>
          <t>技術・AI全般</t>
        </is>
      </c>
      <c r="N578" s="10" t="inlineStr">
        <is>
          <t>AIエージェント</t>
        </is>
      </c>
      <c r="O578" s="12" t="inlineStr">
        <is>
          <t>○</t>
        </is>
      </c>
      <c r="P578" s="13" t="n">
        <v>82</v>
      </c>
      <c r="Q578" s="12" t="inlineStr">
        <is>
          <t>参加者数</t>
        </is>
      </c>
      <c r="R578" s="14" t="n">
        <v>90</v>
      </c>
      <c r="S578" s="10" t="n"/>
      <c r="T578" s="10" t="n"/>
      <c r="U578" s="15" t="inlineStr">
        <is>
          <t>https://moneyforward.connpass.com/event/399710/</t>
        </is>
      </c>
      <c r="V578" s="10" t="n"/>
      <c r="W578" s="10" t="inlineStr">
        <is>
          <t>タイトル一致</t>
        </is>
      </c>
      <c r="X578" s="10" t="n"/>
    </row>
    <row r="579">
      <c r="A579" s="10" t="n">
        <v>578</v>
      </c>
      <c r="B579" s="24" t="n">
        <v>46282</v>
      </c>
      <c r="C579" s="24" t="n">
        <v>46282</v>
      </c>
      <c r="D579" s="10">
        <f>MONTH(B579)&amp;"月"</f>
        <v/>
      </c>
      <c r="E579" s="12" t="n">
        <v>1</v>
      </c>
      <c r="F579" s="10" t="n"/>
      <c r="G579" s="10" t="inlineStr">
        <is>
          <t>AI時代に「替えがきかないエンジニア」になる</t>
        </is>
      </c>
      <c r="H579" s="10" t="inlineStr">
        <is>
          <t>株式会社 LiberCraft</t>
        </is>
      </c>
      <c r="I579" s="10" t="n"/>
      <c r="J579" s="10" t="inlineStr">
        <is>
          <t>TECH PLAY</t>
        </is>
      </c>
      <c r="K579" s="10" t="inlineStr">
        <is>
          <t>オンライン</t>
        </is>
      </c>
      <c r="L579" s="10" t="n"/>
      <c r="M579" s="10" t="inlineStr">
        <is>
          <t>開発生産性</t>
        </is>
      </c>
      <c r="N579" s="10" t="inlineStr">
        <is>
          <t>AIエージェント</t>
        </is>
      </c>
      <c r="O579" s="12" t="inlineStr">
        <is>
          <t>△</t>
        </is>
      </c>
      <c r="P579" s="13" t="n">
        <v>7</v>
      </c>
      <c r="Q579" s="12" t="inlineStr">
        <is>
          <t>申込者数</t>
        </is>
      </c>
      <c r="R579" s="14" t="n">
        <v>100</v>
      </c>
      <c r="S579" s="10" t="n"/>
      <c r="T579" s="10" t="inlineStr">
        <is>
          <t>「AIを使うのは、もう普通のことになった。この先、自分は何で選ばれるのか」 そう感じているITエンジニアの方に向けた、無料オンラインセミナーです。 弊社では、企業のAI開発を受託しながら、AIエンジニアの採用も続けています。 その両方で見えているのは同じことです。 AIを使える人は、この1年で一気に増えました。足りていないのは、AIを作れる人のほうです。 「AI開発」と聞くと、AIを使って開発することだと受け取られがちです。 実際は、つ</t>
        </is>
      </c>
      <c r="U579" s="15" t="inlineStr">
        <is>
          <t>https://techplay.jp/event/1000514</t>
        </is>
      </c>
      <c r="V579" s="10" t="n"/>
      <c r="W579" s="10" t="inlineStr">
        <is>
          <t>本文一致</t>
        </is>
      </c>
      <c r="X579" s="10" t="n"/>
    </row>
    <row r="580">
      <c r="A580" s="10" t="n">
        <v>579</v>
      </c>
      <c r="B580" s="24" t="n">
        <v>46282</v>
      </c>
      <c r="C580" s="24" t="n">
        <v>46282</v>
      </c>
      <c r="D580" s="10">
        <f>MONTH(B580)&amp;"月"</f>
        <v/>
      </c>
      <c r="E580" s="12" t="n">
        <v>1</v>
      </c>
      <c r="F580" s="10" t="n"/>
      <c r="G580" s="10" t="inlineStr">
        <is>
          <t>AI時代の新経営管理</t>
        </is>
      </c>
      <c r="H580" s="10" t="inlineStr">
        <is>
          <t>株式会社レイヤーズ・コンサルティング</t>
        </is>
      </c>
      <c r="I580" s="10" t="n"/>
      <c r="J580" s="10" t="inlineStr">
        <is>
          <t>ビジネス+IT</t>
        </is>
      </c>
      <c r="K580" s="10" t="inlineStr">
        <is>
          <t>online</t>
        </is>
      </c>
      <c r="L580" s="10" t="inlineStr">
        <is>
          <t>オンライン</t>
        </is>
      </c>
      <c r="M580" s="10" t="inlineStr">
        <is>
          <t>生産性向上・業務効率化</t>
        </is>
      </c>
      <c r="N580" s="10" t="inlineStr">
        <is>
          <t>AIエージェント</t>
        </is>
      </c>
      <c r="O580" s="12" t="inlineStr">
        <is>
          <t>○</t>
        </is>
      </c>
      <c r="P580" s="13" t="n"/>
      <c r="Q580" s="12" t="inlineStr">
        <is>
          <t>不明</t>
        </is>
      </c>
      <c r="R580" s="14" t="n"/>
      <c r="S580" s="10" t="n"/>
      <c r="T580" s="10" t="inlineStr">
        <is>
          <t>ビジネス環境の変化が加速する中、生成AIは業務支援を超え、自律的に業務を遂行する「AIエージェント」へと進化し、経営管理の前提そのものを変え始めています。 こうした変化に対し、目先のツール活用にとどまらず、近い将来の姿を見据えたうえで、自社の経営管理のあり方をバックキャスティング的に捉え直すことが求められています。 本セミナーでは、AI時代における計画・予測・シミュレーションの将来像を展望するとともに、AIの判断の検証、データの信頼性の</t>
        </is>
      </c>
      <c r="U580" s="15" t="inlineStr">
        <is>
          <t>https://www.sbbit.jp/eventinfo/90275</t>
        </is>
      </c>
      <c r="V580" s="10" t="n"/>
      <c r="W580" s="10" t="inlineStr">
        <is>
          <t>本文一致</t>
        </is>
      </c>
      <c r="X580" s="10" t="n"/>
    </row>
    <row r="581">
      <c r="A581" s="10" t="n">
        <v>580</v>
      </c>
      <c r="B581" s="24" t="n">
        <v>46282</v>
      </c>
      <c r="C581" s="24" t="n">
        <v>46282</v>
      </c>
      <c r="D581" s="10">
        <f>MONTH(B581)&amp;"月"</f>
        <v/>
      </c>
      <c r="E581" s="12" t="n">
        <v>1</v>
      </c>
      <c r="F581" s="10" t="n"/>
      <c r="G581" s="10" t="inlineStr">
        <is>
          <t>Agora Agent Studioで始める会話型AIプロダクト検証</t>
        </is>
      </c>
      <c r="H581" s="10" t="inlineStr">
        <is>
          <t>【Agora】V-CUBE</t>
        </is>
      </c>
      <c r="I581" s="10" t="n"/>
      <c r="J581" s="10" t="inlineStr">
        <is>
          <t>connpass</t>
        </is>
      </c>
      <c r="K581" s="10" t="inlineStr">
        <is>
          <t>オンライン</t>
        </is>
      </c>
      <c r="L581" s="10" t="inlineStr">
        <is>
          <t>オンライン（Zoom ウェビナー）</t>
        </is>
      </c>
      <c r="M581" s="10" t="inlineStr">
        <is>
          <t>技術・AI全般</t>
        </is>
      </c>
      <c r="N581" s="10" t="inlineStr">
        <is>
          <t>AIエージェント</t>
        </is>
      </c>
      <c r="O581" s="12" t="inlineStr">
        <is>
          <t>○</t>
        </is>
      </c>
      <c r="P581" s="13" t="n">
        <v>1</v>
      </c>
      <c r="Q581" s="12" t="inlineStr">
        <is>
          <t>参加者数</t>
        </is>
      </c>
      <c r="R581" s="14" t="n"/>
      <c r="S581" s="10" t="n"/>
      <c r="T581" s="10" t="n"/>
      <c r="U581" s="15" t="inlineStr">
        <is>
          <t>https://vcube-agora.connpass.com/event/404093/</t>
        </is>
      </c>
      <c r="V581" s="10" t="n"/>
      <c r="W581" s="10" t="inlineStr">
        <is>
          <t>タイトル一致</t>
        </is>
      </c>
      <c r="X581" s="10" t="n"/>
    </row>
    <row r="582">
      <c r="A582" s="10" t="n">
        <v>581</v>
      </c>
      <c r="B582" s="24" t="n">
        <v>46282</v>
      </c>
      <c r="C582" s="24" t="n">
        <v>46282</v>
      </c>
      <c r="D582" s="10">
        <f>MONTH(B582)&amp;"月"</f>
        <v/>
      </c>
      <c r="E582" s="12" t="n">
        <v>1</v>
      </c>
      <c r="F582" s="10" t="n"/>
      <c r="G582" s="10" t="inlineStr">
        <is>
          <t>Claude 最前線 〜Anthropic社と探る、現場で活きる AI 活用術〜｜iret tech labo with partners #39</t>
        </is>
      </c>
      <c r="H582" s="10" t="inlineStr">
        <is>
          <t>KDDIアイレット株式会社</t>
        </is>
      </c>
      <c r="I582" s="10" t="n"/>
      <c r="J582" s="10" t="inlineStr">
        <is>
          <t>TECH PLAY</t>
        </is>
      </c>
      <c r="K582" s="10" t="inlineStr">
        <is>
          <t>オンライン</t>
        </is>
      </c>
      <c r="L582" s="10" t="n"/>
      <c r="M582" s="10" t="inlineStr">
        <is>
          <t>営業・マーケ・CS</t>
        </is>
      </c>
      <c r="N582" s="10" t="inlineStr">
        <is>
          <t>AIエージェント</t>
        </is>
      </c>
      <c r="O582" s="12" t="inlineStr">
        <is>
          <t>○</t>
        </is>
      </c>
      <c r="P582" s="13" t="n"/>
      <c r="Q582" s="12" t="inlineStr">
        <is>
          <t>非公開</t>
        </is>
      </c>
      <c r="R582" s="14" t="n">
        <v>50</v>
      </c>
      <c r="S582" s="10" t="n"/>
      <c r="T582" s="10" t="inlineStr">
        <is>
          <t>Claude 最前線 〜Anthropic社と探る、現場で活きる AI 活用術〜｜iret tech labo with partners #39 概要 2026年9月17日(木) 15:00〜16:00に、「iret tech labo with partners #39 Claude 最前線 〜Anthropic社と探る、現場で活きる AI 活用術〜」を開催します。 Anthropic社を迎え、「Claude」の強みや最新アップデー</t>
        </is>
      </c>
      <c r="U582" s="15" t="inlineStr">
        <is>
          <t>https://techplay.jp/event/999624</t>
        </is>
      </c>
      <c r="V582" s="10" t="n"/>
      <c r="W582" s="10" t="inlineStr">
        <is>
          <t>本文一致</t>
        </is>
      </c>
      <c r="X582" s="10" t="n"/>
    </row>
    <row r="583">
      <c r="A583" s="10" t="n">
        <v>582</v>
      </c>
      <c r="B583" s="24" t="n">
        <v>46282</v>
      </c>
      <c r="C583" s="24" t="n">
        <v>46282</v>
      </c>
      <c r="D583" s="10">
        <f>MONTH(B583)&amp;"月"</f>
        <v/>
      </c>
      <c r="E583" s="12" t="n">
        <v>1</v>
      </c>
      <c r="F583" s="10" t="n"/>
      <c r="G583" s="10" t="inlineStr">
        <is>
          <t>Codex・Claude Codeを使って、会社で使える業務アプリを作る!はじめてのAI業務アプリ開発セミナー</t>
        </is>
      </c>
      <c r="H583" s="10" t="inlineStr">
        <is>
          <t>株式会社Macbe セミナー運営事務局</t>
        </is>
      </c>
      <c r="I583" s="10" t="n"/>
      <c r="J583" s="10" t="inlineStr">
        <is>
          <t>こくちーずプロ</t>
        </is>
      </c>
      <c r="K583" s="10" t="inlineStr">
        <is>
          <t>オンライン</t>
        </is>
      </c>
      <c r="L583" s="10" t="inlineStr">
        <is>
          <t>オンライン 日本</t>
        </is>
      </c>
      <c r="M583" s="10" t="inlineStr">
        <is>
          <t>生産性向上・業務効率化</t>
        </is>
      </c>
      <c r="N583" s="10" t="inlineStr">
        <is>
          <t>AIエージェント</t>
        </is>
      </c>
      <c r="O583" s="12" t="inlineStr">
        <is>
          <t>◎</t>
        </is>
      </c>
      <c r="P583" s="13" t="n">
        <v>35</v>
      </c>
      <c r="Q583" s="12" t="inlineStr">
        <is>
          <t>参加者数</t>
        </is>
      </c>
      <c r="R583" s="14" t="n">
        <v>50</v>
      </c>
      <c r="S583" s="10" t="n"/>
      <c r="T583" s="10" t="inlineStr">
        <is>
          <t>Codex・Claude Codeを使って、会社で使えるアプリを作る！はじめてのAI業務アプリ開発セミナー 最近では、CodexやClaude CodeなどのAIを使うことで、これまでよりも簡単にアプリやシステムを作れるようになってきました。 実際に、画面を作ったり、簡単な機能を追加したりするだけであれば、AIに指示するだけでもかなりのところまで進めることができます。 一方で、会社の業務で実際に使おうとすると、 何から作り始めればよいか</t>
        </is>
      </c>
      <c r="U583" s="15" t="inlineStr">
        <is>
          <t>https://www.kokuchpro.com/event/2b8772d0b6e9aec097609fb11748257d/</t>
        </is>
      </c>
      <c r="V583" s="10" t="n"/>
      <c r="W583" s="10" t="inlineStr">
        <is>
          <t>タイトル一致</t>
        </is>
      </c>
      <c r="X583" s="10" t="n"/>
    </row>
    <row r="584">
      <c r="A584" s="10" t="n">
        <v>583</v>
      </c>
      <c r="B584" s="24" t="n">
        <v>46282</v>
      </c>
      <c r="C584" s="24" t="n">
        <v>46282</v>
      </c>
      <c r="D584" s="10">
        <f>MONTH(B584)&amp;"月"</f>
        <v/>
      </c>
      <c r="E584" s="12" t="n">
        <v>1</v>
      </c>
      <c r="F584" s="10" t="n"/>
      <c r="G584" s="10" t="inlineStr">
        <is>
          <t>Gemini Enterpriseで実現するAIエージェント実装講座</t>
        </is>
      </c>
      <c r="H584" s="10" t="inlineStr">
        <is>
          <t>SBクリエイティブ株式会社</t>
        </is>
      </c>
      <c r="I584" s="10" t="n"/>
      <c r="J584" s="10" t="inlineStr">
        <is>
          <t>ビジネス+IT</t>
        </is>
      </c>
      <c r="K584" s="10" t="inlineStr">
        <is>
          <t>hybrid</t>
        </is>
      </c>
      <c r="L584" s="10" t="inlineStr">
        <is>
          <t>オンライン・東京都</t>
        </is>
      </c>
      <c r="M584" s="10" t="inlineStr">
        <is>
          <t>開発生産性</t>
        </is>
      </c>
      <c r="N584" s="10" t="inlineStr">
        <is>
          <t>AIエージェント</t>
        </is>
      </c>
      <c r="O584" s="12" t="inlineStr">
        <is>
          <t>○</t>
        </is>
      </c>
      <c r="P584" s="13" t="n"/>
      <c r="Q584" s="12" t="inlineStr">
        <is>
          <t>定員</t>
        </is>
      </c>
      <c r="R584" s="14" t="n">
        <v>30</v>
      </c>
      <c r="S584" s="10" t="n"/>
      <c r="T584" s="10" t="inlineStr">
        <is>
          <t>日時： 2026年9月17日(木)15:00～17:00 会場： 住友不動産虎ノ門タワー23F（SBクリエイティブ株式会社） 定員： 会場 30名程度 ／ オンライン受講 無制限 受講料： 会場受講 33,000円（税込） ／ オンライン受講 22,000円（税込） 主催： SBクリエイティブ株式会社（ビジネス＋IT）</t>
        </is>
      </c>
      <c r="U584" s="15" t="inlineStr">
        <is>
          <t>https://www.sbbit.jp/eventinfo/90099</t>
        </is>
      </c>
      <c r="V584" s="10" t="n"/>
      <c r="W584" s="10" t="inlineStr">
        <is>
          <t>タイトル一致</t>
        </is>
      </c>
      <c r="X584" s="10" t="n"/>
    </row>
    <row r="585">
      <c r="A585" s="10" t="n">
        <v>584</v>
      </c>
      <c r="B585" s="24" t="n">
        <v>46282</v>
      </c>
      <c r="C585" s="24" t="n">
        <v>46282</v>
      </c>
      <c r="D585" s="10">
        <f>MONTH(B585)&amp;"月"</f>
        <v/>
      </c>
      <c r="E585" s="12" t="n">
        <v>1</v>
      </c>
      <c r="F585" s="10" t="n"/>
      <c r="G585" s="10" t="inlineStr">
        <is>
          <t>QubeMeetup【経営者交流会】AIエージェントの最前線を知る</t>
        </is>
      </c>
      <c r="H585" s="10" t="inlineStr">
        <is>
          <t>QubeMeetup 交流会事務局</t>
        </is>
      </c>
      <c r="I585" s="10" t="n"/>
      <c r="J585" s="10" t="inlineStr">
        <is>
          <t>こくちーずプロ</t>
        </is>
      </c>
      <c r="K585" s="10" t="inlineStr">
        <is>
          <t>オフライン（会場）</t>
        </is>
      </c>
      <c r="L585" s="10" t="inlineStr">
        <is>
          <t>株式会社シー・エス・エス 東京都品川区西五反田2-12-3 株式会社シー・エス・エス 会議室 6階</t>
        </is>
      </c>
      <c r="M585" s="10" t="inlineStr">
        <is>
          <t>生産性向上・業務効率化</t>
        </is>
      </c>
      <c r="N585" s="10" t="inlineStr">
        <is>
          <t>AIエージェント</t>
        </is>
      </c>
      <c r="O585" s="12" t="inlineStr">
        <is>
          <t>◎</t>
        </is>
      </c>
      <c r="P585" s="13" t="n"/>
      <c r="Q585" s="12" t="inlineStr">
        <is>
          <t>不明</t>
        </is>
      </c>
      <c r="R585" s="14" t="n"/>
      <c r="S585" s="10" t="n"/>
      <c r="T585" s="10" t="inlineStr">
        <is>
          <t>---------------------- ▼詳細・お申込みはこちら▼ https://qube-q.com/public/events/1658 ---------------------- 「あなたのAI顧問」黒山氏が登壇！Claude Codeを用いた経営ダッシュボードの構築をライブ実演します。業務を劇変させる最新AIエージェントの活用法や事例を学べるセミナーです。後半には飲食付きの交流会をご用意しており、経営者同士の新たな人脈</t>
        </is>
      </c>
      <c r="U585" s="15" t="inlineStr">
        <is>
          <t>https://www.kokuchpro.com/event/19114101af02cdd18dbb55935cc78d87/</t>
        </is>
      </c>
      <c r="V585" s="10" t="n"/>
      <c r="W585" s="10" t="inlineStr">
        <is>
          <t>タイトル一致</t>
        </is>
      </c>
      <c r="X585" s="10" t="n"/>
    </row>
    <row r="586">
      <c r="A586" s="10" t="n">
        <v>585</v>
      </c>
      <c r="B586" s="24" t="n">
        <v>46282</v>
      </c>
      <c r="C586" s="24" t="n">
        <v>46282</v>
      </c>
      <c r="D586" s="10">
        <f>MONTH(B586)&amp;"月"</f>
        <v/>
      </c>
      <c r="E586" s="12" t="n">
        <v>1</v>
      </c>
      <c r="F586" s="10" t="n"/>
      <c r="G586" s="10" t="inlineStr">
        <is>
          <t>【30分・人気企画の続編】AI駆動モダナイズ第2弾——現行解析の次にやるWave計画・切替・ロールバック</t>
        </is>
      </c>
      <c r="H586" s="10" t="inlineStr">
        <is>
          <t>Ragate株式会社</t>
        </is>
      </c>
      <c r="I586" s="10" t="n"/>
      <c r="J586" s="10" t="inlineStr">
        <is>
          <t>TECH PLAY</t>
        </is>
      </c>
      <c r="K586" s="10" t="inlineStr">
        <is>
          <t>オンライン</t>
        </is>
      </c>
      <c r="L586" s="10" t="n"/>
      <c r="M586" s="10" t="inlineStr">
        <is>
          <t>開発生産性</t>
        </is>
      </c>
      <c r="N586" s="10" t="inlineStr">
        <is>
          <t>AIエージェント</t>
        </is>
      </c>
      <c r="O586" s="12" t="inlineStr">
        <is>
          <t>△</t>
        </is>
      </c>
      <c r="P586" s="13" t="n">
        <v>6</v>
      </c>
      <c r="Q586" s="12" t="inlineStr">
        <is>
          <t>申込者数</t>
        </is>
      </c>
      <c r="R586" s="14" t="n">
        <v>50</v>
      </c>
      <c r="S586" s="10" t="n"/>
      <c r="T586" s="10" t="inlineStr">
        <is>
          <t>レガシーシステムの機能、依存関係、リスク、7R候補を整理しても、実行順序と切替条件が曖昧なままではモダナイズは始まりません。 共有データベースや夜間バッチで結ばれた機能を別々に動かせるのか。旧新システムを併存させる境界はどこか。新環境へ一部トラフィックを流した後、何を計測すればよいか。問題が起きたとき、データを失わず何分でどこへ戻すのか。こうした問いを、アプリケーション一覧ではなく依存関係単位で決める必要があります。 本ウェビナーでは、</t>
        </is>
      </c>
      <c r="U586" s="15" t="inlineStr">
        <is>
          <t>https://techplay.jp/event/998463</t>
        </is>
      </c>
      <c r="V586" s="10" t="n"/>
      <c r="W586" s="10" t="inlineStr">
        <is>
          <t>本文一致</t>
        </is>
      </c>
      <c r="X586" s="10" t="n"/>
    </row>
    <row r="587">
      <c r="A587" s="10" t="n">
        <v>586</v>
      </c>
      <c r="B587" s="24" t="n">
        <v>46282</v>
      </c>
      <c r="C587" s="24" t="n">
        <v>46282</v>
      </c>
      <c r="D587" s="10">
        <f>MONTH(B587)&amp;"月"</f>
        <v/>
      </c>
      <c r="E587" s="12" t="n">
        <v>1</v>
      </c>
      <c r="F587" s="10" t="n"/>
      <c r="G587" s="10" t="inlineStr">
        <is>
          <t>【AI導入を阻む4つの壁】なぜ、AIエージェントはPoCで止まるのか ～「動くデモ」から「業務を任せられる仕組み」へ、AI・コード・人の役割分担と本番運用の設計～</t>
        </is>
      </c>
      <c r="H587" s="10" t="inlineStr">
        <is>
          <t>スパイスファクトリー株式会社</t>
        </is>
      </c>
      <c r="I587" s="10" t="inlineStr">
        <is>
          <t>マジセミ株式会社</t>
        </is>
      </c>
      <c r="J587" s="10" t="inlineStr">
        <is>
          <t>Doorkeeper</t>
        </is>
      </c>
      <c r="K587" s="10" t="inlineStr">
        <is>
          <t>不明</t>
        </is>
      </c>
      <c r="L587" s="10" t="n"/>
      <c r="M587" s="10" t="inlineStr">
        <is>
          <t>生産性向上・業務効率化</t>
        </is>
      </c>
      <c r="N587" s="10" t="inlineStr">
        <is>
          <t>AIエージェント</t>
        </is>
      </c>
      <c r="O587" s="12" t="inlineStr">
        <is>
          <t>◎</t>
        </is>
      </c>
      <c r="P587" s="13" t="n">
        <v>0</v>
      </c>
      <c r="Q587" s="12" t="inlineStr">
        <is>
          <t>参加者数</t>
        </is>
      </c>
      <c r="R587" s="14" t="n"/>
      <c r="S587" s="10" t="n"/>
      <c r="T587"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AIエージェントの本番活用が問われ始めた 生成AIの活用が企業の重要テーマとなるなか、次の段階としてAIエージェントを業務に組み込む動きが広がっています。PoCでは、問い合わせ対応や文書作成、情報整理な</t>
        </is>
      </c>
      <c r="U587" s="15" t="inlineStr">
        <is>
          <t>https://majisemi-technology.doorkeeper.jp/events/199078</t>
        </is>
      </c>
      <c r="V587" s="10" t="n"/>
      <c r="W587" s="10" t="inlineStr">
        <is>
          <t>タイトル一致</t>
        </is>
      </c>
      <c r="X587" s="10" t="n"/>
    </row>
    <row r="588">
      <c r="A588" s="10" t="n">
        <v>587</v>
      </c>
      <c r="B588" s="24" t="n">
        <v>46282</v>
      </c>
      <c r="C588" s="24" t="n">
        <v>46282</v>
      </c>
      <c r="D588" s="10">
        <f>MONTH(B588)&amp;"月"</f>
        <v/>
      </c>
      <c r="E588" s="12" t="n">
        <v>1</v>
      </c>
      <c r="F588" s="10" t="n"/>
      <c r="G588" s="10" t="inlineStr">
        <is>
          <t>【ももスタ】「明日から使える」AI解体新書</t>
        </is>
      </c>
      <c r="H588" s="10" t="inlineStr">
        <is>
          <t>株式会社ATOMica</t>
        </is>
      </c>
      <c r="I588" s="10" t="n"/>
      <c r="J588" s="10" t="inlineStr">
        <is>
          <t>こくちーずプロ</t>
        </is>
      </c>
      <c r="K588" s="10" t="inlineStr">
        <is>
          <t>オフライン（会場）</t>
        </is>
      </c>
      <c r="L588" s="10" t="inlineStr">
        <is>
          <t>ももたろう・スタートアップカフェ 岡山県岡山市北区駅前町1丁目8番地18号 イコットニコット2階</t>
        </is>
      </c>
      <c r="M588" s="10" t="inlineStr">
        <is>
          <t>生産管理・製造・SCM</t>
        </is>
      </c>
      <c r="N588" s="10" t="inlineStr">
        <is>
          <t>AIエージェント</t>
        </is>
      </c>
      <c r="O588" s="12" t="inlineStr">
        <is>
          <t>○</t>
        </is>
      </c>
      <c r="P588" s="13" t="n">
        <v>1</v>
      </c>
      <c r="Q588" s="12" t="inlineStr">
        <is>
          <t>参加者数</t>
        </is>
      </c>
      <c r="R588" s="14" t="n">
        <v>15</v>
      </c>
      <c r="S588" s="10" t="n"/>
      <c r="T588" s="10" t="inlineStr">
        <is>
          <t>「AIに興味はあるけれど、何から始めればいいか分からない」「自社の業務にどう活かせる？」そんなモヤモヤを解消するイベントを開催します！ 地方・中小企業のAI導入を支えるプロと、最先端の「AIエージェント（Claude Code等）」を駆使する実践者たちが登壇。従来のチャット型AIから次世代エージェント型AIへの進化、コワーキングスペースでの生デモ、地方・中小企業が選ぶべきツールなど、教科書には載っていない「現場のリアル」を熱く語り尽くし</t>
        </is>
      </c>
      <c r="U588" s="15" t="inlineStr">
        <is>
          <t>https://www.kokuchpro.com/event/a5d486152004a57a8d1ab3726bc9a49d/</t>
        </is>
      </c>
      <c r="V588" s="10" t="n"/>
      <c r="W588" s="10" t="inlineStr">
        <is>
          <t>本文一致</t>
        </is>
      </c>
      <c r="X588" s="10" t="n"/>
    </row>
    <row r="589">
      <c r="A589" s="10" t="n">
        <v>588</v>
      </c>
      <c r="B589" s="24" t="n">
        <v>46282</v>
      </c>
      <c r="C589" s="24" t="n">
        <v>46282</v>
      </c>
      <c r="D589" s="10">
        <f>MONTH(B589)&amp;"月"</f>
        <v/>
      </c>
      <c r="E589" s="12" t="n">
        <v>1</v>
      </c>
      <c r="F589" s="10" t="n"/>
      <c r="G589" s="10" t="inlineStr">
        <is>
          <t>【オンラインセミナー】AmiVoice×AWS「認識率」だけで選んでいませんか？AIエージェント時代に求められる、音声認識活用の新常識【9月17日（木）共催】</t>
        </is>
      </c>
      <c r="H589" s="10" t="inlineStr">
        <is>
          <t>株式会社アドバンスト・メディア</t>
        </is>
      </c>
      <c r="I589" s="10" t="n"/>
      <c r="J589" s="10" t="inlineStr">
        <is>
          <t>PR TIMES</t>
        </is>
      </c>
      <c r="K589" s="10" t="inlineStr">
        <is>
          <t>online</t>
        </is>
      </c>
      <c r="L589" s="10" t="inlineStr">
        <is>
          <t>オンライン（Zoom）</t>
        </is>
      </c>
      <c r="M589" s="10" t="inlineStr">
        <is>
          <t>技術・AI全般</t>
        </is>
      </c>
      <c r="N589" s="10" t="inlineStr">
        <is>
          <t>AIエージェント</t>
        </is>
      </c>
      <c r="O589" s="12" t="inlineStr">
        <is>
          <t>○</t>
        </is>
      </c>
      <c r="P589" s="13" t="n"/>
      <c r="Q589" s="12" t="inlineStr">
        <is>
          <t>不明</t>
        </is>
      </c>
      <c r="R589" s="14" t="n"/>
      <c r="S589" s="10" t="n"/>
      <c r="T589" s="10" t="inlineStr">
        <is>
          <t>2026年9月17日（木）、株式会社アドバンスト・メディア（本社：東京都豊島区、代表取締役会長兼社長：鈴木清幸 以下、アドバンスト・メディア）は、オンラインセミナー「AmiVoice×AWS『認識率』だけで選んでいませんか？AIエージェント時代に求められる、音声認識活用の新常識」を共催いたします。 詳細・お申込みはこちら 本セミナーでは、AWSの生成AIサービスの最新動向とAmiVoice APIの機能・活用事例を通じて、AIエージェン</t>
        </is>
      </c>
      <c r="U589" s="15" t="inlineStr">
        <is>
          <t>https://prtimes.jp/main/html/rd/p/000000806.000020223.html</t>
        </is>
      </c>
      <c r="V589" s="10" t="n"/>
      <c r="W589" s="10" t="inlineStr">
        <is>
          <t>タイトル一致</t>
        </is>
      </c>
      <c r="X589" s="10" t="n"/>
    </row>
    <row r="590">
      <c r="A590" s="10" t="n">
        <v>589</v>
      </c>
      <c r="B590" s="24" t="n">
        <v>46282</v>
      </c>
      <c r="C590" s="24" t="n">
        <v>46282</v>
      </c>
      <c r="D590" s="10">
        <f>MONTH(B590)&amp;"月"</f>
        <v/>
      </c>
      <c r="E590" s="12" t="n">
        <v>1</v>
      </c>
      <c r="F590" s="10" t="n"/>
      <c r="G590" s="10" t="inlineStr">
        <is>
          <t>【シーメンスエキスパートトーク 第6弾】インダストリアルAIはなぜPoCで止まるのか ～ERP・PLM・MESに分断された産業データを三層統合し、AIが考えて動く基盤へ～</t>
        </is>
      </c>
      <c r="H590" s="10" t="inlineStr">
        <is>
          <t>シーメンス株式会社 株式会社マクニカ</t>
        </is>
      </c>
      <c r="I590" s="10" t="inlineStr">
        <is>
          <t>シーメンス株式会社 株式会社マクニカ</t>
        </is>
      </c>
      <c r="J590" s="10" t="inlineStr">
        <is>
          <t>Doorkeeper</t>
        </is>
      </c>
      <c r="K590" s="10" t="inlineStr">
        <is>
          <t>不明</t>
        </is>
      </c>
      <c r="L590" s="10" t="n"/>
      <c r="M590" s="10" t="inlineStr">
        <is>
          <t>生産管理・製造・SCM</t>
        </is>
      </c>
      <c r="N590" s="10" t="inlineStr">
        <is>
          <t>AIエージェント</t>
        </is>
      </c>
      <c r="O590" s="12" t="inlineStr">
        <is>
          <t>○</t>
        </is>
      </c>
      <c r="P590" s="13" t="n">
        <v>0</v>
      </c>
      <c r="Q590" s="12" t="inlineStr">
        <is>
          <t>参加者数</t>
        </is>
      </c>
      <c r="R590" s="14" t="n"/>
      <c r="S590" s="10" t="n"/>
      <c r="T590"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PoCは成功しても、AIが現場の業務で使われない 生成AIやAIエージェントへの期待が高まり、製造業でもさまざまな検証が進められています。一方で、PoCでは一定の成果が得られても、実際の業務プロセスには</t>
        </is>
      </c>
      <c r="U590" s="15" t="inlineStr">
        <is>
          <t>https://majisemi-manufacturing.doorkeeper.jp/events/198802</t>
        </is>
      </c>
      <c r="V590" s="10" t="n"/>
      <c r="W590" s="10" t="inlineStr">
        <is>
          <t>本文一致</t>
        </is>
      </c>
      <c r="X590" s="10" t="n"/>
    </row>
    <row r="591">
      <c r="A591" s="10" t="n">
        <v>590</v>
      </c>
      <c r="B591" s="24" t="n">
        <v>46282</v>
      </c>
      <c r="C591" s="24" t="n">
        <v>46282</v>
      </c>
      <c r="D591" s="10">
        <f>MONTH(B591)&amp;"月"</f>
        <v/>
      </c>
      <c r="E591" s="12" t="n">
        <v>1</v>
      </c>
      <c r="F591" s="10" t="n"/>
      <c r="G591" s="10" t="inlineStr">
        <is>
          <t>【セミナー開催】「AI導入を阻む4つの壁」なぜ、AIエージェントはPoCで止まるのか</t>
        </is>
      </c>
      <c r="H591" s="10" t="inlineStr">
        <is>
          <t>スパイスファクトリー株式会社</t>
        </is>
      </c>
      <c r="I591" s="10" t="n"/>
      <c r="J591" s="10" t="inlineStr">
        <is>
          <t>PR TIMES</t>
        </is>
      </c>
      <c r="K591" s="10" t="inlineStr">
        <is>
          <t>online</t>
        </is>
      </c>
      <c r="L591" s="10" t="inlineStr">
        <is>
          <t>Zoom（URLは参加者へ直前にメールにてご連絡いたします）</t>
        </is>
      </c>
      <c r="M591" s="10" t="inlineStr">
        <is>
          <t>技術・AI全般</t>
        </is>
      </c>
      <c r="N591" s="10" t="inlineStr">
        <is>
          <t>AIエージェント</t>
        </is>
      </c>
      <c r="O591" s="12" t="inlineStr">
        <is>
          <t>○</t>
        </is>
      </c>
      <c r="P591" s="13" t="n"/>
      <c r="Q591" s="12" t="inlineStr">
        <is>
          <t>定員</t>
        </is>
      </c>
      <c r="R591" s="14" t="n">
        <v>50</v>
      </c>
      <c r="S591" s="10" t="n"/>
      <c r="T591" s="10" t="inlineStr">
        <is>
          <t>主催：スパイスファクトリー株式会社｜協力：マジセミ株式会社 デジタル・トランスフォーメーションを⽀援するスパイスファクトリー株式会社（本社：東京都港区、代表取締役CEO：高木 広之介、以下「当社」 ）は、2026年7月より9月にかけて3回にわたり、無料のWebセミナーを開催しています。ご好評をいただいている本セミナーシリーズもいよいよ最終回。今回は、「【AI導入を阻む4つの壁】なぜ、AIエージェントはPoCで止まるのか」をテーマに、AI</t>
        </is>
      </c>
      <c r="U591" s="15" t="inlineStr">
        <is>
          <t>https://prtimes.jp/main/html/rd/p/000000211.000022779.html</t>
        </is>
      </c>
      <c r="V591" s="10" t="n"/>
      <c r="W591" s="10" t="inlineStr">
        <is>
          <t>タイトル一致</t>
        </is>
      </c>
      <c r="X591" s="10" t="n"/>
    </row>
    <row r="592">
      <c r="A592" s="10" t="n">
        <v>591</v>
      </c>
      <c r="B592" s="24" t="n">
        <v>46282</v>
      </c>
      <c r="C592" s="24" t="n">
        <v>46282</v>
      </c>
      <c r="D592" s="10">
        <f>MONTH(B592)&amp;"月"</f>
        <v/>
      </c>
      <c r="E592" s="12" t="n">
        <v>1</v>
      </c>
      <c r="F592" s="10" t="n"/>
      <c r="G592" s="10" t="inlineStr">
        <is>
          <t>【仕様の把握から上流工程の相談・提案まで】業務もシステムも、 仕様のすべてを知り尽くすAIエージェント</t>
        </is>
      </c>
      <c r="H592" s="10" t="inlineStr">
        <is>
          <t>テックファーム株式会社</t>
        </is>
      </c>
      <c r="I592" s="10" t="n"/>
      <c r="J592" s="10" t="inlineStr">
        <is>
          <t>TECH PLAY</t>
        </is>
      </c>
      <c r="K592" s="10" t="inlineStr">
        <is>
          <t>オンライン</t>
        </is>
      </c>
      <c r="L592" s="10" t="n"/>
      <c r="M592" s="10" t="inlineStr">
        <is>
          <t>生産性向上・業務効率化</t>
        </is>
      </c>
      <c r="N592" s="10" t="inlineStr">
        <is>
          <t>AIエージェント</t>
        </is>
      </c>
      <c r="O592" s="12" t="inlineStr">
        <is>
          <t>◎</t>
        </is>
      </c>
      <c r="P592" s="13" t="n"/>
      <c r="Q592" s="12" t="inlineStr">
        <is>
          <t>非公開</t>
        </is>
      </c>
      <c r="R592" s="14" t="n">
        <v>100</v>
      </c>
      <c r="S592" s="10" t="n"/>
      <c r="T592" s="10" t="inlineStr">
        <is>
          <t>属人化によるこんなお悩みありませんか 担当者の異動・退職に伴い、急なシステムの「引き継ぎ」が発生する 仕様の把握・管理が属人化している SPEC AGENTがまるごと解決 引き継ぎに依存しない ☑機能仕様と"決定背景"を保持 ☑引き継ぎ時の調査・ヒアリングを不要に 属人化を排除する ☑散在する仕様情報を集約し一元管理 ☑チャット形式で誰でも仕様を確認 SPEC AGENTとは システム仕様と業務仕様を管理し、最新の状態を保ちやすくする仕</t>
        </is>
      </c>
      <c r="U592" s="15" t="inlineStr">
        <is>
          <t>https://techplay.jp/event/1000131</t>
        </is>
      </c>
      <c r="V592" s="10" t="n"/>
      <c r="W592" s="10" t="inlineStr">
        <is>
          <t>タイトル一致</t>
        </is>
      </c>
      <c r="X592" s="10" t="n"/>
    </row>
    <row r="593">
      <c r="A593" s="10" t="n">
        <v>592</v>
      </c>
      <c r="B593" s="24" t="n">
        <v>46282</v>
      </c>
      <c r="C593" s="24" t="n">
        <v>46282</v>
      </c>
      <c r="D593" s="10">
        <f>MONTH(B593)&amp;"月"</f>
        <v/>
      </c>
      <c r="E593" s="12" t="n">
        <v>1</v>
      </c>
      <c r="F593" s="10" t="n"/>
      <c r="G593" s="10" t="inlineStr">
        <is>
          <t>【無料・リザストユーザー向け】リザスト×Codex 講座を売上につなげるAI活用セミナー</t>
        </is>
      </c>
      <c r="H593" s="10" t="inlineStr">
        <is>
          <t>杉山眞利 リザスト×AI活用事務局</t>
        </is>
      </c>
      <c r="I593" s="10" t="n"/>
      <c r="J593" s="10" t="inlineStr">
        <is>
          <t>こくちーずプロ</t>
        </is>
      </c>
      <c r="K593" s="10" t="inlineStr">
        <is>
          <t>オンライン</t>
        </is>
      </c>
      <c r="L593" s="10" t="inlineStr">
        <is>
          <t>オンライン 日本</t>
        </is>
      </c>
      <c r="M593" s="10" t="inlineStr">
        <is>
          <t>開発生産性</t>
        </is>
      </c>
      <c r="N593" s="10" t="inlineStr">
        <is>
          <t>AIエージェント</t>
        </is>
      </c>
      <c r="O593" s="12" t="inlineStr">
        <is>
          <t>○</t>
        </is>
      </c>
      <c r="P593" s="13" t="n">
        <v>0</v>
      </c>
      <c r="Q593" s="12" t="inlineStr">
        <is>
          <t>参加者数</t>
        </is>
      </c>
      <c r="R593" s="14" t="n">
        <v>10</v>
      </c>
      <c r="S593" s="10" t="n"/>
      <c r="T593" s="10" t="inlineStr">
        <is>
          <t>AIを使っているのに、売上につながらない方へ リザストで届けたい講座や商品はある。ChatGPTなどのAIも使っている。 それなのに、LP、バナー、メルマガ、スライドなど、やることが多すぎて募集が進まない。案内を出しても、思うように申込みや売上につながらない。 そんなことはありませんか？ この無料セミナーでは、Codexを 「自分専用AI実務チーム」 として取り入れ、売上から逆算して、いま動かす仕事を決めるための3つの本質をお伝えします</t>
        </is>
      </c>
      <c r="U593" s="15" t="inlineStr">
        <is>
          <t>https://www.kokuchpro.com/event/bcc1f484aba4f4cb008d5ef9e357d950/3892173/</t>
        </is>
      </c>
      <c r="V593" s="10" t="n"/>
      <c r="W593" s="10" t="inlineStr">
        <is>
          <t>タイトル一致</t>
        </is>
      </c>
      <c r="X593" s="10" t="n"/>
    </row>
    <row r="594">
      <c r="A594" s="10" t="n">
        <v>593</v>
      </c>
      <c r="B594" s="24" t="n">
        <v>46282</v>
      </c>
      <c r="C594" s="24" t="n">
        <v>46282</v>
      </c>
      <c r="D594" s="10">
        <f>MONTH(B594)&amp;"月"</f>
        <v/>
      </c>
      <c r="E594" s="12" t="n">
        <v>1</v>
      </c>
      <c r="F594" s="10" t="n"/>
      <c r="G594" s="10" t="inlineStr">
        <is>
          <t>なぜ社内公募に応募がないのか？～NEC・中外製薬も選んだ解決策～</t>
        </is>
      </c>
      <c r="H594" s="10" t="inlineStr">
        <is>
          <t>SHIFT</t>
        </is>
      </c>
      <c r="I594" s="10" t="n"/>
      <c r="J594" s="10" t="inlineStr">
        <is>
          <t>TECH PLAY</t>
        </is>
      </c>
      <c r="K594" s="10" t="inlineStr">
        <is>
          <t>オンライン</t>
        </is>
      </c>
      <c r="L594" s="10" t="n"/>
      <c r="M594" s="10" t="inlineStr">
        <is>
          <t>営業・マーケ・CS</t>
        </is>
      </c>
      <c r="N594" s="10" t="inlineStr">
        <is>
          <t>AIエージェント</t>
        </is>
      </c>
      <c r="O594" s="12" t="inlineStr">
        <is>
          <t>○</t>
        </is>
      </c>
      <c r="P594" s="13" t="n"/>
      <c r="Q594" s="12" t="inlineStr">
        <is>
          <t>非公開</t>
        </is>
      </c>
      <c r="R594" s="14" t="n">
        <v>150</v>
      </c>
      <c r="S594" s="10" t="n"/>
      <c r="T594" s="10" t="inlineStr">
        <is>
          <t>開催日 2026.09.17（木）13:00～13:30 セミナー概要 第1回のウェビナーでは、AI時代における自律型組織への転換と社内公募制度の重要性についてお話ししました。今回は、「現場で具体的にどう運用すればいいのか」「人事の負担や社員の応募ハードルをどう下げればいいのか」「応募数がどうしてそんなに増えたのか」というご質問にお応えしてその秘密をお話します。 制度が盛り上がらない背景には、社員側の「上司にバレる恐怖」や「求人票の情報</t>
        </is>
      </c>
      <c r="U594" s="15" t="inlineStr">
        <is>
          <t>https://techplay.jp/event/1000038</t>
        </is>
      </c>
      <c r="V594" s="10" t="n"/>
      <c r="W594" s="10" t="inlineStr">
        <is>
          <t>本文一致</t>
        </is>
      </c>
      <c r="X594" s="10" t="n"/>
    </row>
    <row r="595">
      <c r="A595" s="10" t="n">
        <v>594</v>
      </c>
      <c r="B595" s="24" t="n">
        <v>46282</v>
      </c>
      <c r="C595" s="24" t="n">
        <v>46282</v>
      </c>
      <c r="D595" s="10">
        <f>MONTH(B595)&amp;"月"</f>
        <v/>
      </c>
      <c r="E595" s="12" t="n">
        <v>1</v>
      </c>
      <c r="F595" s="10" t="n"/>
      <c r="G595" s="10" t="inlineStr">
        <is>
          <t>エンジニアの日常業務を効率化！Claude Codeを「使うほど育つ」AI秘書にするノウハウ</t>
        </is>
      </c>
      <c r="H595" s="10" t="inlineStr">
        <is>
          <t>ファインディ／Findy</t>
        </is>
      </c>
      <c r="I595" s="10" t="n"/>
      <c r="J595" s="10" t="inlineStr">
        <is>
          <t>connpass</t>
        </is>
      </c>
      <c r="K595" s="10" t="inlineStr">
        <is>
          <t>オンライン</t>
        </is>
      </c>
      <c r="L595" s="10" t="inlineStr">
        <is>
          <t>オンライン</t>
        </is>
      </c>
      <c r="M595" s="10" t="inlineStr">
        <is>
          <t>生産性向上・業務効率化</t>
        </is>
      </c>
      <c r="N595" s="10" t="inlineStr">
        <is>
          <t>AIエージェント</t>
        </is>
      </c>
      <c r="O595" s="12" t="inlineStr">
        <is>
          <t>◎</t>
        </is>
      </c>
      <c r="P595" s="13" t="n">
        <v>1016</v>
      </c>
      <c r="Q595" s="12" t="inlineStr">
        <is>
          <t>参加者数</t>
        </is>
      </c>
      <c r="R595" s="14" t="n"/>
      <c r="S595" s="10" t="n"/>
      <c r="T595" s="10" t="n"/>
      <c r="U595" s="15" t="inlineStr">
        <is>
          <t>https://findy.connpass.com/event/403958/</t>
        </is>
      </c>
      <c r="V595" s="10" t="n"/>
      <c r="W595" s="10" t="inlineStr">
        <is>
          <t>タイトル一致</t>
        </is>
      </c>
      <c r="X595" s="10" t="n"/>
    </row>
    <row r="596">
      <c r="A596" s="10" t="n">
        <v>595</v>
      </c>
      <c r="B596" s="24" t="n">
        <v>46282</v>
      </c>
      <c r="C596" s="24" t="n">
        <v>46282</v>
      </c>
      <c r="D596" s="10">
        <f>MONTH(B596)&amp;"月"</f>
        <v/>
      </c>
      <c r="E596" s="12" t="n">
        <v>1</v>
      </c>
      <c r="F596" s="10" t="n"/>
      <c r="G596" s="10" t="inlineStr">
        <is>
          <t>オンプレの情報資産を生成AIで活用 QuickSolution × AWS で 社内横断検索とRAGを実現</t>
        </is>
      </c>
      <c r="H596" s="10" t="inlineStr">
        <is>
          <t>「QuickSolution」紹介ウェビナー担当</t>
        </is>
      </c>
      <c r="I596" s="10" t="n"/>
      <c r="J596" s="10" t="inlineStr">
        <is>
          <t>こくちーずプロ</t>
        </is>
      </c>
      <c r="K596" s="10" t="inlineStr">
        <is>
          <t>オンライン</t>
        </is>
      </c>
      <c r="L596" s="10" t="inlineStr">
        <is>
          <t>オンライン 日本</t>
        </is>
      </c>
      <c r="M596" s="10" t="inlineStr">
        <is>
          <t>生産性向上・業務効率化</t>
        </is>
      </c>
      <c r="N596" s="10" t="inlineStr">
        <is>
          <t>AIエージェント</t>
        </is>
      </c>
      <c r="O596" s="12" t="inlineStr">
        <is>
          <t>○</t>
        </is>
      </c>
      <c r="P596" s="13" t="n"/>
      <c r="Q596" s="12" t="inlineStr">
        <is>
          <t>不明</t>
        </is>
      </c>
      <c r="R596" s="14" t="n"/>
      <c r="S596" s="10" t="n"/>
      <c r="T596" s="10" t="inlineStr">
        <is>
          <t>オンプレの情報資産を生成AIで活用 QuickSolution × AWS で 社内横断検索とRAGを実現 住友電工情報システム × ゼネックコミュニケーション 共催ウェビナー ファイルサーバや各種社内システムに蓄積された過去の資料、規定集、マニュアルなどを生成AIやAIエージェントで有効活用したい──その一方で、「情報が点在しており、体系的に管理できていない」「生成AI環境が準備できていない」といった課題があるようです。 本ウェビナー</t>
        </is>
      </c>
      <c r="U596" s="15" t="inlineStr">
        <is>
          <t>https://www.kokuchpro.com/event/3bc0a9728e56d9f00ca049e3b0aa6965/</t>
        </is>
      </c>
      <c r="V596" s="10" t="n"/>
      <c r="W596" s="10" t="inlineStr">
        <is>
          <t>本文一致</t>
        </is>
      </c>
      <c r="X596" s="10" t="n"/>
    </row>
    <row r="597">
      <c r="A597" s="10" t="n">
        <v>596</v>
      </c>
      <c r="B597" s="24" t="n">
        <v>46282</v>
      </c>
      <c r="C597" s="24" t="n">
        <v>46282</v>
      </c>
      <c r="D597" s="10">
        <f>MONTH(B597)&amp;"月"</f>
        <v/>
      </c>
      <c r="E597" s="12" t="n">
        <v>1</v>
      </c>
      <c r="F597" s="10" t="n"/>
      <c r="G597" s="10" t="inlineStr">
        <is>
          <t>事業成果を創出する「AIエージェント」設計術〜「業務フロー図が描けない」を終わらせる、AIと進める業務棚卸しデモ〜</t>
        </is>
      </c>
      <c r="H597" s="10" t="inlineStr">
        <is>
          <t>MONSTARLAB</t>
        </is>
      </c>
      <c r="I597" s="10" t="n"/>
      <c r="J597" s="10" t="inlineStr">
        <is>
          <t>TECH PLAY</t>
        </is>
      </c>
      <c r="K597" s="10" t="inlineStr">
        <is>
          <t>オンライン</t>
        </is>
      </c>
      <c r="L597" s="10" t="n"/>
      <c r="M597" s="10" t="inlineStr">
        <is>
          <t>生産性向上・業務効率化</t>
        </is>
      </c>
      <c r="N597" s="10" t="inlineStr">
        <is>
          <t>AIエージェント</t>
        </is>
      </c>
      <c r="O597" s="12" t="inlineStr">
        <is>
          <t>◎</t>
        </is>
      </c>
      <c r="P597" s="13" t="n">
        <v>12</v>
      </c>
      <c r="Q597" s="12" t="inlineStr">
        <is>
          <t>申込者数</t>
        </is>
      </c>
      <c r="R597" s="14" t="n">
        <v>100</v>
      </c>
      <c r="S597" s="10" t="n"/>
      <c r="T597" s="10" t="inlineStr">
        <is>
          <t>事業成果を創出する｢AIエージェント｣設計術〜「業務フロー図が描けない」を終わらせる、AIと進める業務棚卸しデモ〜 本企画の背景 「設計の考え方は分かった。でも、自社の業務をフロー図に落とす最初の一歩が踏み出せない」——本セミナーシリーズの参加者アンケートでは、回答の半数以上がこの"業務の棚卸し"の壁に集中しています。難しいのはフロー図を描くことではなく、描けるところまで業務を整理すること。この"手前の工程"で、多くの企業が止まっていま</t>
        </is>
      </c>
      <c r="U597" s="15" t="inlineStr">
        <is>
          <t>https://techplay.jp/event/1000039</t>
        </is>
      </c>
      <c r="V597" s="10" t="n"/>
      <c r="W597" s="10" t="inlineStr">
        <is>
          <t>タイトル一致</t>
        </is>
      </c>
      <c r="X597" s="10" t="n"/>
    </row>
    <row r="598">
      <c r="A598" s="10" t="n">
        <v>597</v>
      </c>
      <c r="B598" s="24" t="n">
        <v>46282</v>
      </c>
      <c r="C598" s="24" t="n">
        <v>46282</v>
      </c>
      <c r="D598" s="10">
        <f>MONTH(B598)&amp;"月"</f>
        <v/>
      </c>
      <c r="E598" s="12" t="n">
        <v>1</v>
      </c>
      <c r="F598" s="10" t="n"/>
      <c r="G598" s="10" t="inlineStr">
        <is>
          <t>人手不足時代の電話業務をもっと効率的に、AIが変える電話業務改革！～工数削減と顧客満足度向上を実現するDXでんわとは？～</t>
        </is>
      </c>
      <c r="H598" s="10" t="inlineStr">
        <is>
          <t>マジセミ</t>
        </is>
      </c>
      <c r="I598" s="10" t="inlineStr">
        <is>
          <t>日本テレネット株式会社 メディアリンク株式会社</t>
        </is>
      </c>
      <c r="J598" s="10" t="inlineStr">
        <is>
          <t>Doorkeeper</t>
        </is>
      </c>
      <c r="K598" s="10" t="inlineStr">
        <is>
          <t>オンライン</t>
        </is>
      </c>
      <c r="L598" s="10" t="inlineStr">
        <is>
          <t>Webセミナー（URLは主催企業からメールでお知らせします） オンライン</t>
        </is>
      </c>
      <c r="M598" s="10" t="inlineStr">
        <is>
          <t>営業・マーケ・CS</t>
        </is>
      </c>
      <c r="N598" s="10" t="inlineStr">
        <is>
          <t>AIエージェント</t>
        </is>
      </c>
      <c r="O598" s="12" t="inlineStr">
        <is>
          <t>○</t>
        </is>
      </c>
      <c r="P598" s="13" t="n">
        <v>1</v>
      </c>
      <c r="Q598" s="12" t="inlineStr">
        <is>
          <t>参加者数</t>
        </is>
      </c>
      <c r="R598" s="14" t="n">
        <v>10</v>
      </c>
      <c r="S598" s="10" t="n"/>
      <c r="T598" s="10" t="inlineStr">
        <is>
          <t xml:space="preserve"> 本セミナーはWebセミナーです 参加方法（URL）は主催企業より直接メールにてご連絡いたします。 【メディアリンク株式会社×日本テレネット株式会社共催ウェビナー開催】​​ 「電話が鳴るたびに業務が中断される」 「問い合わせ対応の際にスムーズな取次ができず、顧客を待たせてしまう」 「人手不足で電話対応の負担が増え続けている」 このような悩みを抱えていませんか？ 近年の電話業務はお問い合わせ対応や取次業務に時間を取られるだけでなく、対応の</t>
        </is>
      </c>
      <c r="U598" s="15" t="inlineStr">
        <is>
          <t>https://majisemi-business.doorkeeper.jp/events/199051</t>
        </is>
      </c>
      <c r="V598" s="10" t="n"/>
      <c r="W598" s="10" t="inlineStr">
        <is>
          <t>本文一致</t>
        </is>
      </c>
      <c r="X598" s="10" t="n"/>
    </row>
    <row r="599">
      <c r="A599" s="10" t="n">
        <v>598</v>
      </c>
      <c r="B599" s="24" t="n">
        <v>46282</v>
      </c>
      <c r="C599" s="24" t="n">
        <v>46282</v>
      </c>
      <c r="D599" s="10">
        <f>MONTH(B599)&amp;"月"</f>
        <v/>
      </c>
      <c r="E599" s="12" t="n">
        <v>1</v>
      </c>
      <c r="F599" s="10" t="n"/>
      <c r="G599" s="10" t="inlineStr">
        <is>
          <t>品質・コスト・スピードの壁を突破！Agora Agent Studioで始める会話型AIプロダクト検証 ｜ GPT Live等の最新AIトレンドとAgoraの役割とは？「失敗しないPoC」の進め方</t>
        </is>
      </c>
      <c r="H599" s="10" t="inlineStr">
        <is>
          <t>ブイキューブ</t>
        </is>
      </c>
      <c r="I599" s="10" t="n"/>
      <c r="J599" s="10" t="inlineStr">
        <is>
          <t>TECH PLAY</t>
        </is>
      </c>
      <c r="K599" s="10" t="inlineStr">
        <is>
          <t>オンライン</t>
        </is>
      </c>
      <c r="L599" s="10" t="n"/>
      <c r="M599" s="10" t="inlineStr">
        <is>
          <t>開発生産性</t>
        </is>
      </c>
      <c r="N599" s="10" t="inlineStr">
        <is>
          <t>AIエージェント</t>
        </is>
      </c>
      <c r="O599" s="12" t="inlineStr">
        <is>
          <t>○</t>
        </is>
      </c>
      <c r="P599" s="13" t="n"/>
      <c r="Q599" s="12" t="inlineStr">
        <is>
          <t>非公開</t>
        </is>
      </c>
      <c r="R599" s="14" t="n">
        <v>100</v>
      </c>
      <c r="S599" s="10" t="n"/>
      <c r="T599" s="10" t="inlineStr">
        <is>
          <t>9/17（木）11:00-12:00 オンライン無料｜Agora Agent Studioで始める会話型AIプロダクト検証 音声対話AIの進化により、「AIと自然に話せるサービス」への注目度が急速に高まっています。 一方で、いざ自社サービスに組み込もうとすると、「通信遅延や音声品質のコントロール」「高額になりがちな開発・運用コスト」が大きな壁となり、企画や検証（PoC）に踏み切れずにいる企画・PMの方も多いのではないでしょうか。 本セミ</t>
        </is>
      </c>
      <c r="U599" s="15" t="inlineStr">
        <is>
          <t>https://techplay.jp/event/999476</t>
        </is>
      </c>
      <c r="V599" s="10" t="n"/>
      <c r="W599" s="10" t="inlineStr">
        <is>
          <t>タイトル一致</t>
        </is>
      </c>
      <c r="X599" s="10" t="n"/>
    </row>
    <row r="600">
      <c r="A600" s="10" t="n">
        <v>599</v>
      </c>
      <c r="B600" s="24" t="n">
        <v>46282</v>
      </c>
      <c r="C600" s="24" t="n">
        <v>46282</v>
      </c>
      <c r="D600" s="10">
        <f>MONTH(B600)&amp;"月"</f>
        <v/>
      </c>
      <c r="E600" s="12" t="n">
        <v>1</v>
      </c>
      <c r="F600" s="10" t="n"/>
      <c r="G600" s="10" t="inlineStr">
        <is>
          <t>小澤健祐氏が登壇する「SuperStreamフォーラム2026」を開催　「AIエージェントで進む業務変革」をテーマにバックオフィス変革の実践的手法を紹介</t>
        </is>
      </c>
      <c r="H600" s="10" t="inlineStr">
        <is>
          <t>キヤノンITソリューションズ株式会社</t>
        </is>
      </c>
      <c r="I600" s="10" t="n"/>
      <c r="J600" s="10" t="inlineStr">
        <is>
          <t>PR TIMES</t>
        </is>
      </c>
      <c r="K600" s="10" t="inlineStr">
        <is>
          <t>online</t>
        </is>
      </c>
      <c r="L600" s="10" t="inlineStr">
        <is>
          <t>オンライン（Zoom）※視聴方法はお申し込み後にメールで通知します。</t>
        </is>
      </c>
      <c r="M600" s="10" t="inlineStr">
        <is>
          <t>生産性向上・業務効率化</t>
        </is>
      </c>
      <c r="N600" s="10" t="inlineStr">
        <is>
          <t>AIエージェント</t>
        </is>
      </c>
      <c r="O600" s="12" t="inlineStr">
        <is>
          <t>◎</t>
        </is>
      </c>
      <c r="P600" s="13" t="n"/>
      <c r="Q600" s="12" t="inlineStr">
        <is>
          <t>不明</t>
        </is>
      </c>
      <c r="R600" s="14" t="n"/>
      <c r="S600" s="10" t="n"/>
      <c r="T600" s="10" t="inlineStr">
        <is>
          <t>キヤノンマーケティングジャパングループのキヤノンITソリューションズ株式会社（本社：東京都港区、代表取締役社長：須山寛、以下キヤノンITS）は、ソリューションパートナーとの共創によるオンラインイベント「SuperStreamフォーラム2026 ～AIエージェントで進む業務変革｜『使う』から『任せる』に～」を開催します。 AIが価値を発揮する領域、業務標準化・システム化により解決すべき領域、人が判断すべき領域を整理しながら、バックオフィス</t>
        </is>
      </c>
      <c r="U600" s="15" t="inlineStr">
        <is>
          <t>https://prtimes.jp/main/html/rd/p/000001044.000001375.html</t>
        </is>
      </c>
      <c r="V600" s="10" t="n"/>
      <c r="W600" s="10" t="inlineStr">
        <is>
          <t>タイトル一致</t>
        </is>
      </c>
      <c r="X600" s="10" t="n"/>
    </row>
    <row r="601">
      <c r="A601" s="10" t="n">
        <v>600</v>
      </c>
      <c r="B601" s="24" t="n">
        <v>46283</v>
      </c>
      <c r="C601" s="24" t="n">
        <v>46283</v>
      </c>
      <c r="D601" s="10">
        <f>MONTH(B601)&amp;"月"</f>
        <v/>
      </c>
      <c r="E601" s="12" t="n">
        <v>1</v>
      </c>
      <c r="F601" s="10" t="n"/>
      <c r="G601" s="10" t="inlineStr">
        <is>
          <t>AIエージェント勉強会 in 安城</t>
        </is>
      </c>
      <c r="H601" s="10" t="inlineStr">
        <is>
          <t>デジサポ</t>
        </is>
      </c>
      <c r="I601" s="10" t="n"/>
      <c r="J601" s="10" t="inlineStr">
        <is>
          <t>connpass</t>
        </is>
      </c>
      <c r="K601" s="10" t="inlineStr">
        <is>
          <t>会場</t>
        </is>
      </c>
      <c r="L601" s="10" t="inlineStr">
        <is>
          <t>愛知県安城市御幸本町504番地1</t>
        </is>
      </c>
      <c r="M601" s="10" t="inlineStr">
        <is>
          <t>技術・AI全般</t>
        </is>
      </c>
      <c r="N601" s="10" t="inlineStr">
        <is>
          <t>AIエージェント</t>
        </is>
      </c>
      <c r="O601" s="12" t="inlineStr">
        <is>
          <t>○</t>
        </is>
      </c>
      <c r="P601" s="13" t="n">
        <v>2</v>
      </c>
      <c r="Q601" s="12" t="inlineStr">
        <is>
          <t>参加者数</t>
        </is>
      </c>
      <c r="R601" s="14" t="n">
        <v>5</v>
      </c>
      <c r="S601" s="10" t="n"/>
      <c r="T601" s="10" t="n"/>
      <c r="U601" s="15" t="inlineStr">
        <is>
          <t>https://connpass.com/event/403896/</t>
        </is>
      </c>
      <c r="V601" s="10" t="n"/>
      <c r="W601" s="10" t="inlineStr">
        <is>
          <t>タイトル一致</t>
        </is>
      </c>
      <c r="X601" s="10" t="n"/>
    </row>
    <row r="602">
      <c r="A602" s="10" t="n">
        <v>601</v>
      </c>
      <c r="B602" s="24" t="n">
        <v>46283</v>
      </c>
      <c r="C602" s="24" t="n">
        <v>46283</v>
      </c>
      <c r="D602" s="10">
        <f>MONTH(B602)&amp;"月"</f>
        <v/>
      </c>
      <c r="E602" s="12" t="n">
        <v>1</v>
      </c>
      <c r="F602" s="10" t="n"/>
      <c r="G602" s="10" t="inlineStr">
        <is>
          <t>DX&amp;AI Forum 2026 Fall 東京</t>
        </is>
      </c>
      <c r="H602" s="10" t="inlineStr">
        <is>
          <t>SBクリエイティブ株式会社（ビジネス＋IT）</t>
        </is>
      </c>
      <c r="I602" s="10" t="n"/>
      <c r="J602" s="10" t="inlineStr">
        <is>
          <t>ビジネス+IT</t>
        </is>
      </c>
      <c r="K602" s="10" t="inlineStr">
        <is>
          <t>offline</t>
        </is>
      </c>
      <c r="L602" s="10" t="inlineStr">
        <is>
          <t>東京都</t>
        </is>
      </c>
      <c r="M602" s="10" t="inlineStr">
        <is>
          <t>生産性向上・業務効率化</t>
        </is>
      </c>
      <c r="N602" s="10" t="inlineStr">
        <is>
          <t>AIエージェント</t>
        </is>
      </c>
      <c r="O602" s="12" t="inlineStr">
        <is>
          <t>○</t>
        </is>
      </c>
      <c r="P602" s="13" t="n"/>
      <c r="Q602" s="12" t="inlineStr">
        <is>
          <t>不明</t>
        </is>
      </c>
      <c r="R602" s="14" t="n"/>
      <c r="S602" s="10" t="n"/>
      <c r="T602" s="10" t="inlineStr">
        <is>
          <t>世界的な地政学リスクと経済安全保障問題、AI主権をめぐるAI開発競争など、厳しさを増す経済環境の中、日本企業は生き残りをかけた変革を迫られています。一方でAIは、自ら考え行動するエージェンティックAIや現実世界で動くフィジカルAIへと進化し、人とAIが協調し稼働する「自律型社会」が、AGI（汎用人工知能）の実現を視野にいよいよ現実となろうとしています。日本企業がAIやデジタルを融合した「AX戦略」で「再成長」へ向かうには、今、何が必要で</t>
        </is>
      </c>
      <c r="U602" s="15" t="inlineStr">
        <is>
          <t>https://www.sbbit.jp/eventinfo/88473</t>
        </is>
      </c>
      <c r="V602" s="10" t="n"/>
      <c r="W602" s="10" t="inlineStr">
        <is>
          <t>本文一致</t>
        </is>
      </c>
      <c r="X602" s="10" t="n"/>
    </row>
    <row r="603">
      <c r="A603" s="10" t="n">
        <v>602</v>
      </c>
      <c r="B603" s="24" t="n">
        <v>46283</v>
      </c>
      <c r="C603" s="24" t="n">
        <v>46283</v>
      </c>
      <c r="D603" s="10">
        <f>MONTH(B603)&amp;"月"</f>
        <v/>
      </c>
      <c r="E603" s="12" t="n">
        <v>1</v>
      </c>
      <c r="F603" s="10" t="n"/>
      <c r="G603" s="10" t="inlineStr">
        <is>
          <t>[好評につき増員しました] [AIエージェント] 秋のLT大会</t>
        </is>
      </c>
      <c r="H603" s="10" t="inlineStr">
        <is>
          <t>ML女子部 (男性も大歓迎!) - Women in ML -</t>
        </is>
      </c>
      <c r="I603" s="10" t="n"/>
      <c r="J603" s="10" t="inlineStr">
        <is>
          <t>connpass</t>
        </is>
      </c>
      <c r="K603" s="10" t="inlineStr">
        <is>
          <t>会場</t>
        </is>
      </c>
      <c r="L603" s="10" t="inlineStr">
        <is>
          <t>(場所未定)</t>
        </is>
      </c>
      <c r="M603" s="10" t="inlineStr">
        <is>
          <t>技術・AI全般</t>
        </is>
      </c>
      <c r="N603" s="10" t="inlineStr">
        <is>
          <t>AIエージェント</t>
        </is>
      </c>
      <c r="O603" s="12" t="inlineStr">
        <is>
          <t>○</t>
        </is>
      </c>
      <c r="P603" s="13" t="n">
        <v>63</v>
      </c>
      <c r="Q603" s="12" t="inlineStr">
        <is>
          <t>参加者数</t>
        </is>
      </c>
      <c r="R603" s="14" t="n">
        <v>70</v>
      </c>
      <c r="S603" s="10" t="n"/>
      <c r="T603" s="10" t="n"/>
      <c r="U603" s="15" t="inlineStr">
        <is>
          <t>https://women-ml.connpass.com/event/400784/</t>
        </is>
      </c>
      <c r="V603" s="10" t="n"/>
      <c r="W603" s="10" t="inlineStr">
        <is>
          <t>タイトル一致</t>
        </is>
      </c>
      <c r="X603" s="10" t="n"/>
    </row>
    <row r="604">
      <c r="A604" s="10" t="n">
        <v>603</v>
      </c>
      <c r="B604" s="24" t="n">
        <v>46283</v>
      </c>
      <c r="C604" s="24" t="n">
        <v>46283</v>
      </c>
      <c r="D604" s="10">
        <f>MONTH(B604)&amp;"月"</f>
        <v/>
      </c>
      <c r="E604" s="12" t="n">
        <v>1</v>
      </c>
      <c r="F604" s="10" t="n"/>
      <c r="G604" s="10" t="inlineStr">
        <is>
          <t>「経営者向け」「AIを使う」から「AIに仕事を任せる」へ 〜GPT-6 Astraで始まるAI社員時代〜</t>
        </is>
      </c>
      <c r="H604" s="10" t="inlineStr">
        <is>
          <t>AIバード事務局 @ライトアップ</t>
        </is>
      </c>
      <c r="I604" s="10" t="n"/>
      <c r="J604" s="10" t="inlineStr">
        <is>
          <t>TECH PLAY</t>
        </is>
      </c>
      <c r="K604" s="10" t="inlineStr">
        <is>
          <t>オンライン</t>
        </is>
      </c>
      <c r="L604" s="10" t="n"/>
      <c r="M604" s="10" t="inlineStr">
        <is>
          <t>生産性向上・業務効率化</t>
        </is>
      </c>
      <c r="N604" s="10" t="inlineStr">
        <is>
          <t>AIエージェント</t>
        </is>
      </c>
      <c r="O604" s="12" t="inlineStr">
        <is>
          <t>○</t>
        </is>
      </c>
      <c r="P604" s="13" t="n">
        <v>6</v>
      </c>
      <c r="Q604" s="12" t="inlineStr">
        <is>
          <t>申込者数</t>
        </is>
      </c>
      <c r="R604" s="14" t="n">
        <v>30</v>
      </c>
      <c r="S604" s="10" t="n"/>
      <c r="T604" s="10" t="inlineStr">
        <is>
          <t>OpenAIが、次期最上位モデル「GPT-6 Astra」を発表しました すでにChatGPTとCodexで提供が始まり、Plus、Pro、Business、EnterpriseとAPIへ順次広がっています。 伸びたのは、回答の賢さではありません。 ブラウザや業務ソフトを操作し、途中で判断し、成果物まで仕上げる力です。 たとえば「研修資料を作って」と頼むと、 既存テンプレートに合わせる 表を更新する 申込フォームを確認する 完成版を所定</t>
        </is>
      </c>
      <c r="U604" s="15" t="inlineStr">
        <is>
          <t>https://techplay.jp/event/1000634</t>
        </is>
      </c>
      <c r="V604" s="10" t="n"/>
      <c r="W604" s="10" t="inlineStr">
        <is>
          <t>本文一致</t>
        </is>
      </c>
      <c r="X604" s="10" t="n"/>
    </row>
    <row r="605">
      <c r="A605" s="10" t="n">
        <v>604</v>
      </c>
      <c r="B605" s="24" t="n">
        <v>46283</v>
      </c>
      <c r="C605" s="24" t="n">
        <v>46283</v>
      </c>
      <c r="D605" s="10">
        <f>MONTH(B605)&amp;"月"</f>
        <v/>
      </c>
      <c r="E605" s="12" t="n">
        <v>1</v>
      </c>
      <c r="F605" s="10" t="n"/>
      <c r="G605" s="10" t="inlineStr">
        <is>
          <t>【大阪】Zenn Agentic AI ミニハッカソン with Google Cloud</t>
        </is>
      </c>
      <c r="H605" s="10" t="inlineStr">
        <is>
          <t>クラスメソッド株式会社</t>
        </is>
      </c>
      <c r="I605" s="10" t="n"/>
      <c r="J605" s="10" t="inlineStr">
        <is>
          <t>connpass</t>
        </is>
      </c>
      <c r="K605" s="10" t="inlineStr">
        <is>
          <t>会場</t>
        </is>
      </c>
      <c r="L605" s="10" t="inlineStr">
        <is>
          <t>〒541-0044 大阪府大阪市中央区伏見町3-6-3 三菱UFJ信託銀行大阪ビル8階</t>
        </is>
      </c>
      <c r="M605" s="10" t="inlineStr">
        <is>
          <t>技術・AI全般</t>
        </is>
      </c>
      <c r="N605" s="10" t="inlineStr">
        <is>
          <t>AIエージェント</t>
        </is>
      </c>
      <c r="O605" s="12" t="inlineStr">
        <is>
          <t>○</t>
        </is>
      </c>
      <c r="P605" s="13" t="n">
        <v>48</v>
      </c>
      <c r="Q605" s="12" t="inlineStr">
        <is>
          <t>参加者数</t>
        </is>
      </c>
      <c r="R605" s="14" t="n">
        <v>70</v>
      </c>
      <c r="S605" s="10" t="n"/>
      <c r="T605" s="10" t="n"/>
      <c r="U605" s="15" t="inlineStr">
        <is>
          <t>https://classmethod.connpass.com/event/398580/</t>
        </is>
      </c>
      <c r="V605" s="10" t="n"/>
      <c r="W605" s="10" t="inlineStr">
        <is>
          <t>タイトル一致</t>
        </is>
      </c>
      <c r="X605" s="10" t="n"/>
    </row>
    <row r="606">
      <c r="A606" s="10" t="n">
        <v>605</v>
      </c>
      <c r="B606" s="24" t="n">
        <v>46283</v>
      </c>
      <c r="C606" s="24" t="n">
        <v>46283</v>
      </c>
      <c r="D606" s="10">
        <f>MONTH(B606)&amp;"月"</f>
        <v/>
      </c>
      <c r="E606" s="12" t="n">
        <v>1</v>
      </c>
      <c r="F606" s="10" t="n"/>
      <c r="G606" s="10" t="inlineStr">
        <is>
          <t>ばっちり差別化!はちえん。式ビジネスAI漫画の制作・運用マスター研修(録画受講あり)</t>
        </is>
      </c>
      <c r="H606" s="10" t="inlineStr">
        <is>
          <t>（記載なし）</t>
        </is>
      </c>
      <c r="I606" s="10" t="n"/>
      <c r="J606" s="10" t="inlineStr">
        <is>
          <t>こくちーずプロ</t>
        </is>
      </c>
      <c r="K606" s="10" t="inlineStr">
        <is>
          <t>オンライン</t>
        </is>
      </c>
      <c r="L606" s="10" t="inlineStr">
        <is>
          <t>オンライン 日本</t>
        </is>
      </c>
      <c r="M606" s="10" t="inlineStr">
        <is>
          <t>生産性向上・業務効率化</t>
        </is>
      </c>
      <c r="N606" s="10" t="inlineStr">
        <is>
          <t>AIエージェント</t>
        </is>
      </c>
      <c r="O606" s="12" t="inlineStr">
        <is>
          <t>○</t>
        </is>
      </c>
      <c r="P606" s="13" t="n">
        <v>52</v>
      </c>
      <c r="Q606" s="12" t="inlineStr">
        <is>
          <t>参加者数</t>
        </is>
      </c>
      <c r="R606" s="14" t="n">
        <v>55</v>
      </c>
      <c r="S606" s="10" t="n"/>
      <c r="T606" s="10" t="inlineStr">
        <is>
          <t>ばっちり差別化！ビジネスAI漫画の制作・運用マスター研修 自社らしいビジネスAI漫画の「作り方がわかる」。 はちえん。が仕上げた3つのCodex用Skillで「実際に作れる」。 あなたの会社には、お客様にもっと知ってほしい仕事へのこだわりや、商品に込めた思いがあるはずです。 その価値を、親しみやすく、わかりやすく届ける。そのための方法が、ビジネスAI漫画です。 ところが、生成しただけの似たようなキャラクターや、どこの会社にも当てはまる内</t>
        </is>
      </c>
      <c r="U606" s="15" t="inlineStr">
        <is>
          <t>https://www.kokuchpro.com/event/b164b33cf459e60cbcd10cc6cf54f3bc/</t>
        </is>
      </c>
      <c r="V606" s="10" t="n"/>
      <c r="W606" s="10" t="inlineStr">
        <is>
          <t>本文一致</t>
        </is>
      </c>
      <c r="X606" s="10" t="n"/>
    </row>
    <row r="607">
      <c r="A607" s="10" t="n">
        <v>606</v>
      </c>
      <c r="B607" s="24" t="n">
        <v>46283</v>
      </c>
      <c r="C607" s="24" t="n">
        <v>46283</v>
      </c>
      <c r="D607" s="10">
        <f>MONTH(B607)&amp;"月"</f>
        <v/>
      </c>
      <c r="E607" s="12" t="n">
        <v>1</v>
      </c>
      <c r="F607" s="10" t="n"/>
      <c r="G607" s="10" t="inlineStr">
        <is>
          <t>歓迎すべきAI、ブロックすべきAI。見分けて正しくコントロールする方法</t>
        </is>
      </c>
      <c r="H607" s="10" t="inlineStr">
        <is>
          <t>株式会社ドーモ</t>
        </is>
      </c>
      <c r="I607" s="10" t="n"/>
      <c r="J607" s="10" t="inlineStr">
        <is>
          <t>TECH PLAY</t>
        </is>
      </c>
      <c r="K607" s="10" t="inlineStr">
        <is>
          <t>オンライン</t>
        </is>
      </c>
      <c r="L607" s="10" t="n"/>
      <c r="M607" s="10" t="inlineStr">
        <is>
          <t>営業・マーケ・CS</t>
        </is>
      </c>
      <c r="N607" s="10" t="inlineStr">
        <is>
          <t>AIエージェント</t>
        </is>
      </c>
      <c r="O607" s="12" t="inlineStr">
        <is>
          <t>○</t>
        </is>
      </c>
      <c r="P607" s="13" t="n">
        <v>5</v>
      </c>
      <c r="Q607" s="12" t="inlineStr">
        <is>
          <t>申込者数</t>
        </is>
      </c>
      <c r="R607" s="14" t="n">
        <v>20</v>
      </c>
      <c r="S607" s="10" t="n"/>
      <c r="T607" s="10" t="inlineStr">
        <is>
          <t>歓迎すべきAI、ブロックすべきAI。見分けて正しくコントロールする方法 概要 「うちのサイト、AIクローラーに何をされているか把握できていない」——そんな方に向けたウェビナーです。 GPTBot、ClaudeBot、PerplexityBotなど、AIによるアクセスは今この瞬間も増え続けています。歓迎すべきAIと、サーバー負荷を増やすだけの迷惑なAIを見分けず放置していると、知らないうちにリソースを奪われたり、逆に新しい顧客接点を取りこ</t>
        </is>
      </c>
      <c r="U607" s="15" t="inlineStr">
        <is>
          <t>https://techplay.jp/event/1000519</t>
        </is>
      </c>
      <c r="V607" s="10" t="n"/>
      <c r="W607" s="10" t="inlineStr">
        <is>
          <t>本文一致</t>
        </is>
      </c>
      <c r="X607" s="10" t="n"/>
    </row>
    <row r="608">
      <c r="A608" s="10" t="n">
        <v>607</v>
      </c>
      <c r="B608" s="24" t="n">
        <v>46283</v>
      </c>
      <c r="C608" s="24" t="n">
        <v>46283</v>
      </c>
      <c r="D608" s="10">
        <f>MONTH(B608)&amp;"月"</f>
        <v/>
      </c>
      <c r="E608" s="12" t="n">
        <v>1</v>
      </c>
      <c r="F608" s="10" t="n"/>
      <c r="G608" s="10" t="inlineStr">
        <is>
          <t>生成AIマネージャー認定講座 〜生成AIを「使う」から、「仕事を任せ、成果を生み、仕組みにする」へ〜（2日間講座）</t>
        </is>
      </c>
      <c r="H608" s="10" t="inlineStr">
        <is>
          <t>一般社団法人ウェブ解析士協会</t>
        </is>
      </c>
      <c r="I608" s="10" t="n"/>
      <c r="J608" s="10" t="inlineStr">
        <is>
          <t>Doorkeeper</t>
        </is>
      </c>
      <c r="K608" s="10" t="inlineStr">
        <is>
          <t>不明</t>
        </is>
      </c>
      <c r="L608" s="10" t="n"/>
      <c r="M608" s="10" t="inlineStr">
        <is>
          <t>営業・マーケ・CS</t>
        </is>
      </c>
      <c r="N608" s="10" t="inlineStr">
        <is>
          <t>AIエージェント</t>
        </is>
      </c>
      <c r="O608" s="12" t="inlineStr">
        <is>
          <t>○</t>
        </is>
      </c>
      <c r="P608" s="13" t="n">
        <v>7</v>
      </c>
      <c r="Q608" s="12" t="inlineStr">
        <is>
          <t>参加者数</t>
        </is>
      </c>
      <c r="R608" s="14" t="n">
        <v>6</v>
      </c>
      <c r="S608" s="10" t="n"/>
      <c r="T608" s="10" t="inlineStr">
        <is>
          <t xml:space="preserve"> 【キャンセル待ち・別日程のご案内】 本講座は現在、定員に達したためキャンセル待ちとなっております。 同内容の講座を別日程でも開催いたしますので、これからお申し込みをご検討の方は、下記日程へのお申し込みをお願いいたします。 ▼ 別日程のお申し込みはこちら こちらの講座は、9/18（金）9:00～13:00、10/2（金）9:00～13:00 の２日間講座となります。 講座概要 【生成AIマネージャー認定講座】（上級） 〜生成AIを「使う</t>
        </is>
      </c>
      <c r="U608" s="15" t="inlineStr">
        <is>
          <t>https://web-mining.doorkeeper.jp/events/199111</t>
        </is>
      </c>
      <c r="V608" s="10" t="n"/>
      <c r="W608" s="10" t="inlineStr">
        <is>
          <t>本文一致</t>
        </is>
      </c>
      <c r="X608" s="10" t="n"/>
    </row>
    <row r="609">
      <c r="A609" s="10" t="n">
        <v>608</v>
      </c>
      <c r="B609" s="24" t="n">
        <v>46284</v>
      </c>
      <c r="C609" s="24" t="n">
        <v>46284</v>
      </c>
      <c r="D609" s="10">
        <f>MONTH(B609)&amp;"月"</f>
        <v/>
      </c>
      <c r="E609" s="12" t="n">
        <v>1</v>
      </c>
      <c r="F609" s="10" t="n"/>
      <c r="G609" s="10" t="inlineStr">
        <is>
          <t>商談中に提案書が仕上がる。AIと話しながら作る営業資料の全手順【ライブ実演セミナー】</t>
        </is>
      </c>
      <c r="H609" s="10" t="inlineStr">
        <is>
          <t>株式会社ノヴァリス</t>
        </is>
      </c>
      <c r="I609" s="10" t="n"/>
      <c r="J609" s="10" t="inlineStr">
        <is>
          <t>TECH PLAY</t>
        </is>
      </c>
      <c r="K609" s="10" t="inlineStr">
        <is>
          <t>オンライン</t>
        </is>
      </c>
      <c r="L609" s="10" t="n"/>
      <c r="M609" s="10" t="inlineStr">
        <is>
          <t>営業・マーケ・CS</t>
        </is>
      </c>
      <c r="N609" s="10" t="inlineStr">
        <is>
          <t>AIエージェント</t>
        </is>
      </c>
      <c r="O609" s="12" t="inlineStr">
        <is>
          <t>○</t>
        </is>
      </c>
      <c r="P609" s="13" t="n">
        <v>4</v>
      </c>
      <c r="Q609" s="12" t="inlineStr">
        <is>
          <t>申込者数</t>
        </is>
      </c>
      <c r="R609" s="14" t="n">
        <v>10</v>
      </c>
      <c r="S609" s="10" t="n"/>
      <c r="T609" s="10" t="inlineStr">
        <is>
          <t>商談中に提案書が仕上がる。AIと話しながら作る営業資料の全手順【ライブ実演セミナー】 参加無料 / オンライン / 60分（お昼休みに参加できます） ※ご参加特典あり：現場で使われている自動化事例をまとめた『Claude Code / Codex 自動化活用事例集 30選』（全82ページ）を、当日ご参加の方全員に無料でお渡しします。 ■ 「では、提案書を作ってお持ちしますね」。その一言から、勝負は不利になる。 会社に戻り、議事メモを読み</t>
        </is>
      </c>
      <c r="U609" s="15" t="inlineStr">
        <is>
          <t>https://techplay.jp/event/999935</t>
        </is>
      </c>
      <c r="V609" s="10" t="n"/>
      <c r="W609" s="10" t="inlineStr">
        <is>
          <t>本文一致</t>
        </is>
      </c>
      <c r="X609" s="10" t="n"/>
    </row>
    <row r="610">
      <c r="A610" s="10" t="n">
        <v>609</v>
      </c>
      <c r="B610" s="24" t="n">
        <v>46285</v>
      </c>
      <c r="C610" s="24" t="n">
        <v>46285</v>
      </c>
      <c r="D610" s="10">
        <f>MONTH(B610)&amp;"月"</f>
        <v/>
      </c>
      <c r="E610" s="12" t="n">
        <v>1</v>
      </c>
      <c r="F610" s="10" t="n"/>
      <c r="G610" s="10" t="inlineStr">
        <is>
          <t>Kaggle「AI Agent Security」コンペ | ソリューション共有会 @ Elith</t>
        </is>
      </c>
      <c r="H610" s="10" t="inlineStr">
        <is>
          <t>Elith</t>
        </is>
      </c>
      <c r="I610" s="10" t="n"/>
      <c r="J610" s="10" t="inlineStr">
        <is>
          <t>connpass</t>
        </is>
      </c>
      <c r="K610" s="10" t="inlineStr">
        <is>
          <t>会場</t>
        </is>
      </c>
      <c r="L610" s="10" t="inlineStr">
        <is>
          <t>(場所未定)</t>
        </is>
      </c>
      <c r="M610" s="10" t="inlineStr">
        <is>
          <t>営業・マーケ・CS</t>
        </is>
      </c>
      <c r="N610" s="10" t="inlineStr">
        <is>
          <t>AIエージェント</t>
        </is>
      </c>
      <c r="O610" s="12" t="inlineStr">
        <is>
          <t>◎</t>
        </is>
      </c>
      <c r="P610" s="13" t="n">
        <v>114</v>
      </c>
      <c r="Q610" s="12" t="inlineStr">
        <is>
          <t>参加者数</t>
        </is>
      </c>
      <c r="R610" s="14" t="n">
        <v>221</v>
      </c>
      <c r="S610" s="10" t="n"/>
      <c r="T610" s="10" t="n"/>
      <c r="U610" s="15" t="inlineStr">
        <is>
          <t>https://elith.connpass.com/event/405693/</t>
        </is>
      </c>
      <c r="V610" s="10" t="n"/>
      <c r="W610" s="10" t="inlineStr">
        <is>
          <t>タイトル一致</t>
        </is>
      </c>
      <c r="X610" s="10" t="n"/>
    </row>
    <row r="611">
      <c r="A611" s="10" t="n">
        <v>610</v>
      </c>
      <c r="B611" s="24" t="n">
        <v>46286</v>
      </c>
      <c r="C611" s="24" t="n">
        <v>46286</v>
      </c>
      <c r="D611" s="10">
        <f>MONTH(B611)&amp;"月"</f>
        <v/>
      </c>
      <c r="E611" s="12" t="n">
        <v>1</v>
      </c>
      <c r="F611" s="10" t="n"/>
      <c r="G611" s="10" t="inlineStr">
        <is>
          <t>ChatGPTに、仕事をどこまで任せられる？ 〜資料づくりから小さな業務ツールの改善まで。Chat・Work・Codexの使い分けを学ぶ60分〜</t>
        </is>
      </c>
      <c r="H611" s="10" t="inlineStr">
        <is>
          <t>日本生成AI推進協会</t>
        </is>
      </c>
      <c r="I611" s="10" t="n"/>
      <c r="J611" s="10" t="inlineStr">
        <is>
          <t>TECH PLAY</t>
        </is>
      </c>
      <c r="K611" s="10" t="inlineStr">
        <is>
          <t>オンライン</t>
        </is>
      </c>
      <c r="L611" s="10" t="n"/>
      <c r="M611" s="10" t="inlineStr">
        <is>
          <t>生産性向上・業務効率化</t>
        </is>
      </c>
      <c r="N611" s="10" t="inlineStr">
        <is>
          <t>AIエージェント</t>
        </is>
      </c>
      <c r="O611" s="12" t="inlineStr">
        <is>
          <t>◎</t>
        </is>
      </c>
      <c r="P611" s="13" t="n">
        <v>40</v>
      </c>
      <c r="Q611" s="12" t="inlineStr">
        <is>
          <t>申込者数</t>
        </is>
      </c>
      <c r="R611" s="14" t="n">
        <v>50</v>
      </c>
      <c r="S611" s="10" t="n"/>
      <c r="T611" s="10" t="inlineStr">
        <is>
          <t>ChatGPTに、仕事をどこまで任せられる？ 〜資料づくりから小さな業務ツールの改善まで。Chat・Work・Codexの使い分けを学ぶ60分〜 「ChatGPTは使っているけれど、仕事でどう活かせばよいか迷っている」 「WorkやCodexが気になるけれど、何から始めればよいかわからない」 そんな方に向けた、実務活用の入門セミナーです。 ChatGPTのデスクトップアプリを中心に、通常のChat・ChatGPT Work・Codexを</t>
        </is>
      </c>
      <c r="U611" s="15" t="inlineStr">
        <is>
          <t>https://techplay.jp/event/1000436</t>
        </is>
      </c>
      <c r="V611" s="10" t="n"/>
      <c r="W611" s="10" t="inlineStr">
        <is>
          <t>タイトル一致</t>
        </is>
      </c>
      <c r="X611" s="10" t="n"/>
    </row>
    <row r="612">
      <c r="A612" s="10" t="n">
        <v>611</v>
      </c>
      <c r="B612" s="24" t="n">
        <v>46286</v>
      </c>
      <c r="C612" s="24" t="n">
        <v>46286</v>
      </c>
      <c r="D612" s="10">
        <f>MONTH(B612)&amp;"月"</f>
        <v/>
      </c>
      <c r="E612" s="12" t="n">
        <v>1</v>
      </c>
      <c r="F612" s="10" t="n"/>
      <c r="G612" s="10" t="inlineStr">
        <is>
          <t>営業DXが新局面へ──生成AIで営業生産性を最大化</t>
        </is>
      </c>
      <c r="H612" s="10" t="inlineStr">
        <is>
          <t>KOBUSHI MARKETING合同会社</t>
        </is>
      </c>
      <c r="I612" s="10" t="n"/>
      <c r="J612" s="10" t="inlineStr">
        <is>
          <t>個別調査（公式サイト・PR TIMES等）</t>
        </is>
      </c>
      <c r="K612" s="10" t="inlineStr">
        <is>
          <t>オンライン</t>
        </is>
      </c>
      <c r="L612" s="10" t="inlineStr">
        <is>
          <t>Peatix経由</t>
        </is>
      </c>
      <c r="M612" s="10" t="inlineStr">
        <is>
          <t>営業・マーケ・CS</t>
        </is>
      </c>
      <c r="N612" s="10" t="inlineStr">
        <is>
          <t>AIエージェント</t>
        </is>
      </c>
      <c r="O612" s="12" t="inlineStr">
        <is>
          <t>◎</t>
        </is>
      </c>
      <c r="P612" s="13" t="n"/>
      <c r="Q612" s="12" t="inlineStr">
        <is>
          <t>不明</t>
        </is>
      </c>
      <c r="R612" s="14" t="n"/>
      <c r="S612" s="10" t="n"/>
      <c r="T612" s="10" t="inlineStr">
        <is>
          <t>リスト生成から商談後のフォローメールまでをAIワークフローでつなぎ、5〜6体のAIエージェントを同時に動かす手法を紹介する。</t>
        </is>
      </c>
      <c r="U612" s="15" t="inlineStr">
        <is>
          <t>https://prtimes.jp/main/html/rd/p/000000443.000061977.html</t>
        </is>
      </c>
      <c r="V612" s="15" t="inlineStr">
        <is>
          <t>https://peatix.com/event/5123053</t>
        </is>
      </c>
      <c r="W612" s="10" t="inlineStr">
        <is>
          <t>個別確認</t>
        </is>
      </c>
      <c r="X612" s="10" t="inlineStr">
        <is>
          <t>開催年は曜日の一致とリリース番号から推定</t>
        </is>
      </c>
    </row>
    <row r="613">
      <c r="A613" s="10" t="n">
        <v>612</v>
      </c>
      <c r="B613" s="24" t="n">
        <v>46287</v>
      </c>
      <c r="C613" s="24" t="n">
        <v>46388</v>
      </c>
      <c r="D613" s="10">
        <f>MONTH(B613)&amp;"月"</f>
        <v/>
      </c>
      <c r="E613" s="12" t="n">
        <v>1</v>
      </c>
      <c r="F613" s="10" t="n"/>
      <c r="G613" s="10" t="inlineStr">
        <is>
          <t>【無料動画講座】お客様が「これ、私に必要」と思う リザスト×Codex「クリックされる講座バナー」3つの秘密</t>
        </is>
      </c>
      <c r="H613" s="10" t="inlineStr">
        <is>
          <t>杉山眞利 リザスト×AI活用事務局</t>
        </is>
      </c>
      <c r="I613" s="10" t="n"/>
      <c r="J613" s="10" t="inlineStr">
        <is>
          <t>こくちーずプロ</t>
        </is>
      </c>
      <c r="K613" s="10" t="inlineStr">
        <is>
          <t>オフライン（会場）</t>
        </is>
      </c>
      <c r="L613" s="10" t="inlineStr">
        <is>
          <t>オンデマンド 日本</t>
        </is>
      </c>
      <c r="M613" s="10" t="inlineStr">
        <is>
          <t>開発生産性</t>
        </is>
      </c>
      <c r="N613" s="10" t="inlineStr">
        <is>
          <t>AIエージェント</t>
        </is>
      </c>
      <c r="O613" s="12" t="inlineStr">
        <is>
          <t>○</t>
        </is>
      </c>
      <c r="P613" s="13" t="n"/>
      <c r="Q613" s="12" t="inlineStr">
        <is>
          <t>不明</t>
        </is>
      </c>
      <c r="R613" s="14" t="n"/>
      <c r="S613" s="10" t="n"/>
      <c r="T613" s="10" t="inlineStr">
        <is>
          <t>良い講座なのに、バナーで素通りされていませんか？ 講座の内容を一生懸命考え、案内ページも用意した。 でも、入口のバナーをクリックしてもらえなければ、その内容を読んでもらえません。 それは、とてももったいないことです。 大切なのは、きれいな画像を作ることだけではありません。 見た方が、 「これ、私のことだ」 「私もこうなりたい」 「もう少し詳しく知りたい」 と、ご自身のこととして受け取れるかどうかです。 この無料動画講座では、講座案から伝</t>
        </is>
      </c>
      <c r="U613" s="15" t="inlineStr">
        <is>
          <t>https://www.kokuchpro.com/event/5433b52e3a5ff68309d4dc926b3435cc/</t>
        </is>
      </c>
      <c r="V613" s="10" t="n"/>
      <c r="W613" s="10" t="inlineStr">
        <is>
          <t>タイトル一致</t>
        </is>
      </c>
      <c r="X613" s="10" t="n"/>
    </row>
    <row r="614">
      <c r="A614" s="10" t="n">
        <v>613</v>
      </c>
      <c r="B614" s="24" t="n">
        <v>46287</v>
      </c>
      <c r="C614" s="24" t="n">
        <v>46287</v>
      </c>
      <c r="D614" s="10">
        <f>MONTH(B614)&amp;"月"</f>
        <v/>
      </c>
      <c r="E614" s="12" t="n">
        <v>1</v>
      </c>
      <c r="F614" s="10" t="n"/>
      <c r="G614" s="10" t="inlineStr">
        <is>
          <t>【超初心者歓迎】指示を出したらあとはお任せ!?話題の「AIエージェント」完全無料勉強会(使用ツール:Codex) コピー</t>
        </is>
      </c>
      <c r="H614" s="10" t="inlineStr">
        <is>
          <t>（記載なし）</t>
        </is>
      </c>
      <c r="I614" s="10" t="n"/>
      <c r="J614" s="10" t="inlineStr">
        <is>
          <t>こくちーずプロ</t>
        </is>
      </c>
      <c r="K614" s="10" t="inlineStr">
        <is>
          <t>オフライン（会場）</t>
        </is>
      </c>
      <c r="L614" s="10" t="inlineStr">
        <is>
          <t>ドトールコーヒーショップ 北心斎橋店 大阪府大阪市中央区 南船場 3‐11‐2 3F</t>
        </is>
      </c>
      <c r="M614" s="10" t="inlineStr">
        <is>
          <t>開発生産性</t>
        </is>
      </c>
      <c r="N614" s="10" t="inlineStr">
        <is>
          <t>AIエージェント</t>
        </is>
      </c>
      <c r="O614" s="12" t="inlineStr">
        <is>
          <t>○</t>
        </is>
      </c>
      <c r="P614" s="13" t="n">
        <v>0</v>
      </c>
      <c r="Q614" s="12" t="inlineStr">
        <is>
          <t>参加者数</t>
        </is>
      </c>
      <c r="R614" s="14" t="n">
        <v>5</v>
      </c>
      <c r="S614" s="10" t="n"/>
      <c r="T614" s="10" t="inlineStr">
        <is>
          <t>【心斎橋 開催】 AIエージェント知識ゼロの方歓迎！ 話題の「AIエージェント」無料の勉強会開催のお知らせ！ 「AIって便利そうだけど、何から学べばいいかわからない」 「AIエージェントって聞くけど、ChatGPTと何が違うの？」 そんな方に向けた、完全初心者向けの勉強会です。 少人数開催のため、参加者のペースに合わせて一緒に進めていきます！ ＊＊勉強会の内容＊＊ 話題のAIエージェントを使って、チャットで「〇〇をやって」と指示するだけ</t>
        </is>
      </c>
      <c r="U614" s="15" t="inlineStr">
        <is>
          <t>https://www.kokuchpro.com/event/0cb92436f50e5840713b264fcd1c2a15/</t>
        </is>
      </c>
      <c r="V614" s="10" t="n"/>
      <c r="W614" s="10" t="inlineStr">
        <is>
          <t>タイトル一致</t>
        </is>
      </c>
      <c r="X614" s="10" t="n"/>
    </row>
    <row r="615">
      <c r="A615" s="10" t="n">
        <v>614</v>
      </c>
      <c r="B615" s="24" t="n">
        <v>46288</v>
      </c>
      <c r="C615" s="24" t="n">
        <v>46288</v>
      </c>
      <c r="D615" s="10">
        <f>MONTH(B615)&amp;"月"</f>
        <v/>
      </c>
      <c r="E615" s="12" t="n">
        <v>1</v>
      </c>
      <c r="F615" s="10" t="n"/>
      <c r="G615" s="10" t="inlineStr">
        <is>
          <t>Codex/Claude Codeで、リサーチからDB構築、スライド作成まで仕組み化する｜MMS公開ワークショップ</t>
        </is>
      </c>
      <c r="H615" s="10" t="inlineStr">
        <is>
          <t>MMS(MIRAICHI Moon Shot)</t>
        </is>
      </c>
      <c r="I615" s="10" t="n"/>
      <c r="J615" s="10" t="inlineStr">
        <is>
          <t>Peatix</t>
        </is>
      </c>
      <c r="K615" s="10" t="inlineStr">
        <is>
          <t>オンライン</t>
        </is>
      </c>
      <c r="L615" s="10" t="n"/>
      <c r="M615" s="10" t="inlineStr">
        <is>
          <t>開発生産性</t>
        </is>
      </c>
      <c r="N615" s="10" t="inlineStr">
        <is>
          <t>AIエージェント</t>
        </is>
      </c>
      <c r="O615" s="12" t="inlineStr">
        <is>
          <t>○</t>
        </is>
      </c>
      <c r="P615" s="13" t="n"/>
      <c r="Q615" s="12" t="inlineStr">
        <is>
          <t>不明</t>
        </is>
      </c>
      <c r="R615" s="14" t="n"/>
      <c r="S615" s="10" t="n"/>
      <c r="T615" s="10" t="inlineStr">
        <is>
          <t>2026年9月23日(水)21:00-23:00 オンライン。Claude Code/Codexでリサーチ→Notion DB→Canvaスライドまで仕組み化</t>
        </is>
      </c>
      <c r="U615" s="15" t="inlineStr">
        <is>
          <t>https://miraichi260923.peatix.com/</t>
        </is>
      </c>
      <c r="V615" s="10" t="n"/>
      <c r="W615" s="10" t="inlineStr">
        <is>
          <t>タイトル一致</t>
        </is>
      </c>
      <c r="X615" s="10" t="n"/>
    </row>
    <row r="616">
      <c r="A616" s="10" t="n">
        <v>615</v>
      </c>
      <c r="B616" s="24" t="n">
        <v>46288</v>
      </c>
      <c r="C616" s="24" t="n">
        <v>46288</v>
      </c>
      <c r="D616" s="10">
        <f>MONTH(B616)&amp;"月"</f>
        <v/>
      </c>
      <c r="E616" s="12" t="n">
        <v>1</v>
      </c>
      <c r="F616" s="10" t="n"/>
      <c r="G616" s="10" t="inlineStr">
        <is>
          <t>【水曜のDX道場】非エンジニアでもここまで使える！オンライン秘書Claude Code仕事術・事例</t>
        </is>
      </c>
      <c r="H616" s="10" t="inlineStr">
        <is>
          <t>水曜のDX道場</t>
        </is>
      </c>
      <c r="I616" s="10" t="n"/>
      <c r="J616" s="10" t="inlineStr">
        <is>
          <t>connpass</t>
        </is>
      </c>
      <c r="K616" s="10" t="inlineStr">
        <is>
          <t>ハイブリッド</t>
        </is>
      </c>
      <c r="L616" s="10" t="inlineStr">
        <is>
          <t>大阪市北区本庄東１−１８−８</t>
        </is>
      </c>
      <c r="M616" s="10" t="inlineStr">
        <is>
          <t>生産性向上・業務効率化</t>
        </is>
      </c>
      <c r="N616" s="10" t="inlineStr">
        <is>
          <t>AIエージェント</t>
        </is>
      </c>
      <c r="O616" s="12" t="inlineStr">
        <is>
          <t>◎</t>
        </is>
      </c>
      <c r="P616" s="13" t="n">
        <v>26</v>
      </c>
      <c r="Q616" s="12" t="inlineStr">
        <is>
          <t>参加者数</t>
        </is>
      </c>
      <c r="R616" s="14" t="n">
        <v>29</v>
      </c>
      <c r="S616" s="10" t="n"/>
      <c r="T616" s="10" t="n"/>
      <c r="U616" s="15" t="inlineStr">
        <is>
          <t>https://dxdojo.connpass.com/event/406664/</t>
        </is>
      </c>
      <c r="V616" s="10" t="n"/>
      <c r="W616" s="10" t="inlineStr">
        <is>
          <t>タイトル一致</t>
        </is>
      </c>
      <c r="X616" s="10" t="n"/>
    </row>
    <row r="617">
      <c r="A617" s="10" t="n">
        <v>616</v>
      </c>
      <c r="B617" s="24" t="n">
        <v>46288</v>
      </c>
      <c r="C617" s="24" t="n">
        <v>46288</v>
      </c>
      <c r="D617" s="10">
        <f>MONTH(B617)&amp;"月"</f>
        <v/>
      </c>
      <c r="E617" s="12" t="n">
        <v>1</v>
      </c>
      <c r="F617" s="10" t="n"/>
      <c r="G617" s="10" t="inlineStr">
        <is>
          <t>生成AIなんでも展示会 Vol.6</t>
        </is>
      </c>
      <c r="H617" s="10" t="inlineStr">
        <is>
          <t>ハレ（旧:え〜あい部）</t>
        </is>
      </c>
      <c r="I617" s="10" t="n"/>
      <c r="J617" s="10" t="inlineStr">
        <is>
          <t>TECH PLAY</t>
        </is>
      </c>
      <c r="K617" s="10" t="inlineStr">
        <is>
          <t>会場</t>
        </is>
      </c>
      <c r="L617" s="10" t="inlineStr">
        <is>
          <t>東京都立産業貿易センター 浜松町館 〒105-7501 東京都港区海岸１丁目７−１</t>
        </is>
      </c>
      <c r="M617" s="10" t="inlineStr">
        <is>
          <t>生産管理・製造・SCM</t>
        </is>
      </c>
      <c r="N617" s="10" t="inlineStr">
        <is>
          <t>AIエージェント</t>
        </is>
      </c>
      <c r="O617" s="12" t="inlineStr">
        <is>
          <t>○</t>
        </is>
      </c>
      <c r="P617" s="13" t="n">
        <v>1993</v>
      </c>
      <c r="Q617" s="12" t="inlineStr">
        <is>
          <t>申込者数</t>
        </is>
      </c>
      <c r="R617" s="14" t="n">
        <v>2100</v>
      </c>
      <c r="S617" s="10" t="n"/>
      <c r="T617" s="10" t="inlineStr">
        <is>
          <t>生成AIなんでも展示会 Vol.6 &gt;&gt; 公式サイト イベント概要 累計約6,200名を集めたイベント、生成AIなんでも展示会の第6回の開催が決定しました！ 今回は、過去最多の約250組が出展予定。 出展者一覧は、公式サイトをご覧ください。 &gt;&gt; 出展者一覧 今回は会場を拡大し、さらにボリュームアップ。 AI系個人開発イベントとして日本最大規模での開催です。 フィジカルAI、自作ロボット、キャラクター、アートetc... 「好き」と「技</t>
        </is>
      </c>
      <c r="U617" s="15" t="inlineStr">
        <is>
          <t>https://techplay.jp/event/987274</t>
        </is>
      </c>
      <c r="V617" s="10" t="n"/>
      <c r="W617" s="10" t="inlineStr">
        <is>
          <t>本文一致</t>
        </is>
      </c>
      <c r="X617" s="10" t="n"/>
    </row>
    <row r="618">
      <c r="A618" s="10" t="n">
        <v>617</v>
      </c>
      <c r="B618" s="24" t="n">
        <v>46289</v>
      </c>
      <c r="C618" s="24" t="n">
        <v>46289</v>
      </c>
      <c r="D618" s="10">
        <f>MONTH(B618)&amp;"月"</f>
        <v/>
      </c>
      <c r="E618" s="12" t="n">
        <v>1</v>
      </c>
      <c r="F618" s="10" t="n"/>
      <c r="G618" s="10" t="inlineStr">
        <is>
          <t>AIエージェント「4つの壁」を越える、コンサル×プロダクト×OSの垂直統合</t>
        </is>
      </c>
      <c r="H618" s="10" t="inlineStr">
        <is>
          <t>株式会社ナレッジワーク</t>
        </is>
      </c>
      <c r="I618" s="10" t="n"/>
      <c r="J618" s="10" t="inlineStr">
        <is>
          <t>ビジネス+IT</t>
        </is>
      </c>
      <c r="K618" s="10" t="inlineStr">
        <is>
          <t>online</t>
        </is>
      </c>
      <c r="L618" s="10" t="inlineStr">
        <is>
          <t>オンライン</t>
        </is>
      </c>
      <c r="M618" s="10" t="inlineStr">
        <is>
          <t>営業・マーケ・CS</t>
        </is>
      </c>
      <c r="N618" s="10" t="inlineStr">
        <is>
          <t>AIエージェント</t>
        </is>
      </c>
      <c r="O618" s="12" t="inlineStr">
        <is>
          <t>◎</t>
        </is>
      </c>
      <c r="P618" s="13" t="n"/>
      <c r="Q618" s="12" t="inlineStr">
        <is>
          <t>不明</t>
        </is>
      </c>
      <c r="R618" s="14" t="n"/>
      <c r="S618" s="10" t="n"/>
      <c r="T618" s="10" t="inlineStr">
        <is>
          <t>企業における生成AIプロジェクトの95%は、ROIをもたらすことに失敗していると言われています。営業組織も例外ではありません。AIエージェントへの期待が高まる一方、「構想はあるが実装が進まない」「導入したが現場で使われない」という声が後を絶ちません。 原因は、AIエージェントの実現を阻む「4つの壁」にあります。営業業務を適切に設計できていない「業務の壁」、データやナレッジを集約・整理できていない「データの壁」、個別業務に合わせて実装でき</t>
        </is>
      </c>
      <c r="U618" s="15" t="inlineStr">
        <is>
          <t>https://www.sbbit.jp/eventinfo/90161</t>
        </is>
      </c>
      <c r="V618" s="10" t="n"/>
      <c r="W618" s="10" t="inlineStr">
        <is>
          <t>タイトル一致</t>
        </is>
      </c>
      <c r="X618" s="10" t="n"/>
    </row>
    <row r="619">
      <c r="A619" s="10" t="n">
        <v>618</v>
      </c>
      <c r="B619" s="24" t="n">
        <v>46289</v>
      </c>
      <c r="C619" s="24" t="n">
        <v>46289</v>
      </c>
      <c r="D619" s="10">
        <f>MONTH(B619)&amp;"月"</f>
        <v/>
      </c>
      <c r="E619" s="12" t="n">
        <v>1</v>
      </c>
      <c r="F619" s="10" t="n"/>
      <c r="G619" s="10" t="inlineStr">
        <is>
          <t>Antigravityで始めるAIエージェント駆動開発生活</t>
        </is>
      </c>
      <c r="H619" s="10" t="inlineStr">
        <is>
          <t>RPACommunity</t>
        </is>
      </c>
      <c r="I619" s="10" t="n"/>
      <c r="J619" s="10" t="inlineStr">
        <is>
          <t>connpass</t>
        </is>
      </c>
      <c r="K619" s="10" t="inlineStr">
        <is>
          <t>オンライン</t>
        </is>
      </c>
      <c r="L619" s="10" t="inlineStr">
        <is>
          <t>オンライン</t>
        </is>
      </c>
      <c r="M619" s="10" t="inlineStr">
        <is>
          <t>開発生産性</t>
        </is>
      </c>
      <c r="N619" s="10" t="inlineStr">
        <is>
          <t>AIエージェント</t>
        </is>
      </c>
      <c r="O619" s="12" t="inlineStr">
        <is>
          <t>○</t>
        </is>
      </c>
      <c r="P619" s="13" t="n">
        <v>72</v>
      </c>
      <c r="Q619" s="12" t="inlineStr">
        <is>
          <t>参加者数</t>
        </is>
      </c>
      <c r="R619" s="14" t="n"/>
      <c r="S619" s="10" t="n"/>
      <c r="T619" s="10" t="n"/>
      <c r="U619" s="15" t="inlineStr">
        <is>
          <t>https://rpacommunity.connpass.com/event/406507/</t>
        </is>
      </c>
      <c r="V619" s="10" t="n"/>
      <c r="W619" s="10" t="inlineStr">
        <is>
          <t>タイトル一致</t>
        </is>
      </c>
      <c r="X619" s="10" t="n"/>
    </row>
    <row r="620">
      <c r="A620" s="10" t="n">
        <v>619</v>
      </c>
      <c r="B620" s="24" t="n">
        <v>46289</v>
      </c>
      <c r="C620" s="24" t="n">
        <v>46289</v>
      </c>
      <c r="D620" s="10">
        <f>MONTH(B620)&amp;"月"</f>
        <v/>
      </c>
      <c r="E620" s="12" t="n">
        <v>1</v>
      </c>
      <c r="F620" s="10" t="n"/>
      <c r="G620" s="10" t="inlineStr">
        <is>
          <t>Claude Code入門 ～バイブコーディングから、AIエージェントにまかせる開発まで～</t>
        </is>
      </c>
      <c r="H620" s="10" t="inlineStr">
        <is>
          <t>PE-BANK</t>
        </is>
      </c>
      <c r="I620" s="10" t="n"/>
      <c r="J620" s="10" t="inlineStr">
        <is>
          <t>TECH PLAY</t>
        </is>
      </c>
      <c r="K620" s="10" t="inlineStr">
        <is>
          <t>オンライン</t>
        </is>
      </c>
      <c r="L620" s="10" t="n"/>
      <c r="M620" s="10" t="inlineStr">
        <is>
          <t>開発生産性</t>
        </is>
      </c>
      <c r="N620" s="10" t="inlineStr">
        <is>
          <t>AIエージェント</t>
        </is>
      </c>
      <c r="O620" s="12" t="inlineStr">
        <is>
          <t>○</t>
        </is>
      </c>
      <c r="P620" s="13" t="n"/>
      <c r="Q620" s="12" t="inlineStr">
        <is>
          <t>非公開</t>
        </is>
      </c>
      <c r="R620" s="14" t="n">
        <v>100</v>
      </c>
      <c r="S620" s="10" t="n"/>
      <c r="T620" s="10" t="inlineStr">
        <is>
          <t>イベントテーマ Claude Code入門 ～バイブコーディングから、AIエージェントにまかせる開発まで～ AIコーディングは「コードを書かせる」段階から、 AIエージェントに開発プロセスそのものを任せる段階へ進みつつあります。 「指示して、見て、直す」バイブコーディングの基本から、 ゴールと完了条件の設計、作業の型を再利用するエージェントスキル、 AIが迷わず働ける環境を整えるAI駆動開発の現在地まで解説します。 Claude Cod</t>
        </is>
      </c>
      <c r="U620" s="15" t="inlineStr">
        <is>
          <t>https://techplay.jp/event/1000376</t>
        </is>
      </c>
      <c r="V620" s="10" t="n"/>
      <c r="W620" s="10" t="inlineStr">
        <is>
          <t>タイトル一致</t>
        </is>
      </c>
      <c r="X620" s="10" t="n"/>
    </row>
    <row r="621">
      <c r="A621" s="10" t="n">
        <v>620</v>
      </c>
      <c r="B621" s="24" t="n">
        <v>46289</v>
      </c>
      <c r="C621" s="24" t="n">
        <v>46289</v>
      </c>
      <c r="D621" s="10">
        <f>MONTH(B621)&amp;"月"</f>
        <v/>
      </c>
      <c r="E621" s="12" t="n">
        <v>1</v>
      </c>
      <c r="F621" s="10" t="n"/>
      <c r="G621" s="10" t="inlineStr">
        <is>
          <t>UiPath Friends ラスベガス ～ グローバルカンファレンス FUSION体験速報～</t>
        </is>
      </c>
      <c r="H621" s="10" t="inlineStr">
        <is>
          <t>uipath-friends</t>
        </is>
      </c>
      <c r="I621" s="10" t="n"/>
      <c r="J621" s="10" t="inlineStr">
        <is>
          <t>Doorkeeper</t>
        </is>
      </c>
      <c r="K621" s="10" t="inlineStr">
        <is>
          <t>不明</t>
        </is>
      </c>
      <c r="L621" s="10" t="n"/>
      <c r="M621" s="10" t="inlineStr">
        <is>
          <t>生産性向上・業務効率化</t>
        </is>
      </c>
      <c r="N621" s="10" t="inlineStr">
        <is>
          <t>AIエージェント</t>
        </is>
      </c>
      <c r="O621" s="12" t="inlineStr">
        <is>
          <t>○</t>
        </is>
      </c>
      <c r="P621" s="13" t="n">
        <v>39</v>
      </c>
      <c r="Q621" s="12" t="inlineStr">
        <is>
          <t>参加者数</t>
        </is>
      </c>
      <c r="R621" s="14" t="n"/>
      <c r="S621" s="10" t="n"/>
      <c r="T621" s="10" t="inlineStr">
        <is>
          <t xml:space="preserve"> オートメション業界最大のグローバルカンファレンス UiPath FUSION の参加者が語る！ ◆◆開催概要◆◆ 2026年9月22日～25日にかけて、米国ラスベガスにて開催される「 UiPath FUSION 」では、 80を超えるセッションが展開され、UiPath創業者兼CEOのダニエル・ディネスによる全社ビジョン・製品ロードマップの発表はもちろん、世界中のお客様によるビジネスオーケストレーション&amp;オートメーションの事例講演が多数</t>
        </is>
      </c>
      <c r="U621" s="15" t="inlineStr">
        <is>
          <t>https://uipath-friends.doorkeeper.jp/events/198918</t>
        </is>
      </c>
      <c r="V621" s="10" t="n"/>
      <c r="W621" s="10" t="inlineStr">
        <is>
          <t>本文一致</t>
        </is>
      </c>
      <c r="X621" s="10" t="n"/>
    </row>
    <row r="622">
      <c r="A622" s="10" t="n">
        <v>621</v>
      </c>
      <c r="B622" s="24" t="n">
        <v>46289</v>
      </c>
      <c r="C622" s="24" t="n">
        <v>46289</v>
      </c>
      <c r="D622" s="10">
        <f>MONTH(B622)&amp;"月"</f>
        <v/>
      </c>
      <c r="E622" s="12" t="n">
        <v>1</v>
      </c>
      <c r="F622" s="10" t="n"/>
      <c r="G622" s="10" t="inlineStr">
        <is>
          <t>【無料/オンライン】7年間で顧問実績60社。全ノウハウを公開します</t>
        </is>
      </c>
      <c r="H622" s="10" t="inlineStr">
        <is>
          <t>AIDMA Academy 事務局(株式会社アイドマ・ホールディングス)</t>
        </is>
      </c>
      <c r="I622" s="10" t="n"/>
      <c r="J622" s="10" t="inlineStr">
        <is>
          <t>こくちーずプロ</t>
        </is>
      </c>
      <c r="K622" s="10" t="inlineStr">
        <is>
          <t>オンライン</t>
        </is>
      </c>
      <c r="L622" s="10" t="inlineStr">
        <is>
          <t>オンライン 日本</t>
        </is>
      </c>
      <c r="M622" s="10" t="inlineStr">
        <is>
          <t>営業・マーケ・CS</t>
        </is>
      </c>
      <c r="N622" s="10" t="inlineStr">
        <is>
          <t>AIエージェント</t>
        </is>
      </c>
      <c r="O622" s="12" t="inlineStr">
        <is>
          <t>○</t>
        </is>
      </c>
      <c r="P622" s="13" t="n">
        <v>0</v>
      </c>
      <c r="Q622" s="12" t="inlineStr">
        <is>
          <t>参加者数</t>
        </is>
      </c>
      <c r="R622" s="14" t="n">
        <v>97</v>
      </c>
      <c r="S622" s="10" t="n"/>
      <c r="T622" s="10" t="inlineStr">
        <is>
          <t>【重要】お申込みは公式サイトで受け付けています こくちーずプロ上でのチケット申込 だけでは、参加申込は完了しません。 お手数ですが、下記の公式サイトから改めてお申込みください。お申込み後、当日の視聴URLをメールでお送りします。 ▼ 公式サイトのお申込みページ（無料） https://academy.aidma-hd.jp/webinars/omori-komon-acquisition?utm_source=kokuchiz&amp;utm_</t>
        </is>
      </c>
      <c r="U622" s="15" t="inlineStr">
        <is>
          <t>https://www.kokuchpro.com/event/7fba817495126246845ada3befedff57/</t>
        </is>
      </c>
      <c r="V622" s="10" t="n"/>
      <c r="W622" s="10" t="inlineStr">
        <is>
          <t>本文一致</t>
        </is>
      </c>
      <c r="X622" s="10" t="n"/>
    </row>
    <row r="623">
      <c r="A623" s="10" t="n">
        <v>622</v>
      </c>
      <c r="B623" s="24" t="n">
        <v>46289</v>
      </c>
      <c r="C623" s="24" t="n">
        <v>46289</v>
      </c>
      <c r="D623" s="10">
        <f>MONTH(B623)&amp;"月"</f>
        <v/>
      </c>
      <c r="E623" s="12" t="n">
        <v>1</v>
      </c>
      <c r="F623" s="10" t="n"/>
      <c r="G623" s="10" t="inlineStr">
        <is>
          <t>ハーネス設計入門 〜基礎知識の整理から実務へのステップアップ〜</t>
        </is>
      </c>
      <c r="H623" s="10" t="inlineStr">
        <is>
          <t>Findy/ファインディ</t>
        </is>
      </c>
      <c r="I623" s="10" t="n"/>
      <c r="J623" s="10" t="inlineStr">
        <is>
          <t>TECH PLAY</t>
        </is>
      </c>
      <c r="K623" s="10" t="inlineStr">
        <is>
          <t>オンライン</t>
        </is>
      </c>
      <c r="L623" s="10" t="n"/>
      <c r="M623" s="10" t="inlineStr">
        <is>
          <t>開発生産性</t>
        </is>
      </c>
      <c r="N623" s="10" t="inlineStr">
        <is>
          <t>AIエージェント</t>
        </is>
      </c>
      <c r="O623" s="12" t="inlineStr">
        <is>
          <t>△</t>
        </is>
      </c>
      <c r="P623" s="13" t="n">
        <v>962</v>
      </c>
      <c r="Q623" s="12" t="inlineStr">
        <is>
          <t>申込者数</t>
        </is>
      </c>
      <c r="R623" s="14" t="n">
        <v>1000</v>
      </c>
      <c r="S623" s="10" t="n"/>
      <c r="T623" s="10" t="inlineStr">
        <is>
          <t>✍️概要 CursorやClaude Code、CodexなどのAIエージェントを、意図通りに動かす技術として「ハーネスエンジニアリング」が注目されています。 プロンプトの調整だけでは越えられない壁に対し、エージェントをどう支え、いかに制御するのか――その必要性と仕組みへの理解が求められています。 本イベントでは、木下 雄一朗（@kinopee_ai）さんをお迎えし、なぜ今ハーネスが必要とされるのかという背景から、どのような仕組みで成り</t>
        </is>
      </c>
      <c r="U623" s="15" t="inlineStr">
        <is>
          <t>https://techplay.jp/event/1000240</t>
        </is>
      </c>
      <c r="V623" s="10" t="n"/>
      <c r="W623" s="10" t="inlineStr">
        <is>
          <t>本文一致</t>
        </is>
      </c>
      <c r="X623" s="10" t="n"/>
    </row>
    <row r="624">
      <c r="A624" s="10" t="n">
        <v>623</v>
      </c>
      <c r="B624" s="24" t="n">
        <v>46289</v>
      </c>
      <c r="C624" s="24" t="n">
        <v>46294</v>
      </c>
      <c r="D624" s="10">
        <f>MONTH(B624)&amp;"月"</f>
        <v/>
      </c>
      <c r="E624" s="12" t="n">
        <v>1</v>
      </c>
      <c r="F624" s="10" t="n"/>
      <c r="G624" s="10" t="inlineStr">
        <is>
          <t>中堅企業の成長条件とAIネイティブ経営への推進ステップ～自社に即したAI実装モデルで現実を変える～【無料/※参加特典有※2日開催・期間限定の見逃し配信あり】</t>
        </is>
      </c>
      <c r="H624" s="10" t="inlineStr">
        <is>
          <t>株式会社タナベコンサルティング ウェビナー事務局</t>
        </is>
      </c>
      <c r="I624" s="10" t="n"/>
      <c r="J624" s="10" t="inlineStr">
        <is>
          <t>こくちーずプロ</t>
        </is>
      </c>
      <c r="K624" s="10" t="inlineStr">
        <is>
          <t>オンライン</t>
        </is>
      </c>
      <c r="L624" s="10" t="inlineStr">
        <is>
          <t>オンライン 日本</t>
        </is>
      </c>
      <c r="M624" s="10" t="inlineStr">
        <is>
          <t>生産性向上・業務効率化</t>
        </is>
      </c>
      <c r="N624" s="10" t="inlineStr">
        <is>
          <t>AIエージェント</t>
        </is>
      </c>
      <c r="O624" s="12" t="inlineStr">
        <is>
          <t>○</t>
        </is>
      </c>
      <c r="P624" s="13" t="n"/>
      <c r="Q624" s="12" t="inlineStr">
        <is>
          <t>不明</t>
        </is>
      </c>
      <c r="R624" s="14" t="n"/>
      <c r="S624" s="10" t="n"/>
      <c r="T624" s="10" t="inlineStr">
        <is>
          <t>AI導入は"ツール導入"で終わっていませんか？ 失敗しないAI活用の鍵は、経営・業務・人材・ガバナンスの再設計にあります。 ３人の専門家が解説！ 【無料/※参加特典有※2日開催・期間限定の見逃し配信あり】 中堅企業の成長条件とAIネイティブ経営への推進ステップ ～自社に即したAI実装モデルで現実を変える～ ～～～～～～～～～～～～～～～～～～～～～ 開催日 ①9月24日（木）15:30～16:55 ②9月29日（火）15:30～16:5</t>
        </is>
      </c>
      <c r="U624" s="15" t="inlineStr">
        <is>
          <t>https://www.kokuchpro.com/event/d8764ae1e00ae91e3196cc13efa5fcc6/</t>
        </is>
      </c>
      <c r="V624" s="10" t="n"/>
      <c r="W624" s="10" t="inlineStr">
        <is>
          <t>本文一致</t>
        </is>
      </c>
      <c r="X624" s="10" t="n"/>
    </row>
    <row r="625">
      <c r="A625" s="10" t="n">
        <v>624</v>
      </c>
      <c r="B625" s="24" t="n">
        <v>46289</v>
      </c>
      <c r="C625" s="24" t="n">
        <v>46289</v>
      </c>
      <c r="D625" s="10">
        <f>MONTH(B625)&amp;"月"</f>
        <v/>
      </c>
      <c r="E625" s="12" t="n">
        <v>1</v>
      </c>
      <c r="F625" s="10" t="n"/>
      <c r="G625" s="10" t="inlineStr">
        <is>
          <t>月末の請求書30枚がAIで5分で終わる仕組みを完全公開【ライブ実演セミナー】</t>
        </is>
      </c>
      <c r="H625" s="10" t="inlineStr">
        <is>
          <t>株式会社ノヴァリス</t>
        </is>
      </c>
      <c r="I625" s="10" t="n"/>
      <c r="J625" s="10" t="inlineStr">
        <is>
          <t>TECH PLAY</t>
        </is>
      </c>
      <c r="K625" s="10" t="inlineStr">
        <is>
          <t>オンライン</t>
        </is>
      </c>
      <c r="L625" s="10" t="n"/>
      <c r="M625" s="10" t="inlineStr">
        <is>
          <t>営業・マーケ・CS</t>
        </is>
      </c>
      <c r="N625" s="10" t="inlineStr">
        <is>
          <t>AIエージェント</t>
        </is>
      </c>
      <c r="O625" s="12" t="inlineStr">
        <is>
          <t>○</t>
        </is>
      </c>
      <c r="P625" s="13" t="n">
        <v>1</v>
      </c>
      <c r="Q625" s="12" t="inlineStr">
        <is>
          <t>申込者数</t>
        </is>
      </c>
      <c r="R625" s="14" t="n">
        <v>10</v>
      </c>
      <c r="S625" s="10" t="n"/>
      <c r="T625" s="10" t="inlineStr">
        <is>
          <t>月末の請求書30枚がAIで5分で終わる仕組みを完全公開【ライブ実演セミナー】 参加無料 / オンライン / 60分（お昼休みに参加できます） ※ご参加特典あり：現場で使われている自動化事例をまとめた『Claude Code / Codex 自動化活用事例集 30選』（全82ページ）を、当日ご参加の方全員に無料でお渡しします。 ■ 毎月末、同じ光景になっていませんか 25日を過ぎると、そわそわし始める。顧客リストとにらめっこしながら、請求</t>
        </is>
      </c>
      <c r="U625" s="15" t="inlineStr">
        <is>
          <t>https://techplay.jp/event/1000261</t>
        </is>
      </c>
      <c r="V625" s="10" t="n"/>
      <c r="W625" s="10" t="inlineStr">
        <is>
          <t>本文一致</t>
        </is>
      </c>
      <c r="X625" s="10" t="n"/>
    </row>
    <row r="626">
      <c r="A626" s="10" t="n">
        <v>625</v>
      </c>
      <c r="B626" s="24" t="n">
        <v>46290</v>
      </c>
      <c r="C626" s="24" t="n">
        <v>46290</v>
      </c>
      <c r="D626" s="10">
        <f>MONTH(B626)&amp;"月"</f>
        <v/>
      </c>
      <c r="E626" s="12" t="n">
        <v>1</v>
      </c>
      <c r="F626" s="10" t="n"/>
      <c r="G626" s="10" t="inlineStr">
        <is>
          <t>2026年 第3回 Tableau学生ユーザー会</t>
        </is>
      </c>
      <c r="H626" s="10" t="inlineStr">
        <is>
          <t>Tableau学生ユーザー会</t>
        </is>
      </c>
      <c r="I626" s="10" t="n"/>
      <c r="J626" s="10" t="inlineStr">
        <is>
          <t>TECH PLAY</t>
        </is>
      </c>
      <c r="K626" s="10" t="inlineStr">
        <is>
          <t>オンライン</t>
        </is>
      </c>
      <c r="L626" s="10" t="n"/>
      <c r="M626" s="10" t="inlineStr">
        <is>
          <t>営業・マーケ・CS</t>
        </is>
      </c>
      <c r="N626" s="10" t="inlineStr">
        <is>
          <t>AIエージェント</t>
        </is>
      </c>
      <c r="O626" s="12" t="inlineStr">
        <is>
          <t>○</t>
        </is>
      </c>
      <c r="P626" s="13" t="n">
        <v>49</v>
      </c>
      <c r="Q626" s="12" t="inlineStr">
        <is>
          <t>申込者数</t>
        </is>
      </c>
      <c r="R626" s="14" t="n">
        <v>56</v>
      </c>
      <c r="S626" s="10" t="n"/>
      <c r="T626" s="10" t="inlineStr">
        <is>
          <t>2026年 第3回 Tableau学生ユーザー会 概要 今回のテーマは、Tableauで広がる可能性 —— 『発信・挑戦・キャリア』のリアルです！ Tableauやデータ分析を学び始めたとき、「普段の学生生活でどう活かせる？」「コンテストで結果を出すには？」「将来の仕事にどう繋がる？」といった疑問や悩みを持つ方も多いのではないでしょうか。 今回は、それぞれのステージでアクションを起こしてきた3名をお招きし、【学生生活での発信】×【コンテ</t>
        </is>
      </c>
      <c r="U626" s="15" t="inlineStr">
        <is>
          <t>https://techplay.jp/event/999381</t>
        </is>
      </c>
      <c r="V626" s="10" t="n"/>
      <c r="W626" s="10" t="inlineStr">
        <is>
          <t>本文一致</t>
        </is>
      </c>
      <c r="X626" s="10" t="n"/>
    </row>
    <row r="627">
      <c r="A627" s="10" t="n">
        <v>626</v>
      </c>
      <c r="B627" s="24" t="n">
        <v>46290</v>
      </c>
      <c r="C627" s="24" t="n">
        <v>46290</v>
      </c>
      <c r="D627" s="10">
        <f>MONTH(B627)&amp;"月"</f>
        <v/>
      </c>
      <c r="E627" s="12" t="n">
        <v>1</v>
      </c>
      <c r="F627" s="10" t="n"/>
      <c r="G627" s="10" t="inlineStr">
        <is>
          <t>AIを導入したのに成果が出ない理由と"本当の自動化"の始め方を完全公開【ライブ実演セミナー】</t>
        </is>
      </c>
      <c r="H627" s="10" t="inlineStr">
        <is>
          <t>株式会社ノヴァリス</t>
        </is>
      </c>
      <c r="I627" s="10" t="n"/>
      <c r="J627" s="10" t="inlineStr">
        <is>
          <t>TECH PLAY</t>
        </is>
      </c>
      <c r="K627" s="10" t="inlineStr">
        <is>
          <t>オンライン</t>
        </is>
      </c>
      <c r="L627" s="10" t="n"/>
      <c r="M627" s="10" t="inlineStr">
        <is>
          <t>生産性向上・業務効率化</t>
        </is>
      </c>
      <c r="N627" s="10" t="inlineStr">
        <is>
          <t>AIエージェント</t>
        </is>
      </c>
      <c r="O627" s="12" t="inlineStr">
        <is>
          <t>○</t>
        </is>
      </c>
      <c r="P627" s="13" t="n">
        <v>7</v>
      </c>
      <c r="Q627" s="12" t="inlineStr">
        <is>
          <t>申込者数</t>
        </is>
      </c>
      <c r="R627" s="14" t="n">
        <v>10</v>
      </c>
      <c r="S627" s="10" t="n"/>
      <c r="T627" s="10" t="inlineStr">
        <is>
          <t>AIを導入したのに成果が出ない理由と"本当の自動化"の始め方を完全公開【ライブ実演セミナー】 参加無料 / オンライン / 60分（お昼休みに参加できます） ※ご参加特典あり：現場で使われている自動化事例をまとめた『Claude Code / Codex 自動化活用事例集 30選』（全82ページ）を、当日ご参加の方全員に無料でお渡しします。 ■ AIを入れた。なのに、何も変わらない。 ChatGPT、Copilot、Gemini。会社に</t>
        </is>
      </c>
      <c r="U627" s="15" t="inlineStr">
        <is>
          <t>https://techplay.jp/event/1000262</t>
        </is>
      </c>
      <c r="V627" s="10" t="n"/>
      <c r="W627" s="10" t="inlineStr">
        <is>
          <t>本文一致</t>
        </is>
      </c>
      <c r="X627" s="10" t="n"/>
    </row>
    <row r="628">
      <c r="A628" s="10" t="n">
        <v>627</v>
      </c>
      <c r="B628" s="24" t="n">
        <v>46290</v>
      </c>
      <c r="C628" s="24" t="n">
        <v>46290</v>
      </c>
      <c r="D628" s="10">
        <f>MONTH(B628)&amp;"月"</f>
        <v/>
      </c>
      <c r="E628" s="12" t="n">
        <v>1</v>
      </c>
      <c r="F628" s="10" t="n"/>
      <c r="G628" s="10" t="inlineStr">
        <is>
          <t>Zoholics Japan 2026「AI-Powered DX with Zoho」</t>
        </is>
      </c>
      <c r="H628" s="10" t="inlineStr">
        <is>
          <t>ゾーホージャパン株式会社</t>
        </is>
      </c>
      <c r="I628" s="10" t="n"/>
      <c r="J628" s="10" t="inlineStr">
        <is>
          <t>個別調査（公式サイト・PR TIMES等）</t>
        </is>
      </c>
      <c r="K628" s="10" t="inlineStr">
        <is>
          <t>ハイブリッド</t>
        </is>
      </c>
      <c r="L628" s="10" t="inlineStr">
        <is>
          <t>JPタワー ホール&amp;カンファレンス＋オンライン</t>
        </is>
      </c>
      <c r="M628" s="10" t="inlineStr">
        <is>
          <t>営業・マーケ・CS</t>
        </is>
      </c>
      <c r="N628" s="10" t="inlineStr">
        <is>
          <t>AIエージェント</t>
        </is>
      </c>
      <c r="O628" s="12" t="inlineStr">
        <is>
          <t>◎</t>
        </is>
      </c>
      <c r="P628" s="13" t="n">
        <v>700</v>
      </c>
      <c r="Q628" s="12" t="inlineStr">
        <is>
          <t>定員</t>
        </is>
      </c>
      <c r="R628" s="14" t="n">
        <v>700</v>
      </c>
      <c r="S628" s="10" t="inlineStr">
        <is>
          <t>先着順</t>
        </is>
      </c>
      <c r="T628" s="10" t="inlineStr">
        <is>
          <t>Zohoの年次ユーザーイベント。Ziaエージェントの実績（約9,000社・約19,000エージェント）や、AIによる業務DXの事例を紹介する。</t>
        </is>
      </c>
      <c r="U628" s="15" t="inlineStr">
        <is>
          <t>https://prtimes.jp/main/html/rd/p/000000133.000101685.html</t>
        </is>
      </c>
      <c r="V628" s="10" t="n"/>
      <c r="W628" s="10" t="inlineStr">
        <is>
          <t>個別確認</t>
        </is>
      </c>
      <c r="X628" s="10" t="inlineStr">
        <is>
          <t>MCPのセッションは検索要約にのみ記載があり、未確認</t>
        </is>
      </c>
    </row>
    <row r="629">
      <c r="A629" s="10" t="n">
        <v>628</v>
      </c>
      <c r="B629" s="24" t="n">
        <v>46290</v>
      </c>
      <c r="C629" s="24" t="n">
        <v>46290</v>
      </c>
      <c r="D629" s="10">
        <f>MONTH(B629)&amp;"月"</f>
        <v/>
      </c>
      <c r="E629" s="12" t="n">
        <v>1</v>
      </c>
      <c r="F629" s="10" t="n"/>
      <c r="G629" s="10" t="inlineStr">
        <is>
          <t>【CeeBeeDee】macOS環境の効率化について話し合う会 #15／サイトウマサカズ、赤間 公太郎、岡田 陽一、鷹野 雅弘</t>
        </is>
      </c>
      <c r="H629" s="10" t="inlineStr">
        <is>
          <t>CeeBeeDee</t>
        </is>
      </c>
      <c r="I629" s="10" t="n"/>
      <c r="J629" s="10" t="inlineStr">
        <is>
          <t>Doorkeeper</t>
        </is>
      </c>
      <c r="K629" s="10" t="inlineStr">
        <is>
          <t>不明</t>
        </is>
      </c>
      <c r="L629" s="10" t="n"/>
      <c r="M629" s="10" t="inlineStr">
        <is>
          <t>生産性向上・業務効率化</t>
        </is>
      </c>
      <c r="N629" s="10" t="inlineStr">
        <is>
          <t>AIエージェント</t>
        </is>
      </c>
      <c r="O629" s="12" t="inlineStr">
        <is>
          <t>○</t>
        </is>
      </c>
      <c r="P629" s="13" t="n">
        <v>108</v>
      </c>
      <c r="Q629" s="12" t="inlineStr">
        <is>
          <t>参加者数</t>
        </is>
      </c>
      <c r="R629" s="14" t="n"/>
      <c r="S629" s="10" t="n"/>
      <c r="T629" s="10" t="inlineStr">
        <is>
          <t xml:space="preserve"> macOS環境の効率化をテーマに、さまざまなアイデアを共有し合うオンラインイベント。OS標準機能およびアプリ、関連ユーティリティを通して、macOS環境の効率化のアレコレについて話します。 「リアルタイム視聴は無料」スタイルで開催しますが、アーカイブチケット購入やサブスク登録でサポートくださいますと助かります！ 2台使いの環境で、設定を同じ状態に揃える／赤間 公太郎（マジカルリミックス） iOSやiPadOSも効率化！ショートカット.</t>
        </is>
      </c>
      <c r="U629" s="15" t="inlineStr">
        <is>
          <t>https://dtptransit.doorkeeper.jp/events/199228</t>
        </is>
      </c>
      <c r="V629" s="10" t="n"/>
      <c r="W629" s="10" t="inlineStr">
        <is>
          <t>本文一致</t>
        </is>
      </c>
      <c r="X629" s="10" t="n"/>
    </row>
    <row r="630">
      <c r="A630" s="10" t="n">
        <v>629</v>
      </c>
      <c r="B630" s="24" t="n">
        <v>46290</v>
      </c>
      <c r="C630" s="24" t="n">
        <v>46290</v>
      </c>
      <c r="D630" s="10">
        <f>MONTH(B630)&amp;"月"</f>
        <v/>
      </c>
      <c r="E630" s="12" t="n">
        <v>1</v>
      </c>
      <c r="F630" s="10" t="n"/>
      <c r="G630" s="10" t="inlineStr">
        <is>
          <t>【アーカイブ配信】【仕様の把握から上流工程の相談・提案まで】業務もシステムも、 仕様のすべてを知り尽くすAIエージェント</t>
        </is>
      </c>
      <c r="H630" s="10" t="inlineStr">
        <is>
          <t>テックファーム株式会社</t>
        </is>
      </c>
      <c r="I630" s="10" t="n"/>
      <c r="J630" s="10" t="inlineStr">
        <is>
          <t>TECH PLAY</t>
        </is>
      </c>
      <c r="K630" s="10" t="inlineStr">
        <is>
          <t>オンライン</t>
        </is>
      </c>
      <c r="L630" s="10" t="n"/>
      <c r="M630" s="10" t="inlineStr">
        <is>
          <t>生産性向上・業務効率化</t>
        </is>
      </c>
      <c r="N630" s="10" t="inlineStr">
        <is>
          <t>AIエージェント</t>
        </is>
      </c>
      <c r="O630" s="12" t="inlineStr">
        <is>
          <t>◎</t>
        </is>
      </c>
      <c r="P630" s="13" t="n"/>
      <c r="Q630" s="12" t="inlineStr">
        <is>
          <t>非公開</t>
        </is>
      </c>
      <c r="R630" s="14" t="n">
        <v>100</v>
      </c>
      <c r="S630" s="10" t="n"/>
      <c r="T630" s="10" t="inlineStr">
        <is>
          <t>属人化によるこんなお悩みありませんか 担当者の異動・退職に伴い、急なシステムの「引き継ぎ」が発生する 仕様の把握・管理が属人化している SPEC AGENTがまるごと解決 引き継ぎに依存しない ☑機能仕様と"決定背景"を保持 ☑引き継ぎ時の調査・ヒアリングを不要に 属人化を排除する ☑散在する仕様情報を集約し一元管理 ☑チャット形式で誰でも仕様を確認 SPEC AGENTとは システム仕様と業務仕様を管理し、最新の状態を保ちやすくする仕</t>
        </is>
      </c>
      <c r="U630" s="15" t="inlineStr">
        <is>
          <t>https://techplay.jp/event/1000134</t>
        </is>
      </c>
      <c r="V630" s="10" t="n"/>
      <c r="W630" s="10" t="inlineStr">
        <is>
          <t>タイトル一致</t>
        </is>
      </c>
      <c r="X630" s="10" t="n"/>
    </row>
    <row r="631">
      <c r="A631" s="10" t="n">
        <v>630</v>
      </c>
      <c r="B631" s="24" t="n">
        <v>46290</v>
      </c>
      <c r="C631" s="24" t="n">
        <v>46290</v>
      </c>
      <c r="D631" s="10">
        <f>MONTH(B631)&amp;"月"</f>
        <v/>
      </c>
      <c r="E631" s="12" t="n">
        <v>1</v>
      </c>
      <c r="F631" s="10" t="n"/>
      <c r="G631" s="10" t="inlineStr">
        <is>
          <t>【大企業向け】みずほ証券に聞く、大規模組織でDevinは効果が出るのか？ 〜Devinがハマる領域・ハマらない領域と、導入効果・運用課題〜</t>
        </is>
      </c>
      <c r="H631" s="10" t="inlineStr">
        <is>
          <t>ULSコンサルティング株式会社</t>
        </is>
      </c>
      <c r="I631" s="10" t="inlineStr">
        <is>
          <t>みずほ証券株式会社 マジセミ株式会社</t>
        </is>
      </c>
      <c r="J631" s="10" t="inlineStr">
        <is>
          <t>Doorkeeper</t>
        </is>
      </c>
      <c r="K631" s="10" t="inlineStr">
        <is>
          <t>不明</t>
        </is>
      </c>
      <c r="L631" s="10" t="n"/>
      <c r="M631" s="10" t="inlineStr">
        <is>
          <t>開発生産性</t>
        </is>
      </c>
      <c r="N631" s="10" t="inlineStr">
        <is>
          <t>AIエージェント</t>
        </is>
      </c>
      <c r="O631" s="12" t="inlineStr">
        <is>
          <t>○</t>
        </is>
      </c>
      <c r="P631" s="13" t="n">
        <v>2</v>
      </c>
      <c r="Q631" s="12" t="inlineStr">
        <is>
          <t>参加者数</t>
        </is>
      </c>
      <c r="R631" s="14" t="n">
        <v>2</v>
      </c>
      <c r="S631" s="10" t="n"/>
      <c r="T631"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PoCから大規模開発へ、AI駆動開発の活用が本格化 AI駆動開発の活用は、PoCにとどまらず、実際のシステム開発に組み込む本格導入のフェーズへと移りつつあります。 中でもDevinのようなAI駆動開発ツ</t>
        </is>
      </c>
      <c r="U631" s="15" t="inlineStr">
        <is>
          <t>https://majisemi-technology.doorkeeper.jp/events/199134</t>
        </is>
      </c>
      <c r="V631" s="10" t="n"/>
      <c r="W631" s="10" t="inlineStr">
        <is>
          <t>タイトル一致</t>
        </is>
      </c>
      <c r="X631" s="10" t="n"/>
    </row>
    <row r="632">
      <c r="A632" s="10" t="n">
        <v>631</v>
      </c>
      <c r="B632" s="24" t="n">
        <v>46290</v>
      </c>
      <c r="C632" s="24" t="n">
        <v>46290</v>
      </c>
      <c r="D632" s="10">
        <f>MONTH(B632)&amp;"月"</f>
        <v/>
      </c>
      <c r="E632" s="12" t="n">
        <v>1</v>
      </c>
      <c r="F632" s="10" t="n"/>
      <c r="G632" s="10" t="inlineStr">
        <is>
          <t>【大阪・梅田】AIバイブコーディング講義＆AIエージェント活用LT会</t>
        </is>
      </c>
      <c r="H632" s="10" t="inlineStr">
        <is>
          <t>AI ハックラボ</t>
        </is>
      </c>
      <c r="I632" s="10" t="n"/>
      <c r="J632" s="10" t="inlineStr">
        <is>
          <t>connpass</t>
        </is>
      </c>
      <c r="K632" s="10" t="inlineStr">
        <is>
          <t>会場</t>
        </is>
      </c>
      <c r="L632" s="10" t="inlineStr">
        <is>
          <t>大阪府大阪市北区芝田2丁目621PMO梅田4F</t>
        </is>
      </c>
      <c r="M632" s="10" t="inlineStr">
        <is>
          <t>開発生産性</t>
        </is>
      </c>
      <c r="N632" s="10" t="inlineStr">
        <is>
          <t>AIエージェント</t>
        </is>
      </c>
      <c r="O632" s="12" t="inlineStr">
        <is>
          <t>○</t>
        </is>
      </c>
      <c r="P632" s="13" t="n">
        <v>15</v>
      </c>
      <c r="Q632" s="12" t="inlineStr">
        <is>
          <t>参加者数</t>
        </is>
      </c>
      <c r="R632" s="14" t="n">
        <v>23</v>
      </c>
      <c r="S632" s="10" t="n"/>
      <c r="T632" s="10" t="n"/>
      <c r="U632" s="15" t="inlineStr">
        <is>
          <t>https://aihacklabo.connpass.com/event/405311/</t>
        </is>
      </c>
      <c r="V632" s="10" t="n"/>
      <c r="W632" s="10" t="inlineStr">
        <is>
          <t>タイトル一致</t>
        </is>
      </c>
      <c r="X632" s="10" t="n"/>
    </row>
    <row r="633">
      <c r="A633" s="10" t="n">
        <v>632</v>
      </c>
      <c r="B633" s="24" t="n">
        <v>46290</v>
      </c>
      <c r="C633" s="24" t="n">
        <v>46290</v>
      </c>
      <c r="D633" s="10">
        <f>MONTH(B633)&amp;"月"</f>
        <v/>
      </c>
      <c r="E633" s="12" t="n">
        <v>1</v>
      </c>
      <c r="F633" s="10" t="n"/>
      <c r="G633" s="10" t="inlineStr">
        <is>
          <t>【無料オンライン/9月〜11月開催】回答するAIから、業務を進めるAIへ！Agentforceで実現する「問い合わせ対応・受発注一元化」セミナー</t>
        </is>
      </c>
      <c r="H633" s="10" t="inlineStr">
        <is>
          <t>フロッグウェル株式会社</t>
        </is>
      </c>
      <c r="I633" s="10" t="n"/>
      <c r="J633" s="10" t="inlineStr">
        <is>
          <t>PR TIMES</t>
        </is>
      </c>
      <c r="K633" s="10" t="inlineStr">
        <is>
          <t>online</t>
        </is>
      </c>
      <c r="L633" s="10" t="inlineStr">
        <is>
          <t>オンライン</t>
        </is>
      </c>
      <c r="M633" s="10" t="inlineStr">
        <is>
          <t>営業・マーケ・CS</t>
        </is>
      </c>
      <c r="N633" s="10" t="inlineStr">
        <is>
          <t>AIエージェント</t>
        </is>
      </c>
      <c r="O633" s="12" t="inlineStr">
        <is>
          <t>◎</t>
        </is>
      </c>
      <c r="P633" s="13" t="n"/>
      <c r="Q633" s="12" t="inlineStr">
        <is>
          <t>不明</t>
        </is>
      </c>
      <c r="R633" s="14" t="n"/>
      <c r="S633" s="10" t="n"/>
      <c r="T633" s="10" t="inlineStr">
        <is>
          <t>2026年9月25日(金)17:00～18:00（10月27日にも開催）。近年、生成AIを活用したチャットボットの導入が進み、質問への回答や文章作成の効率化が期待される一方で、実際の業務現場では「AIが回答を生成するだけでは不十分」「問い合わせ内容の確認や不足情報のヒアリング、Salesforceへの手動登録や担当者への引き継ぎに手間がかかる」といった課題が残されています。 また、受発注業務においても、FAX、メール、電話、Webなど複</t>
        </is>
      </c>
      <c r="U633" s="15" t="inlineStr">
        <is>
          <t>https://prtimes.jp/main/html/rd/p/000000365.000078896.html</t>
        </is>
      </c>
      <c r="V633" s="10" t="n"/>
      <c r="W633" s="10" t="inlineStr">
        <is>
          <t>タイトル一致</t>
        </is>
      </c>
      <c r="X633" s="10" t="n"/>
    </row>
    <row r="634">
      <c r="A634" s="10" t="n">
        <v>633</v>
      </c>
      <c r="B634" s="24" t="n">
        <v>46290</v>
      </c>
      <c r="C634" s="24" t="n">
        <v>46290</v>
      </c>
      <c r="D634" s="10">
        <f>MONTH(B634)&amp;"月"</f>
        <v/>
      </c>
      <c r="E634" s="12" t="n">
        <v>1</v>
      </c>
      <c r="F634" s="10" t="n"/>
      <c r="G634" s="10" t="inlineStr">
        <is>
          <t>【第12回】FIC「創業してAIエージェントで会社を動かしてる話」</t>
        </is>
      </c>
      <c r="H634" s="10" t="inlineStr">
        <is>
          <t>Fukuoka Innovation Community</t>
        </is>
      </c>
      <c r="I634" s="10" t="n"/>
      <c r="J634" s="10" t="inlineStr">
        <is>
          <t>connpass</t>
        </is>
      </c>
      <c r="K634" s="10" t="inlineStr">
        <is>
          <t>会場</t>
        </is>
      </c>
      <c r="L634" s="10" t="inlineStr">
        <is>
          <t>福岡市博多区博多駅東１丁目１８−３３ 博多イーストテラス 1F</t>
        </is>
      </c>
      <c r="M634" s="10" t="inlineStr">
        <is>
          <t>技術・AI全般</t>
        </is>
      </c>
      <c r="N634" s="10" t="inlineStr">
        <is>
          <t>AIエージェント</t>
        </is>
      </c>
      <c r="O634" s="12" t="inlineStr">
        <is>
          <t>○</t>
        </is>
      </c>
      <c r="P634" s="13" t="n">
        <v>44</v>
      </c>
      <c r="Q634" s="12" t="inlineStr">
        <is>
          <t>参加者数</t>
        </is>
      </c>
      <c r="R634" s="14" t="n">
        <v>55</v>
      </c>
      <c r="S634" s="10" t="n"/>
      <c r="T634" s="10" t="n"/>
      <c r="U634" s="15" t="inlineStr">
        <is>
          <t>https://fix.connpass.com/event/403196/</t>
        </is>
      </c>
      <c r="V634" s="10" t="n"/>
      <c r="W634" s="10" t="inlineStr">
        <is>
          <t>タイトル一致</t>
        </is>
      </c>
      <c r="X634" s="10" t="n"/>
    </row>
    <row r="635">
      <c r="A635" s="10" t="n">
        <v>634</v>
      </c>
      <c r="B635" s="24" t="n">
        <v>46290</v>
      </c>
      <c r="C635" s="24" t="n">
        <v>46290</v>
      </c>
      <c r="D635" s="10">
        <f>MONTH(B635)&amp;"月"</f>
        <v/>
      </c>
      <c r="E635" s="12" t="n">
        <v>1</v>
      </c>
      <c r="F635" s="10" t="n"/>
      <c r="G635" s="10" t="inlineStr">
        <is>
          <t>いまさら聞けないシリーズ「Microsoft Copilot」Copilot・エージェント・Studioの違いと、業務での使い分け</t>
        </is>
      </c>
      <c r="H635" s="10" t="inlineStr">
        <is>
          <t>ヒューマンリソシア株式会社 DXセミナー事務局</t>
        </is>
      </c>
      <c r="I635" s="10" t="n"/>
      <c r="J635" s="10" t="inlineStr">
        <is>
          <t>こくちーずプロ</t>
        </is>
      </c>
      <c r="K635" s="10" t="inlineStr">
        <is>
          <t>オンライン</t>
        </is>
      </c>
      <c r="L635" s="10" t="inlineStr">
        <is>
          <t>オンライン 日本</t>
        </is>
      </c>
      <c r="M635" s="10" t="inlineStr">
        <is>
          <t>生産性向上・業務効率化</t>
        </is>
      </c>
      <c r="N635" s="10" t="inlineStr">
        <is>
          <t>AIエージェント</t>
        </is>
      </c>
      <c r="O635" s="12" t="inlineStr">
        <is>
          <t>◎</t>
        </is>
      </c>
      <c r="P635" s="13" t="n"/>
      <c r="Q635" s="12" t="inlineStr">
        <is>
          <t>不明</t>
        </is>
      </c>
      <c r="R635" s="14" t="n"/>
      <c r="S635" s="10" t="n"/>
      <c r="T635" s="10" t="inlineStr">
        <is>
          <t>「Microsoft 365 Copilotを導入したものの、 メール要約や資料作成など個人利用に とどまり、 次に何をすべきか分からない」と感じていませんか。 Microsoft 365の各アプリや社内説明で「Copilot」という名称を目にするものの Copilot、Copilotエージェント、Copilot Studioの違い が曖昧なままでは、 社内問い合わせやナレッジ検索など、全社的な業務改善につながるテーマを選べず、 PoC</t>
        </is>
      </c>
      <c r="U635" s="15" t="inlineStr">
        <is>
          <t>https://www.kokuchpro.com/event/ms_260925/</t>
        </is>
      </c>
      <c r="V635" s="10" t="n"/>
      <c r="W635" s="10" t="inlineStr">
        <is>
          <t>タイトル一致</t>
        </is>
      </c>
      <c r="X635" s="10" t="n"/>
    </row>
    <row r="636">
      <c r="A636" s="10" t="n">
        <v>635</v>
      </c>
      <c r="B636" s="24" t="n">
        <v>46290</v>
      </c>
      <c r="C636" s="24" t="n">
        <v>46290</v>
      </c>
      <c r="D636" s="10">
        <f>MONTH(B636)&amp;"月"</f>
        <v/>
      </c>
      <c r="E636" s="12" t="n">
        <v>1</v>
      </c>
      <c r="F636" s="10" t="n"/>
      <c r="G636" s="10" t="inlineStr">
        <is>
          <t>やさしい Claude Code インストール挑戦会</t>
        </is>
      </c>
      <c r="H636" s="10" t="inlineStr">
        <is>
          <t>やさしいAI駆動社会クリエイターズ</t>
        </is>
      </c>
      <c r="I636" s="10" t="n"/>
      <c r="J636" s="10" t="inlineStr">
        <is>
          <t>connpass</t>
        </is>
      </c>
      <c r="K636" s="10" t="inlineStr">
        <is>
          <t>オンライン</t>
        </is>
      </c>
      <c r="L636" s="10" t="inlineStr">
        <is>
          <t>オンライン</t>
        </is>
      </c>
      <c r="M636" s="10" t="inlineStr">
        <is>
          <t>開発生産性</t>
        </is>
      </c>
      <c r="N636" s="10" t="inlineStr">
        <is>
          <t>AIエージェント</t>
        </is>
      </c>
      <c r="O636" s="12" t="inlineStr">
        <is>
          <t>○</t>
        </is>
      </c>
      <c r="P636" s="13" t="n">
        <v>27</v>
      </c>
      <c r="Q636" s="12" t="inlineStr">
        <is>
          <t>参加者数</t>
        </is>
      </c>
      <c r="R636" s="14" t="n"/>
      <c r="S636" s="10" t="n"/>
      <c r="T636" s="10" t="n"/>
      <c r="U636" s="15" t="inlineStr">
        <is>
          <t>https://biosbootcamp.connpass.com/event/404660/</t>
        </is>
      </c>
      <c r="V636" s="10" t="n"/>
      <c r="W636" s="10" t="inlineStr">
        <is>
          <t>タイトル一致</t>
        </is>
      </c>
      <c r="X636" s="10" t="n"/>
    </row>
    <row r="637">
      <c r="A637" s="10" t="n">
        <v>636</v>
      </c>
      <c r="B637" s="24" t="n">
        <v>46290</v>
      </c>
      <c r="C637" s="24" t="n">
        <v>46290</v>
      </c>
      <c r="D637" s="10">
        <f>MONTH(B637)&amp;"月"</f>
        <v/>
      </c>
      <c r="E637" s="12" t="n">
        <v>1</v>
      </c>
      <c r="F637" s="10" t="n"/>
      <c r="G637" s="10" t="inlineStr">
        <is>
          <t>広島開催|ひとり社長・創業予定者向けCodex活用無料セミナー</t>
        </is>
      </c>
      <c r="H637" s="10" t="inlineStr">
        <is>
          <t>Prompthing株式会社</t>
        </is>
      </c>
      <c r="I637" s="10" t="n"/>
      <c r="J637" s="10" t="inlineStr">
        <is>
          <t>こくちーずプロ</t>
        </is>
      </c>
      <c r="K637" s="10" t="inlineStr">
        <is>
          <t>オフライン（会場）</t>
        </is>
      </c>
      <c r="L637" s="10" t="inlineStr">
        <is>
          <t>コジマホールディングス西区民文化センター 小会議室1(予定) 広島県広島市西区横川新町6番1号</t>
        </is>
      </c>
      <c r="M637" s="10" t="inlineStr">
        <is>
          <t>開発生産性</t>
        </is>
      </c>
      <c r="N637" s="10" t="inlineStr">
        <is>
          <t>AIエージェント</t>
        </is>
      </c>
      <c r="O637" s="12" t="inlineStr">
        <is>
          <t>○</t>
        </is>
      </c>
      <c r="P637" s="13" t="n">
        <v>2</v>
      </c>
      <c r="Q637" s="12" t="inlineStr">
        <is>
          <t>参加者数</t>
        </is>
      </c>
      <c r="R637" s="14" t="n">
        <v>10</v>
      </c>
      <c r="S637" s="10" t="n"/>
      <c r="T637" s="10" t="inlineStr">
        <is>
          <t>ChatGPTを文章作成や相談以外にも活用したい方へ、Codexを業務へ取り入れる考え方から扱います。 Codexの基本、ChatGPTとの違い、調査・資料作成・複数ファイルの扱い、業務を分解してAIへ依頼する考え方を扱います。プログラミング経験は必要ありません。 2026年9月25日（金）18:00〜20:00に、コジマホールディングス西区民文化センター 小会議室1（予定）（広島県広島市西区横川新町6番1号）で開催します。本媒体での募</t>
        </is>
      </c>
      <c r="U637" s="15" t="inlineStr">
        <is>
          <t>https://www.kokuchpro.com/event/aeed43ec3de034d7431e335e7dd8c807/</t>
        </is>
      </c>
      <c r="V637" s="10" t="n"/>
      <c r="W637" s="10" t="inlineStr">
        <is>
          <t>タイトル一致</t>
        </is>
      </c>
      <c r="X637" s="10" t="n"/>
    </row>
    <row r="638">
      <c r="A638" s="10" t="n">
        <v>637</v>
      </c>
      <c r="B638" s="24" t="n">
        <v>46291</v>
      </c>
      <c r="C638" s="24" t="n">
        <v>46291</v>
      </c>
      <c r="D638" s="10">
        <f>MONTH(B638)&amp;"月"</f>
        <v/>
      </c>
      <c r="E638" s="12" t="n">
        <v>1</v>
      </c>
      <c r="F638" s="10" t="n"/>
      <c r="G638" s="10" t="inlineStr">
        <is>
          <t>【刈谷開催・第5回】Claude Code、Pythonで工場向けWebアプリを作るハンズオン</t>
        </is>
      </c>
      <c r="H638" s="10" t="inlineStr">
        <is>
          <t>【刈谷開催】IoTクレーンゲームで体感する工場DX</t>
        </is>
      </c>
      <c r="I638" s="10" t="n"/>
      <c r="J638" s="10" t="inlineStr">
        <is>
          <t>connpass</t>
        </is>
      </c>
      <c r="K638" s="10" t="inlineStr">
        <is>
          <t>会場</t>
        </is>
      </c>
      <c r="L638" s="10" t="inlineStr">
        <is>
          <t>〒448-0027 愛知県刈谷市相生町２丁目20−番地 パークホテル刈谷 QS２階</t>
        </is>
      </c>
      <c r="M638" s="10" t="inlineStr">
        <is>
          <t>生産管理・製造・SCM</t>
        </is>
      </c>
      <c r="N638" s="10" t="inlineStr">
        <is>
          <t>AIエージェント</t>
        </is>
      </c>
      <c r="O638" s="12" t="inlineStr">
        <is>
          <t>◎</t>
        </is>
      </c>
      <c r="P638" s="13" t="n"/>
      <c r="Q638" s="12" t="inlineStr">
        <is>
          <t>不明</t>
        </is>
      </c>
      <c r="R638" s="14" t="n"/>
      <c r="S638" s="10" t="n"/>
      <c r="T638" s="10" t="n"/>
      <c r="U638" s="15" t="inlineStr">
        <is>
          <t>https://crane-game.connpass.com/event/405625/</t>
        </is>
      </c>
      <c r="V638" s="10" t="n"/>
      <c r="W638" s="10" t="inlineStr">
        <is>
          <t>タイトル一致</t>
        </is>
      </c>
      <c r="X638" s="10" t="n"/>
    </row>
    <row r="639">
      <c r="A639" s="10" t="n">
        <v>638</v>
      </c>
      <c r="B639" s="24" t="n">
        <v>46291</v>
      </c>
      <c r="C639" s="24" t="n">
        <v>46291</v>
      </c>
      <c r="D639" s="10">
        <f>MONTH(B639)&amp;"月"</f>
        <v/>
      </c>
      <c r="E639" s="12" t="n">
        <v>1</v>
      </c>
      <c r="F639" s="10" t="n"/>
      <c r="G639" s="10" t="inlineStr">
        <is>
          <t>【石川DX実践会議】AIエージェントの「スキル」入門</t>
        </is>
      </c>
      <c r="H639" s="10" t="inlineStr">
        <is>
          <t>石川DX実践会議</t>
        </is>
      </c>
      <c r="I639" s="10" t="n"/>
      <c r="J639" s="10" t="inlineStr">
        <is>
          <t>こくちーずプロ</t>
        </is>
      </c>
      <c r="K639" s="10" t="inlineStr">
        <is>
          <t>オフライン（会場）</t>
        </is>
      </c>
      <c r="L639" s="10" t="inlineStr">
        <is>
          <t>AnnChai 石川県石川県金沢市東山2丁目9-14</t>
        </is>
      </c>
      <c r="M639" s="10" t="inlineStr">
        <is>
          <t>生産性向上・業務効率化</t>
        </is>
      </c>
      <c r="N639" s="10" t="inlineStr">
        <is>
          <t>AIエージェント</t>
        </is>
      </c>
      <c r="O639" s="12" t="inlineStr">
        <is>
          <t>◎</t>
        </is>
      </c>
      <c r="P639" s="13" t="n">
        <v>7</v>
      </c>
      <c r="Q639" s="12" t="inlineStr">
        <is>
          <t>参加者数</t>
        </is>
      </c>
      <c r="R639" s="14" t="n">
        <v>15</v>
      </c>
      <c r="S639" s="10" t="n"/>
      <c r="T639" s="10" t="inlineStr">
        <is>
          <t>■ いま、AIの使い方が変わりつつあります ChatGPT にも、Claude にも、Gemini にも、「スキル」という同じ名前の機能が入りました。 これまでのGPTsやGemが「AIの着せ替え」だったとすると、スキルは「うちのやり方を書いた手順書」です。一度渡しておけば、次からは呼び出すだけ。毎回おなじ長い指示を打ち込む必要がなくなります。 そして Gemini では、Gem について「10月20日で終了」という案内がアプリ上に表示</t>
        </is>
      </c>
      <c r="U639" s="15" t="inlineStr">
        <is>
          <t>https://www.kokuchpro.com/event/3fef373fb2dcfe255ffe0532d9e1253a/</t>
        </is>
      </c>
      <c r="V639" s="10" t="n"/>
      <c r="W639" s="10" t="inlineStr">
        <is>
          <t>タイトル一致</t>
        </is>
      </c>
      <c r="X639" s="10" t="n"/>
    </row>
    <row r="640">
      <c r="A640" s="10" t="n">
        <v>639</v>
      </c>
      <c r="B640" s="24" t="n">
        <v>46291</v>
      </c>
      <c r="C640" s="24" t="n">
        <v>46291</v>
      </c>
      <c r="D640" s="10">
        <f>MONTH(B640)&amp;"月"</f>
        <v/>
      </c>
      <c r="E640" s="12" t="n">
        <v>1</v>
      </c>
      <c r="F640" s="10" t="n"/>
      <c r="G640" s="10" t="inlineStr">
        <is>
          <t>第5回ハンズオン勉強会 Claude Code でつくる はじめての業務ツール</t>
        </is>
      </c>
      <c r="H640" s="10" t="inlineStr">
        <is>
          <t>CDLE熊本</t>
        </is>
      </c>
      <c r="I640" s="10" t="n"/>
      <c r="J640" s="10" t="inlineStr">
        <is>
          <t>connpass</t>
        </is>
      </c>
      <c r="K640" s="10" t="inlineStr">
        <is>
          <t>会場</t>
        </is>
      </c>
      <c r="L640" s="10" t="inlineStr">
        <is>
          <t>熊本県熊本市西区春日1丁目14-1</t>
        </is>
      </c>
      <c r="M640" s="10" t="inlineStr">
        <is>
          <t>生産性向上・業務効率化</t>
        </is>
      </c>
      <c r="N640" s="10" t="inlineStr">
        <is>
          <t>AIエージェント</t>
        </is>
      </c>
      <c r="O640" s="12" t="inlineStr">
        <is>
          <t>◎</t>
        </is>
      </c>
      <c r="P640" s="13" t="n">
        <v>14</v>
      </c>
      <c r="Q640" s="12" t="inlineStr">
        <is>
          <t>参加者数</t>
        </is>
      </c>
      <c r="R640" s="14" t="n">
        <v>23</v>
      </c>
      <c r="S640" s="10" t="n"/>
      <c r="T640" s="10" t="n"/>
      <c r="U640" s="15" t="inlineStr">
        <is>
          <t>https://cdle-kumamoto.connpass.com/event/404168/</t>
        </is>
      </c>
      <c r="V640" s="10" t="n"/>
      <c r="W640" s="10" t="inlineStr">
        <is>
          <t>タイトル一致</t>
        </is>
      </c>
      <c r="X640" s="10" t="n"/>
    </row>
    <row r="641">
      <c r="A641" s="10" t="n">
        <v>640</v>
      </c>
      <c r="B641" s="24" t="n">
        <v>46292</v>
      </c>
      <c r="C641" s="24" t="n">
        <v>46292</v>
      </c>
      <c r="D641" s="10">
        <f>MONTH(B641)&amp;"月"</f>
        <v/>
      </c>
      <c r="E641" s="12" t="n">
        <v>1</v>
      </c>
      <c r="F641" s="10" t="n"/>
      <c r="G641" s="10" t="inlineStr">
        <is>
          <t>AIエージェント相手に商売する — x402ではじめるAgentic Payments</t>
        </is>
      </c>
      <c r="H641" s="10" t="inlineStr">
        <is>
          <t>nishinomiya.dev</t>
        </is>
      </c>
      <c r="I641" s="10" t="n"/>
      <c r="J641" s="10" t="inlineStr">
        <is>
          <t>connpass</t>
        </is>
      </c>
      <c r="K641" s="10" t="inlineStr">
        <is>
          <t>会場</t>
        </is>
      </c>
      <c r="L641" s="10" t="inlineStr">
        <is>
          <t>兵庫県西宮市千歳町6番16号</t>
        </is>
      </c>
      <c r="M641" s="10" t="inlineStr">
        <is>
          <t>技術・AI全般</t>
        </is>
      </c>
      <c r="N641" s="10" t="inlineStr">
        <is>
          <t>AIエージェント</t>
        </is>
      </c>
      <c r="O641" s="12" t="inlineStr">
        <is>
          <t>○</t>
        </is>
      </c>
      <c r="P641" s="13" t="n">
        <v>6</v>
      </c>
      <c r="Q641" s="12" t="inlineStr">
        <is>
          <t>参加者数</t>
        </is>
      </c>
      <c r="R641" s="14" t="n">
        <v>10</v>
      </c>
      <c r="S641" s="10" t="n"/>
      <c r="T641" s="10" t="n"/>
      <c r="U641" s="15" t="inlineStr">
        <is>
          <t>https://nishinomiya.connpass.com/event/404867/</t>
        </is>
      </c>
      <c r="V641" s="10" t="n"/>
      <c r="W641" s="10" t="inlineStr">
        <is>
          <t>タイトル一致</t>
        </is>
      </c>
      <c r="X641" s="10" t="n"/>
    </row>
    <row r="642">
      <c r="A642" s="10" t="n">
        <v>641</v>
      </c>
      <c r="B642" s="24" t="n">
        <v>46292</v>
      </c>
      <c r="C642" s="24" t="n">
        <v>46292</v>
      </c>
      <c r="D642" s="10">
        <f>MONTH(B642)&amp;"月"</f>
        <v/>
      </c>
      <c r="E642" s="12" t="n">
        <v>1</v>
      </c>
      <c r="F642" s="10" t="n"/>
      <c r="G642" s="10" t="inlineStr">
        <is>
          <t>【完全初心者向け・無料90分】今からでも間に合う AI超入門セミナー 9/27(日)</t>
        </is>
      </c>
      <c r="H642" s="10" t="inlineStr">
        <is>
          <t>株式会社HD</t>
        </is>
      </c>
      <c r="I642" s="10" t="n"/>
      <c r="J642" s="10" t="inlineStr">
        <is>
          <t>TECH PLAY</t>
        </is>
      </c>
      <c r="K642" s="10" t="inlineStr">
        <is>
          <t>オンライン</t>
        </is>
      </c>
      <c r="L642" s="10" t="n"/>
      <c r="M642" s="10" t="inlineStr">
        <is>
          <t>開発生産性</t>
        </is>
      </c>
      <c r="N642" s="10" t="inlineStr">
        <is>
          <t>AIエージェント</t>
        </is>
      </c>
      <c r="O642" s="12" t="inlineStr">
        <is>
          <t>△</t>
        </is>
      </c>
      <c r="P642" s="13" t="n">
        <v>10</v>
      </c>
      <c r="Q642" s="12" t="inlineStr">
        <is>
          <t>申込者数</t>
        </is>
      </c>
      <c r="R642" s="14" t="n">
        <v>50</v>
      </c>
      <c r="S642" s="10" t="n"/>
      <c r="T642" s="10" t="inlineStr">
        <is>
          <t>注意: status に使える値は draft と published のみ（private/hidden は 422 エラー） 作成後は必ず GET /events/{id} で読み返し、tags が反映されているか確認する 本文は Peatix版と同一。Peatix入稿と同じテキストが使えます ▼ ここから本文（Peatix版と同一・そのままコピペ） ■ AIを「知ってる人」から、「使える人」へ。 ChatGPTを開いてみたけれど、</t>
        </is>
      </c>
      <c r="U642" s="15" t="inlineStr">
        <is>
          <t>https://techplay.jp/event/1000791</t>
        </is>
      </c>
      <c r="V642" s="10" t="n"/>
      <c r="W642" s="10" t="inlineStr">
        <is>
          <t>本文一致</t>
        </is>
      </c>
      <c r="X642" s="10" t="n"/>
    </row>
    <row r="643">
      <c r="A643" s="10" t="n">
        <v>642</v>
      </c>
      <c r="B643" s="24" t="n">
        <v>46293</v>
      </c>
      <c r="C643" s="24" t="n">
        <v>46293</v>
      </c>
      <c r="D643" s="10">
        <f>MONTH(B643)&amp;"月"</f>
        <v/>
      </c>
      <c r="E643" s="12" t="n">
        <v>1</v>
      </c>
      <c r="F643" s="10" t="n"/>
      <c r="G643" s="10" t="inlineStr">
        <is>
          <t>AICX協会「AIエージェント・ストラテジスト資格 公式ケース演習講座」</t>
        </is>
      </c>
      <c r="H643" s="10" t="inlineStr">
        <is>
          <t>一般社団法人AICX協会</t>
        </is>
      </c>
      <c r="I643" s="10" t="n"/>
      <c r="J643" s="10" t="inlineStr">
        <is>
          <t>PR TIMES</t>
        </is>
      </c>
      <c r="K643" s="10" t="inlineStr">
        <is>
          <t>online</t>
        </is>
      </c>
      <c r="L643" s="10" t="inlineStr">
        <is>
          <t>オンライン（Zoom）</t>
        </is>
      </c>
      <c r="M643" s="10" t="inlineStr">
        <is>
          <t>営業・マーケ・CS</t>
        </is>
      </c>
      <c r="N643" s="10" t="inlineStr">
        <is>
          <t>AIエージェント</t>
        </is>
      </c>
      <c r="O643" s="12" t="inlineStr">
        <is>
          <t>◎</t>
        </is>
      </c>
      <c r="P643" s="13" t="n"/>
      <c r="Q643" s="12" t="inlineStr">
        <is>
          <t>不明</t>
        </is>
      </c>
      <c r="R643" s="14" t="n"/>
      <c r="S643" s="10" t="n"/>
      <c r="T643" s="10" t="inlineStr">
        <is>
          <t>一般社団法人AICX協会（所在地：東京都新宿区、代表理事：小栗 伸／小澤 健祐、以下「AICX協会」）は、2026年9月28日（月）9:00～13:00にオンラインで開催する「AICX認定｜AIエージェント・ストラテジスト資格 公式ケース演習講座」について、個人向けの申込受付を開始しました。 本講座は、法人向け研修として先行案内していた4時間の実践型プログラムです。第1回資格試験の受験者から、ケースを使って考える学習機会を求める声が多く</t>
        </is>
      </c>
      <c r="U643" s="15" t="inlineStr">
        <is>
          <t>https://prtimes.jp/main/html/rd/p/000000163.000155740.html</t>
        </is>
      </c>
      <c r="V643" s="10" t="n"/>
      <c r="W643" s="10" t="inlineStr">
        <is>
          <t>タイトル一致</t>
        </is>
      </c>
      <c r="X643" s="10" t="n"/>
    </row>
    <row r="644">
      <c r="A644" s="10" t="n">
        <v>643</v>
      </c>
      <c r="B644" s="24" t="n">
        <v>46293</v>
      </c>
      <c r="C644" s="24" t="n">
        <v>46293</v>
      </c>
      <c r="D644" s="10">
        <f>MONTH(B644)&amp;"月"</f>
        <v/>
      </c>
      <c r="E644" s="12" t="n">
        <v>1</v>
      </c>
      <c r="F644" s="10" t="n"/>
      <c r="G644" s="10" t="inlineStr">
        <is>
          <t>AIの未来像と次世代プロフェッショナルの生存戦略 〜ビジネスと技術で価値を生み出すエンジニアとコンサルタントのキャリア〜</t>
        </is>
      </c>
      <c r="H644" s="10" t="inlineStr">
        <is>
          <t>Laboro.AI</t>
        </is>
      </c>
      <c r="I644" s="10" t="n"/>
      <c r="J644" s="10" t="inlineStr">
        <is>
          <t>TECH PLAY</t>
        </is>
      </c>
      <c r="K644" s="10" t="inlineStr">
        <is>
          <t>オンライン</t>
        </is>
      </c>
      <c r="L644" s="10" t="n"/>
      <c r="M644" s="10" t="inlineStr">
        <is>
          <t>生産性向上・業務効率化</t>
        </is>
      </c>
      <c r="N644" s="10" t="inlineStr">
        <is>
          <t>AIエージェント</t>
        </is>
      </c>
      <c r="O644" s="12" t="inlineStr">
        <is>
          <t>○</t>
        </is>
      </c>
      <c r="P644" s="13" t="n">
        <v>26</v>
      </c>
      <c r="Q644" s="12" t="inlineStr">
        <is>
          <t>申込者数</t>
        </is>
      </c>
      <c r="R644" s="14" t="n">
        <v>30</v>
      </c>
      <c r="S644" s="10" t="n"/>
      <c r="T644" s="10" t="inlineStr">
        <is>
          <t>AIの未来像と次世代プロフェッショナルの生存戦略 〜ビジネスと技術で価値を生み出すエンジニアとコンサルタントのキャリア〜 概要 生成AIやAIエージェントの進化によって、「エンジニアがつくる」という行為そのものが変わり始めています。コーディングエージェントによって、ソフトウェアのプロトタイプをつくること自体は、これまで以上に速く、容易になりました。 では、その先でエンジニアは何によって価値を生み出すのでしょうか。 ここ最近、「Forwa</t>
        </is>
      </c>
      <c r="U644" s="15" t="inlineStr">
        <is>
          <t>https://techplay.jp/event/999754</t>
        </is>
      </c>
      <c r="V644" s="10" t="n"/>
      <c r="W644" s="10" t="inlineStr">
        <is>
          <t>本文一致</t>
        </is>
      </c>
      <c r="X644" s="10" t="n"/>
    </row>
    <row r="645">
      <c r="A645" s="10" t="n">
        <v>644</v>
      </c>
      <c r="B645" s="24" t="n">
        <v>46293</v>
      </c>
      <c r="C645" s="24" t="n">
        <v>46293</v>
      </c>
      <c r="D645" s="10">
        <f>MONTH(B645)&amp;"月"</f>
        <v/>
      </c>
      <c r="E645" s="12" t="n">
        <v>1</v>
      </c>
      <c r="F645" s="10" t="n"/>
      <c r="G645" s="10" t="inlineStr">
        <is>
          <t>AI時代の業務自動化 はじめの一歩｜Copilot Studio活用編</t>
        </is>
      </c>
      <c r="H645" s="10" t="inlineStr">
        <is>
          <t>アイディルートコンサルティング株式会社</t>
        </is>
      </c>
      <c r="I645" s="10" t="n"/>
      <c r="J645" s="10" t="inlineStr">
        <is>
          <t>TECH PLAY</t>
        </is>
      </c>
      <c r="K645" s="10" t="inlineStr">
        <is>
          <t>オンライン</t>
        </is>
      </c>
      <c r="L645" s="10" t="n"/>
      <c r="M645" s="10" t="inlineStr">
        <is>
          <t>生産性向上・業務効率化</t>
        </is>
      </c>
      <c r="N645" s="10" t="inlineStr">
        <is>
          <t>AIエージェント</t>
        </is>
      </c>
      <c r="O645" s="12" t="inlineStr">
        <is>
          <t>◎</t>
        </is>
      </c>
      <c r="P645" s="13" t="n">
        <v>9</v>
      </c>
      <c r="Q645" s="12" t="inlineStr">
        <is>
          <t>申込者数</t>
        </is>
      </c>
      <c r="R645" s="14" t="n">
        <v>100</v>
      </c>
      <c r="S645" s="10" t="n"/>
      <c r="T645" s="10" t="inlineStr">
        <is>
          <t>📢AI時代の業務自動化 はじめの一歩 ～Copilot Studio活用編～ 社内ナレッジを活用した業務AIエージェントのつくり方 「この手続き、どうすればいい？」 「最新の資料はどこ？」 「このルールについて、誰に聞けばいい？」 社内では、このような問い合わせが日々繰り返されています。 規程やマニュアルなどの情報は社内に蓄積されていても、必要な情報をすぐに見つけられなかったり、詳しい人に問い合わせが集中したりするケースも少なくありませ</t>
        </is>
      </c>
      <c r="U645" s="15" t="inlineStr">
        <is>
          <t>https://techplay.jp/event/1000487</t>
        </is>
      </c>
      <c r="V645" s="10" t="n"/>
      <c r="W645" s="10" t="inlineStr">
        <is>
          <t>タイトル一致</t>
        </is>
      </c>
      <c r="X645" s="10" t="n"/>
    </row>
    <row r="646">
      <c r="A646" s="10" t="n">
        <v>645</v>
      </c>
      <c r="B646" s="24" t="n">
        <v>46293</v>
      </c>
      <c r="C646" s="24" t="n">
        <v>46293</v>
      </c>
      <c r="D646" s="10">
        <f>MONTH(B646)&amp;"月"</f>
        <v/>
      </c>
      <c r="E646" s="12" t="n">
        <v>1</v>
      </c>
      <c r="F646" s="10" t="n"/>
      <c r="G646" s="10" t="inlineStr">
        <is>
          <t>「5本の柱」× AI で “稼ぎ” を安定させる 〜 企業顧問・スポット相談・セミナー・デジタルコンテンツ・個人コンサル、そしてAIで“成約”まで 〜</t>
        </is>
      </c>
      <c r="H646" s="10" t="inlineStr">
        <is>
          <t>ランマッチ</t>
        </is>
      </c>
      <c r="I646" s="10" t="n"/>
      <c r="J646" s="10" t="inlineStr">
        <is>
          <t>こくちーずプロ</t>
        </is>
      </c>
      <c r="K646" s="10" t="inlineStr">
        <is>
          <t>オンライン</t>
        </is>
      </c>
      <c r="L646" s="10" t="inlineStr">
        <is>
          <t>オンライン 日本</t>
        </is>
      </c>
      <c r="M646" s="10" t="inlineStr">
        <is>
          <t>営業・マーケ・CS</t>
        </is>
      </c>
      <c r="N646" s="10" t="inlineStr">
        <is>
          <t>AIエージェント</t>
        </is>
      </c>
      <c r="O646" s="12" t="inlineStr">
        <is>
          <t>○</t>
        </is>
      </c>
      <c r="P646" s="13" t="n">
        <v>0</v>
      </c>
      <c r="Q646" s="12" t="inlineStr">
        <is>
          <t>参加者数</t>
        </is>
      </c>
      <c r="R646" s="14" t="n">
        <v>10</v>
      </c>
      <c r="S646" s="10" t="n"/>
      <c r="T646" s="10" t="inlineStr">
        <is>
          <t>会社員からの新しい働き方【総集編】 「5本の柱」× AI で “稼ぎ” を安定させる 〜 企業顧問・スポット相談・セミナー・デジタルコンテンツ・個人コンサル、そしてAIで“成約”まで 〜 「頑張って働いているのに、収入がひとつの仕事に依存していて不安」——そんな方へ。 パナソニックで35年、独立後7年で60社以上を支援してきた私（大森）が、 会社員時代の経験を“複数の収入の柱”に変える方法を、総集編としてお話しします。 柱は5つ。①企業</t>
        </is>
      </c>
      <c r="U646" s="15" t="inlineStr">
        <is>
          <t>https://www.kokuchpro.com/event/8bb495e72d432108f0c6a294e0475eeb/</t>
        </is>
      </c>
      <c r="V646" s="10" t="n"/>
      <c r="W646" s="10" t="inlineStr">
        <is>
          <t>本文一致</t>
        </is>
      </c>
      <c r="X646" s="10" t="n"/>
    </row>
    <row r="647">
      <c r="A647" s="10" t="n">
        <v>646</v>
      </c>
      <c r="B647" s="24" t="n">
        <v>46293</v>
      </c>
      <c r="C647" s="24" t="n">
        <v>46293</v>
      </c>
      <c r="D647" s="10">
        <f>MONTH(B647)&amp;"月"</f>
        <v/>
      </c>
      <c r="E647" s="12" t="n">
        <v>1</v>
      </c>
      <c r="F647" s="10" t="n"/>
      <c r="G647" s="10" t="inlineStr">
        <is>
          <t>【6席以上のコールセンター向け】AIオペレータ導入で失敗しないために、何を確認すべきか？ 〜AI SaaSで3,600社の導入支援から分かった3つのポイント〜</t>
        </is>
      </c>
      <c r="H647" s="10" t="inlineStr">
        <is>
          <t>株式会社 PKSHA Technology</t>
        </is>
      </c>
      <c r="I647" s="10" t="inlineStr">
        <is>
          <t>マジセミ株式会社</t>
        </is>
      </c>
      <c r="J647" s="10" t="inlineStr">
        <is>
          <t>Doorkeeper</t>
        </is>
      </c>
      <c r="K647" s="10" t="inlineStr">
        <is>
          <t>不明</t>
        </is>
      </c>
      <c r="L647" s="10" t="n"/>
      <c r="M647" s="10" t="inlineStr">
        <is>
          <t>営業・マーケ・CS</t>
        </is>
      </c>
      <c r="N647" s="10" t="inlineStr">
        <is>
          <t>AIエージェント</t>
        </is>
      </c>
      <c r="O647" s="12" t="inlineStr">
        <is>
          <t>○</t>
        </is>
      </c>
      <c r="P647" s="13" t="n">
        <v>0</v>
      </c>
      <c r="Q647" s="12" t="inlineStr">
        <is>
          <t>参加者数</t>
        </is>
      </c>
      <c r="R647" s="14" t="n"/>
      <c r="S647" s="10" t="n"/>
      <c r="T647"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電話対応の自動化は進んだが、思ったより入電が減らないという声 人手不足と応対品質の維持を背景に、コールセンターへのAI音声対応（AIオペレータ／ボイスボット）の導入が急速に進んでいます。 問い合わせ対応</t>
        </is>
      </c>
      <c r="U647" s="15" t="inlineStr">
        <is>
          <t>https://majisemi-business.doorkeeper.jp/events/199241</t>
        </is>
      </c>
      <c r="V647" s="10" t="n"/>
      <c r="W647" s="10" t="inlineStr">
        <is>
          <t>本文一致</t>
        </is>
      </c>
      <c r="X647" s="10" t="n"/>
    </row>
    <row r="648">
      <c r="A648" s="10" t="n">
        <v>647</v>
      </c>
      <c r="B648" s="24" t="n">
        <v>46293</v>
      </c>
      <c r="C648" s="24" t="n">
        <v>46293</v>
      </c>
      <c r="D648" s="10">
        <f>MONTH(B648)&amp;"月"</f>
        <v/>
      </c>
      <c r="E648" s="12" t="n">
        <v>1</v>
      </c>
      <c r="F648" s="10" t="n"/>
      <c r="G648" s="10" t="inlineStr">
        <is>
          <t>【ウェブ解析士会員向けオフィスアワー9月】第一線のプロが語る、実践に役立つウェブ解析</t>
        </is>
      </c>
      <c r="H648" s="10" t="inlineStr">
        <is>
          <t>web-mining</t>
        </is>
      </c>
      <c r="I648" s="10" t="n"/>
      <c r="J648" s="10" t="inlineStr">
        <is>
          <t>Doorkeeper</t>
        </is>
      </c>
      <c r="K648" s="10" t="inlineStr">
        <is>
          <t>不明</t>
        </is>
      </c>
      <c r="L648" s="10" t="n"/>
      <c r="M648" s="10" t="inlineStr">
        <is>
          <t>営業・マーケ・CS</t>
        </is>
      </c>
      <c r="N648" s="10" t="inlineStr">
        <is>
          <t>AIエージェント</t>
        </is>
      </c>
      <c r="O648" s="12" t="inlineStr">
        <is>
          <t>○</t>
        </is>
      </c>
      <c r="P648" s="13" t="n">
        <v>39</v>
      </c>
      <c r="Q648" s="12" t="inlineStr">
        <is>
          <t>参加者数</t>
        </is>
      </c>
      <c r="R648" s="14" t="n"/>
      <c r="S648" s="10" t="n"/>
      <c r="T648" s="10" t="inlineStr">
        <is>
          <t xml:space="preserve"> こちらのセミナーは「参加要件」がございます。 必ずお読みください。 講座概要 ウェブ解析士マスターとウェブ解析士マスター資格取得にチャレンジ中の受講生が、各自20分の持ち時間の中で、専門分野の事例や研究成果、最新のトレンドなど、多彩なテーマを凝縮して発表します。 第一線で活躍するプロフェッショナルたちの様々な知見に触れることができる絶好の機会です。 ウェブ解析の知識を深めたい方、新たな学びを得たい方、ご自身の業務や仕事へのヒントを得た</t>
        </is>
      </c>
      <c r="U648" s="15" t="inlineStr">
        <is>
          <t>https://web-mining.doorkeeper.jp/events/198725</t>
        </is>
      </c>
      <c r="V648" s="10" t="n"/>
      <c r="W648" s="10" t="inlineStr">
        <is>
          <t>本文一致</t>
        </is>
      </c>
      <c r="X648" s="10" t="n"/>
    </row>
    <row r="649">
      <c r="A649" s="10" t="n">
        <v>648</v>
      </c>
      <c r="B649" s="24" t="n">
        <v>46293</v>
      </c>
      <c r="C649" s="24" t="n">
        <v>46293</v>
      </c>
      <c r="D649" s="10">
        <f>MONTH(B649)&amp;"月"</f>
        <v/>
      </c>
      <c r="E649" s="12" t="n">
        <v>1</v>
      </c>
      <c r="F649" s="10" t="n"/>
      <c r="G649" s="10" t="inlineStr">
        <is>
          <t>リクルート流データ基盤塾 第4弾～鶴谷と学ぶ、AIエージェント開発と活用の裏側～</t>
        </is>
      </c>
      <c r="H649" s="10" t="inlineStr">
        <is>
          <t>株式会社リクルート</t>
        </is>
      </c>
      <c r="I649" s="10" t="n"/>
      <c r="J649" s="10" t="inlineStr">
        <is>
          <t>connpass</t>
        </is>
      </c>
      <c r="K649" s="10" t="inlineStr">
        <is>
          <t>オンライン</t>
        </is>
      </c>
      <c r="L649" s="10" t="inlineStr">
        <is>
          <t>オンライン</t>
        </is>
      </c>
      <c r="M649" s="10" t="inlineStr">
        <is>
          <t>開発生産性</t>
        </is>
      </c>
      <c r="N649" s="10" t="inlineStr">
        <is>
          <t>AIエージェント</t>
        </is>
      </c>
      <c r="O649" s="12" t="inlineStr">
        <is>
          <t>○</t>
        </is>
      </c>
      <c r="P649" s="13" t="n">
        <v>229</v>
      </c>
      <c r="Q649" s="12" t="inlineStr">
        <is>
          <t>参加者数</t>
        </is>
      </c>
      <c r="R649" s="14" t="n"/>
      <c r="S649" s="10" t="n"/>
      <c r="T649" s="10" t="n"/>
      <c r="U649" s="15" t="inlineStr">
        <is>
          <t>https://recruit-event.connpass.com/event/402030/</t>
        </is>
      </c>
      <c r="V649" s="10" t="n"/>
      <c r="W649" s="10" t="inlineStr">
        <is>
          <t>タイトル一致</t>
        </is>
      </c>
      <c r="X649" s="10" t="n"/>
    </row>
    <row r="650">
      <c r="A650" s="10" t="n">
        <v>649</v>
      </c>
      <c r="B650" s="24" t="n">
        <v>46293</v>
      </c>
      <c r="C650" s="24" t="n">
        <v>46293</v>
      </c>
      <c r="D650" s="10">
        <f>MONTH(B650)&amp;"月"</f>
        <v/>
      </c>
      <c r="E650" s="12" t="n">
        <v>1</v>
      </c>
      <c r="F650" s="10" t="n"/>
      <c r="G650" s="10" t="inlineStr">
        <is>
          <t>第4回 関西AIエージェント研究会: 活用事例LT ＆ 3分間・作品発表リレー</t>
        </is>
      </c>
      <c r="H650" s="10" t="inlineStr">
        <is>
          <t>関西AIエージェント研究会</t>
        </is>
      </c>
      <c r="I650" s="10" t="n"/>
      <c r="J650" s="10" t="inlineStr">
        <is>
          <t>connpass</t>
        </is>
      </c>
      <c r="K650" s="10" t="inlineStr">
        <is>
          <t>会場</t>
        </is>
      </c>
      <c r="L650" s="10" t="inlineStr">
        <is>
          <t>大阪府大阪市北区天満橋3-3-5 ＴＥＮＭＡ ＩＮＣＵＢＡＴＩＯＮ ＬＡＢ ＴｉＬ</t>
        </is>
      </c>
      <c r="M650" s="10" t="inlineStr">
        <is>
          <t>技術・AI全般</t>
        </is>
      </c>
      <c r="N650" s="10" t="inlineStr">
        <is>
          <t>AIエージェント</t>
        </is>
      </c>
      <c r="O650" s="12" t="inlineStr">
        <is>
          <t>○</t>
        </is>
      </c>
      <c r="P650" s="13" t="n">
        <v>21</v>
      </c>
      <c r="Q650" s="12" t="inlineStr">
        <is>
          <t>参加者数</t>
        </is>
      </c>
      <c r="R650" s="14" t="n">
        <v>33</v>
      </c>
      <c r="S650" s="10" t="n"/>
      <c r="T650" s="10" t="n"/>
      <c r="U650" s="15" t="inlineStr">
        <is>
          <t>https://kansai-aiagent.connpass.com/event/404525/</t>
        </is>
      </c>
      <c r="V650" s="10" t="n"/>
      <c r="W650" s="10" t="inlineStr">
        <is>
          <t>タイトル一致</t>
        </is>
      </c>
      <c r="X650" s="10" t="n"/>
    </row>
    <row r="651">
      <c r="A651" s="10" t="n">
        <v>650</v>
      </c>
      <c r="B651" s="24" t="n">
        <v>46294</v>
      </c>
      <c r="C651" s="24" t="n">
        <v>46294</v>
      </c>
      <c r="D651" s="10">
        <f>MONTH(B651)&amp;"月"</f>
        <v/>
      </c>
      <c r="E651" s="12" t="n">
        <v>1</v>
      </c>
      <c r="F651" s="10" t="n"/>
      <c r="G651" s="10" t="inlineStr">
        <is>
          <t>AI×コンタクトセンター Academia 2026秋　 AIの実力を引き出す、ナレッジ設計とデータ活用の最前線</t>
        </is>
      </c>
      <c r="H651" s="10" t="inlineStr">
        <is>
          <t>Helpfeel</t>
        </is>
      </c>
      <c r="I651" s="10" t="n"/>
      <c r="J651" s="10" t="inlineStr">
        <is>
          <t>TECH PLAY</t>
        </is>
      </c>
      <c r="K651" s="10" t="inlineStr">
        <is>
          <t>オンライン</t>
        </is>
      </c>
      <c r="L651" s="10" t="n"/>
      <c r="M651" s="10" t="inlineStr">
        <is>
          <t>営業・マーケ・CS</t>
        </is>
      </c>
      <c r="N651" s="10" t="inlineStr">
        <is>
          <t>AIエージェント</t>
        </is>
      </c>
      <c r="O651" s="12" t="inlineStr">
        <is>
          <t>○</t>
        </is>
      </c>
      <c r="P651" s="13" t="n">
        <v>2</v>
      </c>
      <c r="Q651" s="12" t="inlineStr">
        <is>
          <t>申込者数</t>
        </is>
      </c>
      <c r="R651" s="14" t="n">
        <v>100</v>
      </c>
      <c r="S651" s="10" t="n"/>
      <c r="T651" s="10" t="inlineStr">
        <is>
          <t>【AI×コンタクトセンター Academia 2026秋】AIの実力を引き出す、ナレッジ設計とデータ活用の最前線 概要 生成AIの進化により、コンタクトセンターやカスタマーサポートの在り方は大きく変わり始めています。 しかし、多くの現場においてAI活用は「業務効率化」や「一部の省人化」に留まっており、自己解決率の向上や抜本的な顧客体験（CX）の改善にまで活かしきれていないのが実状です。 AIを単なるツールとして導入するだけで終わらせず、</t>
        </is>
      </c>
      <c r="U651" s="15" t="inlineStr">
        <is>
          <t>https://techplay.jp/event/1000559</t>
        </is>
      </c>
      <c r="V651" s="10" t="n"/>
      <c r="W651" s="10" t="inlineStr">
        <is>
          <t>本文一致</t>
        </is>
      </c>
      <c r="X651" s="10" t="n"/>
    </row>
    <row r="652">
      <c r="A652" s="10" t="n">
        <v>651</v>
      </c>
      <c r="B652" s="24" t="n">
        <v>46294</v>
      </c>
      <c r="C652" s="24" t="n">
        <v>46294</v>
      </c>
      <c r="D652" s="10">
        <f>MONTH(B652)&amp;"月"</f>
        <v/>
      </c>
      <c r="E652" s="12" t="n">
        <v>1</v>
      </c>
      <c r="F652" s="10" t="n"/>
      <c r="G652" s="10" t="inlineStr">
        <is>
          <t>AIエージェント最前線：何を任せ、どう価値につなげるか</t>
        </is>
      </c>
      <c r="H652" s="10" t="inlineStr">
        <is>
          <t>Microsoft AI Co-Innovation Lab</t>
        </is>
      </c>
      <c r="I652" s="10" t="n"/>
      <c r="J652" s="10" t="inlineStr">
        <is>
          <t>connpass</t>
        </is>
      </c>
      <c r="K652" s="10" t="inlineStr">
        <is>
          <t>会場</t>
        </is>
      </c>
      <c r="L652" s="10" t="inlineStr">
        <is>
          <t>兵庫県神戸市中央区浜辺通5丁目1-14 神戸商工貿易センタービル24F</t>
        </is>
      </c>
      <c r="M652" s="10" t="inlineStr">
        <is>
          <t>技術・AI全般</t>
        </is>
      </c>
      <c r="N652" s="10" t="inlineStr">
        <is>
          <t>AIエージェント</t>
        </is>
      </c>
      <c r="O652" s="12" t="inlineStr">
        <is>
          <t>○</t>
        </is>
      </c>
      <c r="P652" s="13" t="n">
        <v>34</v>
      </c>
      <c r="Q652" s="12" t="inlineStr">
        <is>
          <t>参加者数</t>
        </is>
      </c>
      <c r="R652" s="14" t="n">
        <v>53</v>
      </c>
      <c r="S652" s="10" t="n"/>
      <c r="T652" s="10" t="n"/>
      <c r="U652" s="15" t="inlineStr">
        <is>
          <t>https://kobelab.connpass.com/event/404326/</t>
        </is>
      </c>
      <c r="V652" s="10" t="n"/>
      <c r="W652" s="10" t="inlineStr">
        <is>
          <t>タイトル一致</t>
        </is>
      </c>
      <c r="X652" s="10" t="n"/>
    </row>
    <row r="653">
      <c r="A653" s="10" t="n">
        <v>652</v>
      </c>
      <c r="B653" s="24" t="n">
        <v>46294</v>
      </c>
      <c r="C653" s="24" t="n">
        <v>46294</v>
      </c>
      <c r="D653" s="10">
        <f>MONTH(B653)&amp;"月"</f>
        <v/>
      </c>
      <c r="E653" s="12" t="n">
        <v>1</v>
      </c>
      <c r="F653" s="10" t="n"/>
      <c r="G653" s="10" t="inlineStr">
        <is>
          <t>AI時代のテーブルフォーマット最前線 IcebergとLanceから見る次世代データ基盤の片鱗</t>
        </is>
      </c>
      <c r="H653" s="10" t="inlineStr">
        <is>
          <t>Findy/ファインディ</t>
        </is>
      </c>
      <c r="I653" s="10" t="n"/>
      <c r="J653" s="10" t="inlineStr">
        <is>
          <t>TECH PLAY</t>
        </is>
      </c>
      <c r="K653" s="10" t="inlineStr">
        <is>
          <t>オンライン</t>
        </is>
      </c>
      <c r="L653" s="10" t="n"/>
      <c r="M653" s="10" t="inlineStr">
        <is>
          <t>開発生産性</t>
        </is>
      </c>
      <c r="N653" s="10" t="inlineStr">
        <is>
          <t>AIエージェント</t>
        </is>
      </c>
      <c r="O653" s="12" t="inlineStr">
        <is>
          <t>△</t>
        </is>
      </c>
      <c r="P653" s="13" t="n">
        <v>31</v>
      </c>
      <c r="Q653" s="12" t="inlineStr">
        <is>
          <t>申込者数</t>
        </is>
      </c>
      <c r="R653" s="14" t="n">
        <v>100</v>
      </c>
      <c r="S653" s="10" t="n"/>
      <c r="T653" s="10" t="inlineStr">
        <is>
          <t>✍️イベント概要 AIの進化に伴い、データ基盤にも新たな変化が求められています。 従来の分析ワークロードだけでなく、ベクトル検索や機械学習、マルチモーダルデータなど、これまでとは異なるデータの扱い方が広がる中で、データを支える「テーブルフォーマット」も進化しています。 本イベントでは、オープンなテーブルフォーマットとして広く利用されている Apache Iceberg と、AI・MLワークロードを意識して設計された Lance に焦点を</t>
        </is>
      </c>
      <c r="U653" s="15" t="inlineStr">
        <is>
          <t>https://techplay.jp/event/999790</t>
        </is>
      </c>
      <c r="V653" s="10" t="n"/>
      <c r="W653" s="10" t="inlineStr">
        <is>
          <t>本文一致</t>
        </is>
      </c>
      <c r="X653" s="10" t="n"/>
    </row>
    <row r="654">
      <c r="A654" s="10" t="n">
        <v>653</v>
      </c>
      <c r="B654" s="24" t="n">
        <v>46294</v>
      </c>
      <c r="C654" s="24" t="n">
        <v>46294</v>
      </c>
      <c r="D654" s="10">
        <f>MONTH(B654)&amp;"月"</f>
        <v/>
      </c>
      <c r="E654" s="12" t="n">
        <v>1</v>
      </c>
      <c r="F654" s="10" t="n"/>
      <c r="G654" s="10" t="inlineStr">
        <is>
          <t>CAIOのための「AI時代のBPR」Vol.2【カスタマーサービス編】</t>
        </is>
      </c>
      <c r="H654" s="10" t="inlineStr">
        <is>
          <t>株式会社セールスフォース・ジャパン</t>
        </is>
      </c>
      <c r="I654" s="10" t="n"/>
      <c r="J654" s="10" t="inlineStr">
        <is>
          <t>個別調査（公式サイト・PR TIMES等）</t>
        </is>
      </c>
      <c r="K654" s="10" t="inlineStr">
        <is>
          <t>オンライン</t>
        </is>
      </c>
      <c r="L654" s="10" t="inlineStr">
        <is>
          <t>オンデマンド配信あり</t>
        </is>
      </c>
      <c r="M654" s="10" t="inlineStr">
        <is>
          <t>営業・マーケ・CS</t>
        </is>
      </c>
      <c r="N654" s="10" t="inlineStr">
        <is>
          <t>AIエージェント</t>
        </is>
      </c>
      <c r="O654" s="12" t="inlineStr">
        <is>
          <t>◎</t>
        </is>
      </c>
      <c r="P654" s="13" t="n"/>
      <c r="Q654" s="12" t="inlineStr">
        <is>
          <t>不明</t>
        </is>
      </c>
      <c r="R654" s="14" t="n"/>
      <c r="S654" s="10" t="n"/>
      <c r="T654" s="10" t="inlineStr">
        <is>
          <t>自社サポートで420万回を超えるAIエージェントの会話を行った実績をもとに、カスタマーサービスの組織と業務の再設計を解説する。</t>
        </is>
      </c>
      <c r="U654" s="15" t="inlineStr">
        <is>
          <t>https://www.salesforce.com/jp/events/webinars/ai-bpr-vol2/</t>
        </is>
      </c>
      <c r="V654" s="10" t="n"/>
      <c r="W654" s="10" t="inlineStr">
        <is>
          <t>個別確認</t>
        </is>
      </c>
      <c r="X654" s="10" t="n"/>
    </row>
    <row r="655">
      <c r="A655" s="10" t="n">
        <v>654</v>
      </c>
      <c r="B655" s="24" t="n">
        <v>46294</v>
      </c>
      <c r="C655" s="24" t="n">
        <v>46294</v>
      </c>
      <c r="D655" s="10">
        <f>MONTH(B655)&amp;"月"</f>
        <v/>
      </c>
      <c r="E655" s="12" t="n">
        <v>1</v>
      </c>
      <c r="F655" s="10" t="n"/>
      <c r="G655" s="10" t="inlineStr">
        <is>
          <t>「全社DX」実践ロードマップウェビナー〜外観検査AIの複数拠点展開×機密データを守る生成AI活用〜</t>
        </is>
      </c>
      <c r="H655" s="10" t="inlineStr">
        <is>
          <t>株式会社アイスマイリー</t>
        </is>
      </c>
      <c r="I655" s="10" t="inlineStr">
        <is>
          <t>Superb AI Japan・SCREENアドバンストシステムソリューションズ</t>
        </is>
      </c>
      <c r="J655" s="10" t="inlineStr">
        <is>
          <t>個別調査（公式サイト・PR TIMES等）</t>
        </is>
      </c>
      <c r="K655" s="10" t="inlineStr">
        <is>
          <t>オンライン</t>
        </is>
      </c>
      <c r="L655" s="10" t="n"/>
      <c r="M655" s="10" t="inlineStr">
        <is>
          <t>生産管理・製造・SCM</t>
        </is>
      </c>
      <c r="N655" s="10" t="inlineStr">
        <is>
          <t>AIエージェント</t>
        </is>
      </c>
      <c r="O655" s="12" t="inlineStr">
        <is>
          <t>◎</t>
        </is>
      </c>
      <c r="P655" s="13" t="n"/>
      <c r="Q655" s="12" t="inlineStr">
        <is>
          <t>不明</t>
        </is>
      </c>
      <c r="R655" s="14" t="n"/>
      <c r="S655" s="10" t="n"/>
      <c r="T655" s="10" t="inlineStr">
        <is>
          <t>外観検査AIを全社に広げる方法と、安全な生成AI・AIエージェントの活用による品質改善を解説する。</t>
        </is>
      </c>
      <c r="U655" s="15" t="inlineStr">
        <is>
          <t>https://aismiley.co.jp/ai_news/20260929webinar/</t>
        </is>
      </c>
      <c r="V655" s="10" t="n"/>
      <c r="W655" s="10" t="inlineStr">
        <is>
          <t>個別確認</t>
        </is>
      </c>
      <c r="X655" s="10" t="inlineStr">
        <is>
          <t>品質管理</t>
        </is>
      </c>
    </row>
    <row r="656">
      <c r="A656" s="10" t="n">
        <v>655</v>
      </c>
      <c r="B656" s="24" t="n">
        <v>46294</v>
      </c>
      <c r="C656" s="24" t="n">
        <v>46294</v>
      </c>
      <c r="D656" s="10">
        <f>MONTH(B656)&amp;"月"</f>
        <v/>
      </c>
      <c r="E656" s="12" t="n">
        <v>1</v>
      </c>
      <c r="F656" s="10" t="n"/>
      <c r="G656" s="10" t="inlineStr">
        <is>
          <t>「広告運用人材が足りない。だからAIと働く。」 〜複雑な手作業から現場を解放し、営業利益率を最大化する『伴走型AIエージェント』活用術〜</t>
        </is>
      </c>
      <c r="H656" s="10" t="inlineStr">
        <is>
          <t>（記載なし）</t>
        </is>
      </c>
      <c r="I656" s="10" t="n"/>
      <c r="J656" s="10" t="inlineStr">
        <is>
          <t>こくちーずプロ</t>
        </is>
      </c>
      <c r="K656" s="10" t="inlineStr">
        <is>
          <t>オンライン</t>
        </is>
      </c>
      <c r="L656" s="10" t="inlineStr">
        <is>
          <t>オンライン 日本</t>
        </is>
      </c>
      <c r="M656" s="10" t="inlineStr">
        <is>
          <t>営業・マーケ・CS</t>
        </is>
      </c>
      <c r="N656" s="10" t="inlineStr">
        <is>
          <t>AIエージェント</t>
        </is>
      </c>
      <c r="O656" s="12" t="inlineStr">
        <is>
          <t>◎</t>
        </is>
      </c>
      <c r="P656" s="13" t="n"/>
      <c r="Q656" s="12" t="inlineStr">
        <is>
          <t>不明</t>
        </is>
      </c>
      <c r="R656" s="14" t="n"/>
      <c r="S656" s="10" t="n"/>
      <c r="T656" s="10" t="inlineStr">
        <is>
          <t>「専門人材が採用できない」 「手作業に追われ、運用ノウハウが個人に閉じてしまう」 デジタル広告の需要が高まる一方で、多くの現場がこのような「運用の共通課題」に頭を悩ませています。 また最近では、 「AIを使って自社で運用を自動化できないか？」 「自社開発でインハウス化を進められないか？」 というご相談も増えています。 しかし実際には、各媒体の頻繁な仕様変更・APIアップデートへの対応や膨大な保守コストが壁となり、途中で頓挫してしまうケー</t>
        </is>
      </c>
      <c r="U656" s="15" t="inlineStr">
        <is>
          <t>https://www.kokuchpro.com/event/49f135c83a1c054ace14efaa59a6f0e7/</t>
        </is>
      </c>
      <c r="V656" s="10" t="n"/>
      <c r="W656" s="10" t="inlineStr">
        <is>
          <t>タイトル一致</t>
        </is>
      </c>
      <c r="X656" s="10" t="n"/>
    </row>
    <row r="657">
      <c r="A657" s="10" t="n">
        <v>656</v>
      </c>
      <c r="B657" s="24" t="n">
        <v>46294</v>
      </c>
      <c r="C657" s="24" t="n">
        <v>46294</v>
      </c>
      <c r="D657" s="10">
        <f>MONTH(B657)&amp;"月"</f>
        <v/>
      </c>
      <c r="E657" s="12" t="n">
        <v>1</v>
      </c>
      <c r="F657" s="10" t="n"/>
      <c r="G657" s="10" t="inlineStr">
        <is>
          <t>【9/29(火)18:00】もうキーボードは打たない? — 話した内容がPowerPointになる、音声AI時代の資料作成術</t>
        </is>
      </c>
      <c r="H657" s="10" t="inlineStr">
        <is>
          <t>AIビジネスフォーラム事務局</t>
        </is>
      </c>
      <c r="I657" s="10" t="n"/>
      <c r="J657" s="10" t="inlineStr">
        <is>
          <t>こくちーずプロ</t>
        </is>
      </c>
      <c r="K657" s="10" t="inlineStr">
        <is>
          <t>オンライン</t>
        </is>
      </c>
      <c r="L657" s="10" t="inlineStr">
        <is>
          <t>オンライン 日本</t>
        </is>
      </c>
      <c r="M657" s="10" t="inlineStr">
        <is>
          <t>生産性向上・業務効率化</t>
        </is>
      </c>
      <c r="N657" s="10" t="inlineStr">
        <is>
          <t>AIエージェント</t>
        </is>
      </c>
      <c r="O657" s="12" t="inlineStr">
        <is>
          <t>○</t>
        </is>
      </c>
      <c r="P657" s="13" t="n">
        <v>0</v>
      </c>
      <c r="Q657" s="12" t="inlineStr">
        <is>
          <t>参加者数</t>
        </is>
      </c>
      <c r="R657" s="14" t="n">
        <v>30</v>
      </c>
      <c r="S657" s="10" t="n"/>
      <c r="T657" s="10" t="inlineStr">
        <is>
          <t>もうキーボードは打たない？ 話した内容がPowerPointになる、音声AI時代の資料作成術 今回の勉強会では、キーボードをほとんど使わず、AIと話しながら仕事を形にする方法を紹介します。 話した内容をObsidianに整理し、そこからPowerPoint資料と1ページのホームページを作る流れを、実際のデモでお見せします。難しいプログラミングは使いません。AIに何を伝え、どこを人が確認すればよいのかを、やさしく説明します。 音声AIを会</t>
        </is>
      </c>
      <c r="U657" s="15" t="inlineStr">
        <is>
          <t>https://www.kokuchpro.com/event/333d9bbca58b4985a0eebc72654c7130/</t>
        </is>
      </c>
      <c r="V657" s="10" t="n"/>
      <c r="W657" s="10" t="inlineStr">
        <is>
          <t>本文一致</t>
        </is>
      </c>
      <c r="X657" s="10" t="n"/>
    </row>
    <row r="658">
      <c r="A658" s="10" t="n">
        <v>657</v>
      </c>
      <c r="B658" s="24" t="n">
        <v>46294</v>
      </c>
      <c r="C658" s="24" t="n">
        <v>46294</v>
      </c>
      <c r="D658" s="10">
        <f>MONTH(B658)&amp;"月"</f>
        <v/>
      </c>
      <c r="E658" s="12" t="n">
        <v>1</v>
      </c>
      <c r="F658" s="10" t="n"/>
      <c r="G658" s="10" t="inlineStr">
        <is>
          <t>【9/29・無料】生成AIを個人の道具で終わらせない|ワークフロー型AIエージェント</t>
        </is>
      </c>
      <c r="H658" s="10" t="inlineStr">
        <is>
          <t>サイオニックエーアイ株式会社</t>
        </is>
      </c>
      <c r="I658" s="10" t="n"/>
      <c r="J658" s="10" t="inlineStr">
        <is>
          <t>こくちーずプロ</t>
        </is>
      </c>
      <c r="K658" s="10" t="inlineStr">
        <is>
          <t>オフライン（会場）</t>
        </is>
      </c>
      <c r="L658" s="10" t="inlineStr">
        <is>
          <t>東京国際フォーラム/セミナー会場5 東京都東京都千代田区丸の内3丁目5番1号 東京国際フォーラム</t>
        </is>
      </c>
      <c r="M658" s="10" t="inlineStr">
        <is>
          <t>生産管理・製造・SCM</t>
        </is>
      </c>
      <c r="N658" s="10" t="inlineStr">
        <is>
          <t>AIエージェント</t>
        </is>
      </c>
      <c r="O658" s="12" t="inlineStr">
        <is>
          <t>◎</t>
        </is>
      </c>
      <c r="P658" s="13" t="n"/>
      <c r="Q658" s="12" t="inlineStr">
        <is>
          <t>不明</t>
        </is>
      </c>
      <c r="R658" s="14" t="n"/>
      <c r="S658" s="10" t="n"/>
      <c r="T658" s="10" t="inlineStr">
        <is>
          <t xml:space="preserve">※受講には、日経BP公式サイトでのセミナー登録が必要です。 ChatGPTやGeminiなどの生成AIは、多くの企業で使われるようになりました。一方で、活用が個人の文章作成や情報収集にとどまり、組織の業務プロセスには十分に組み込めていないケースも少なくありません。 本セミナーでは、生成AIを「個人の便利な道具」で終わらせず、企業のシステムとして運用するための「ワークフロー型AIエージェント」について解説します。 あわせて、Sionic </t>
        </is>
      </c>
      <c r="U658" s="15" t="inlineStr">
        <is>
          <t>https://www.kokuchpro.com/event/e4f755292e1dc2a7953505423d6caac5/</t>
        </is>
      </c>
      <c r="V658" s="10" t="n"/>
      <c r="W658" s="10" t="inlineStr">
        <is>
          <t>タイトル一致</t>
        </is>
      </c>
      <c r="X658" s="10" t="n"/>
    </row>
    <row r="659">
      <c r="A659" s="10" t="n">
        <v>658</v>
      </c>
      <c r="B659" s="24" t="n">
        <v>46294</v>
      </c>
      <c r="C659" s="24" t="n">
        <v>46294</v>
      </c>
      <c r="D659" s="10">
        <f>MONTH(B659)&amp;"月"</f>
        <v/>
      </c>
      <c r="E659" s="12" t="n">
        <v>1</v>
      </c>
      <c r="F659" s="10" t="n"/>
      <c r="G659" s="10" t="inlineStr">
        <is>
          <t>【Claude Code】世界のスタートアップが必死に求める「GTMエンジニア」とは</t>
        </is>
      </c>
      <c r="H659" s="10" t="inlineStr">
        <is>
          <t>#Offers_DeepDive / オファーズ</t>
        </is>
      </c>
      <c r="I659" s="10" t="n"/>
      <c r="J659" s="10" t="inlineStr">
        <is>
          <t>connpass</t>
        </is>
      </c>
      <c r="K659" s="10" t="inlineStr">
        <is>
          <t>オンライン</t>
        </is>
      </c>
      <c r="L659" s="10" t="inlineStr">
        <is>
          <t>オンライン</t>
        </is>
      </c>
      <c r="M659" s="10" t="inlineStr">
        <is>
          <t>開発生産性</t>
        </is>
      </c>
      <c r="N659" s="10" t="inlineStr">
        <is>
          <t>AIエージェント</t>
        </is>
      </c>
      <c r="O659" s="12" t="inlineStr">
        <is>
          <t>○</t>
        </is>
      </c>
      <c r="P659" s="13" t="n">
        <v>112</v>
      </c>
      <c r="Q659" s="12" t="inlineStr">
        <is>
          <t>参加者数</t>
        </is>
      </c>
      <c r="R659" s="14" t="n"/>
      <c r="S659" s="10" t="n"/>
      <c r="T659" s="10" t="n"/>
      <c r="U659" s="15" t="inlineStr">
        <is>
          <t>https://offers-jp.connpass.com/event/405148/</t>
        </is>
      </c>
      <c r="V659" s="10" t="n"/>
      <c r="W659" s="10" t="inlineStr">
        <is>
          <t>タイトル一致</t>
        </is>
      </c>
      <c r="X659" s="10" t="n"/>
    </row>
    <row r="660">
      <c r="A660" s="10" t="n">
        <v>659</v>
      </c>
      <c r="B660" s="24" t="n">
        <v>46294</v>
      </c>
      <c r="C660" s="24" t="n">
        <v>46294</v>
      </c>
      <c r="D660" s="10">
        <f>MONTH(B660)&amp;"月"</f>
        <v/>
      </c>
      <c r="E660" s="12" t="n">
        <v>1</v>
      </c>
      <c r="F660" s="10" t="n"/>
      <c r="G660" s="10" t="inlineStr">
        <is>
          <t>【IBM i ユーザー必見】kozokaAI、「コゾカAI 受注AIエージェント×IBM i 連携」無料ウェビナーを9月29日(火)に開催〜塩漬けデータを開放する、AIエージェント活用のロードマップ〜</t>
        </is>
      </c>
      <c r="H660" s="10" t="inlineStr">
        <is>
          <t>株式会社kozokaAI</t>
        </is>
      </c>
      <c r="I660" s="10" t="n"/>
      <c r="J660" s="10" t="inlineStr">
        <is>
          <t>PR TIMES</t>
        </is>
      </c>
      <c r="K660" s="10" t="inlineStr">
        <is>
          <t>online</t>
        </is>
      </c>
      <c r="L660" s="10" t="inlineStr">
        <is>
          <t>オンライン形式（Zoom）</t>
        </is>
      </c>
      <c r="M660" s="10" t="inlineStr">
        <is>
          <t>生産性向上・業務効率化</t>
        </is>
      </c>
      <c r="N660" s="10" t="inlineStr">
        <is>
          <t>AIエージェント</t>
        </is>
      </c>
      <c r="O660" s="12" t="inlineStr">
        <is>
          <t>◎</t>
        </is>
      </c>
      <c r="P660" s="13" t="n"/>
      <c r="Q660" s="12" t="inlineStr">
        <is>
          <t>不明</t>
        </is>
      </c>
      <c r="R660" s="14" t="n"/>
      <c r="S660" s="10" t="n"/>
      <c r="T660" s="10" t="inlineStr">
        <is>
          <t>株式会社kozokaAI（本社：東京都渋谷区、代表取締役：藤井 星多、以下「当社」）は、2026年9月29日（火）14:00より、受注業務自動化AIソリューション「コゾカAI 受注AIエージェント」と基幹システム「IBM i（AS/400等）」の連携に焦点を当てた無料オンラインセミナーを開催いたします。 ■ ウェビナー開催の背景 FAXやPDFなど多様なフォーマットで届く注文書の処理や、基幹システムへの手入力作業は、多くの企業においてい</t>
        </is>
      </c>
      <c r="U660" s="15" t="inlineStr">
        <is>
          <t>https://prtimes.jp/main/html/rd/p/000000026.000175889.html</t>
        </is>
      </c>
      <c r="V660" s="10" t="n"/>
      <c r="W660" s="10" t="inlineStr">
        <is>
          <t>タイトル一致</t>
        </is>
      </c>
      <c r="X660" s="10" t="n"/>
    </row>
    <row r="661">
      <c r="A661" s="10" t="n">
        <v>660</v>
      </c>
      <c r="B661" s="24" t="n">
        <v>46294</v>
      </c>
      <c r="C661" s="24" t="n">
        <v>46295</v>
      </c>
      <c r="D661" s="10">
        <f>MONTH(B661)&amp;"月"</f>
        <v/>
      </c>
      <c r="E661" s="12" t="n">
        <v>1</v>
      </c>
      <c r="F661" s="10" t="n"/>
      <c r="G661" s="10" t="inlineStr">
        <is>
          <t>【無料/事前登録制】サイオニックエーアイ、「日経クロステックNEXT 東京 2026」に出展、AIエージェントとRAGをテーマに2セッションで講演</t>
        </is>
      </c>
      <c r="H661" s="10" t="inlineStr">
        <is>
          <t>サイオニックエーアイ</t>
        </is>
      </c>
      <c r="I661" s="10" t="n"/>
      <c r="J661" s="10" t="inlineStr">
        <is>
          <t>TECH PLAY</t>
        </is>
      </c>
      <c r="K661" s="10" t="inlineStr">
        <is>
          <t>会場</t>
        </is>
      </c>
      <c r="L661" s="10" t="inlineStr">
        <is>
          <t>東京国際フォーラム ホールE 東京都千代田区丸の内3丁目5番1号</t>
        </is>
      </c>
      <c r="M661" s="10" t="inlineStr">
        <is>
          <t>営業・マーケ・CS</t>
        </is>
      </c>
      <c r="N661" s="10" t="inlineStr">
        <is>
          <t>AIエージェント</t>
        </is>
      </c>
      <c r="O661" s="12" t="inlineStr">
        <is>
          <t>◎</t>
        </is>
      </c>
      <c r="P661" s="13" t="n"/>
      <c r="Q661" s="12" t="inlineStr">
        <is>
          <t>非公開</t>
        </is>
      </c>
      <c r="R661" s="14" t="n">
        <v>1500</v>
      </c>
      <c r="S661" s="10" t="n"/>
      <c r="T661" s="10" t="inlineStr">
        <is>
          <t>【出展のお知らせ】サイオニックエーアイ、「日経クロステックNEXT 東京 2026」でAIエージェント・RAGをテーマに2セッション登壇 概要 ChatGPTやGeminiなどの生成AIは、業務で活用される場面が増えています。 一方で、社内に蓄積された文書や業務データを、AIエージェントやRAGでどこまで実務に組み込めるかは、多くの企業にとって依然として課題です。 サイオニックエーアイ株式会社は、2026年9月29日（火）・30日（水）</t>
        </is>
      </c>
      <c r="U661" s="15" t="inlineStr">
        <is>
          <t>https://techplay.jp/event/1000486</t>
        </is>
      </c>
      <c r="V661" s="10" t="n"/>
      <c r="W661" s="10" t="inlineStr">
        <is>
          <t>タイトル一致</t>
        </is>
      </c>
      <c r="X661" s="10" t="n"/>
    </row>
    <row r="662">
      <c r="A662" s="10" t="n">
        <v>661</v>
      </c>
      <c r="B662" s="24" t="n">
        <v>46294</v>
      </c>
      <c r="C662" s="24" t="n">
        <v>46294</v>
      </c>
      <c r="D662" s="10">
        <f>MONTH(B662)&amp;"月"</f>
        <v/>
      </c>
      <c r="E662" s="12" t="n">
        <v>1</v>
      </c>
      <c r="F662" s="10" t="n"/>
      <c r="G662" s="10" t="inlineStr">
        <is>
          <t>コンテキストとエージェントの記憶 ーAIが組織で働くための設計</t>
        </is>
      </c>
      <c r="H662" s="10" t="inlineStr">
        <is>
          <t>データ横丁</t>
        </is>
      </c>
      <c r="I662" s="10" t="n"/>
      <c r="J662" s="10" t="inlineStr">
        <is>
          <t>connpass</t>
        </is>
      </c>
      <c r="K662" s="10" t="inlineStr">
        <is>
          <t>オンライン</t>
        </is>
      </c>
      <c r="L662" s="10" t="inlineStr">
        <is>
          <t>オンライン</t>
        </is>
      </c>
      <c r="M662" s="10" t="inlineStr">
        <is>
          <t>技術・AI全般</t>
        </is>
      </c>
      <c r="N662" s="10" t="inlineStr">
        <is>
          <t>AIエージェント</t>
        </is>
      </c>
      <c r="O662" s="12" t="inlineStr">
        <is>
          <t>○</t>
        </is>
      </c>
      <c r="P662" s="13" t="n">
        <v>113</v>
      </c>
      <c r="Q662" s="12" t="inlineStr">
        <is>
          <t>参加者数</t>
        </is>
      </c>
      <c r="R662" s="14" t="n"/>
      <c r="S662" s="10" t="n"/>
      <c r="T662" s="10" t="n"/>
      <c r="U662" s="15" t="inlineStr">
        <is>
          <t>https://datayokocho.connpass.com/event/404893/</t>
        </is>
      </c>
      <c r="V662" s="10" t="n"/>
      <c r="W662" s="10" t="inlineStr">
        <is>
          <t>タイトル一致</t>
        </is>
      </c>
      <c r="X662" s="10" t="n"/>
    </row>
    <row r="663">
      <c r="A663" s="10" t="n">
        <v>662</v>
      </c>
      <c r="B663" s="24" t="n">
        <v>46294</v>
      </c>
      <c r="C663" s="24" t="n">
        <v>46294</v>
      </c>
      <c r="D663" s="10">
        <f>MONTH(B663)&amp;"月"</f>
        <v/>
      </c>
      <c r="E663" s="12" t="n">
        <v>1</v>
      </c>
      <c r="F663" s="10" t="n"/>
      <c r="G663" s="10" t="inlineStr">
        <is>
          <t>中堅企業の成長条件とAIネイティブ経営への推進ステップ ～自社に即したAI実装モデルで現実を変える～</t>
        </is>
      </c>
      <c r="H663" s="10" t="inlineStr">
        <is>
          <t>株式会社タナベコンサルティング</t>
        </is>
      </c>
      <c r="I663" s="10" t="inlineStr">
        <is>
          <t>マジセミ株式会社</t>
        </is>
      </c>
      <c r="J663" s="10" t="inlineStr">
        <is>
          <t>Doorkeeper</t>
        </is>
      </c>
      <c r="K663" s="10" t="inlineStr">
        <is>
          <t>オンライン</t>
        </is>
      </c>
      <c r="L663" s="10" t="inlineStr">
        <is>
          <t>Webセミナー（URLは主催企業からメールでお知らせします） オンライン</t>
        </is>
      </c>
      <c r="M663" s="10" t="inlineStr">
        <is>
          <t>生産性向上・業務効率化</t>
        </is>
      </c>
      <c r="N663" s="10" t="inlineStr">
        <is>
          <t>AIエージェント</t>
        </is>
      </c>
      <c r="O663" s="12" t="inlineStr">
        <is>
          <t>○</t>
        </is>
      </c>
      <c r="P663" s="13" t="n">
        <v>7</v>
      </c>
      <c r="Q663" s="12" t="inlineStr">
        <is>
          <t>参加者数</t>
        </is>
      </c>
      <c r="R663" s="14" t="n">
        <v>7</v>
      </c>
      <c r="S663" s="10" t="n"/>
      <c r="T663" s="10" t="inlineStr">
        <is>
          <t xml:space="preserve"> 本セミナーはWebセミナーです 参加方法（URL）は主催企業より直接メールにてご連絡いたします。 「tanabeconsulting.co.jp」「osslabo.com」「majisemi.com」からのメールが迷惑メールとならないよう、メールの設定をご確認下さい。 概要 AIを"使ってみる"段階から、AIで"経営を変える"段階へ。中堅企業を取り巻く成長条件を整理したうえで、自社に合ったAI導入アプローチの選び方・推進ステップを、当</t>
        </is>
      </c>
      <c r="U663" s="15" t="inlineStr">
        <is>
          <t>https://majisemi-technology.doorkeeper.jp/events/199055</t>
        </is>
      </c>
      <c r="V663" s="10" t="n"/>
      <c r="W663" s="10" t="inlineStr">
        <is>
          <t>本文一致</t>
        </is>
      </c>
      <c r="X663" s="10" t="n"/>
    </row>
    <row r="664">
      <c r="A664" s="10" t="n">
        <v>663</v>
      </c>
      <c r="B664" s="24" t="n">
        <v>46294</v>
      </c>
      <c r="C664" s="24" t="n">
        <v>46294</v>
      </c>
      <c r="D664" s="10">
        <f>MONTH(B664)&amp;"月"</f>
        <v/>
      </c>
      <c r="E664" s="12" t="n">
        <v>1</v>
      </c>
      <c r="F664" s="10" t="n"/>
      <c r="G664" s="10" t="inlineStr">
        <is>
          <t>問い合わせ対応をAIで自動化!自社専用LINE Bot作成実践研修</t>
        </is>
      </c>
      <c r="H664" s="10" t="inlineStr">
        <is>
          <t>AI経営ビジネスサミット事務局</t>
        </is>
      </c>
      <c r="I664" s="10" t="n"/>
      <c r="J664" s="10" t="inlineStr">
        <is>
          <t>こくちーずプロ</t>
        </is>
      </c>
      <c r="K664" s="10" t="inlineStr">
        <is>
          <t>オフライン（会場）</t>
        </is>
      </c>
      <c r="L664" s="10" t="inlineStr">
        <is>
          <t>モティベーション大学 愛知県名古屋市中村区名駅5-31-10 リンクス名駅ビル12階</t>
        </is>
      </c>
      <c r="M664" s="10" t="inlineStr">
        <is>
          <t>営業・マーケ・CS</t>
        </is>
      </c>
      <c r="N664" s="10" t="inlineStr">
        <is>
          <t>AIエージェント</t>
        </is>
      </c>
      <c r="O664" s="12" t="inlineStr">
        <is>
          <t>○</t>
        </is>
      </c>
      <c r="P664" s="13" t="n"/>
      <c r="Q664" s="12" t="inlineStr">
        <is>
          <t>不明</t>
        </is>
      </c>
      <c r="R664" s="14" t="n"/>
      <c r="S664" s="10" t="n"/>
      <c r="T664" s="10" t="inlineStr">
        <is>
          <t>問い合わせ対応をAIで自動化！自社専用LINE Bot作成実践研修 毎日の対応業務を、もっとラクに。 自社の商品・サービスについて答える LINE Bot を、その場で作って持ち帰る実践研修。 「営業時間は？」 「料金はいくらですか？」 「このサービスについて詳しく教えてください」 毎日のように繰り返される、お客様からの問い合わせ。 一つひとつは短い対応でも、積み重なると大きな時間になります。 今回の研修では、 自社の商品・サービスにつ</t>
        </is>
      </c>
      <c r="U664" s="15" t="inlineStr">
        <is>
          <t>https://www.kokuchpro.com/event/51805aaf1e5cde60cdac193db0ddb06b/</t>
        </is>
      </c>
      <c r="V664" s="10" t="n"/>
      <c r="W664" s="10" t="inlineStr">
        <is>
          <t>本文一致</t>
        </is>
      </c>
      <c r="X664" s="10" t="n"/>
    </row>
    <row r="665">
      <c r="A665" s="10" t="n">
        <v>664</v>
      </c>
      <c r="B665" s="24" t="n">
        <v>46294</v>
      </c>
      <c r="C665" s="24" t="n">
        <v>46295</v>
      </c>
      <c r="D665" s="10">
        <f>MONTH(B665)&amp;"月"</f>
        <v/>
      </c>
      <c r="E665" s="12" t="n">
        <v>1</v>
      </c>
      <c r="F665" s="10" t="n"/>
      <c r="G665" s="10" t="inlineStr">
        <is>
          <t>未来をつくるテクノロジー展 日経クロステックNEXT 東京 2026</t>
        </is>
      </c>
      <c r="H665" s="10" t="inlineStr">
        <is>
          <t>日経BP</t>
        </is>
      </c>
      <c r="I665" s="10" t="n"/>
      <c r="J665" s="10" t="inlineStr">
        <is>
          <t>個別調査（公式サイト・PR TIMES等）</t>
        </is>
      </c>
      <c r="K665" s="10" t="inlineStr">
        <is>
          <t>会場</t>
        </is>
      </c>
      <c r="L665" s="10" t="inlineStr">
        <is>
          <t>東京国際フォーラム</t>
        </is>
      </c>
      <c r="M665" s="10" t="inlineStr">
        <is>
          <t>大型カンファレンス・展示会</t>
        </is>
      </c>
      <c r="N665" s="10" t="inlineStr">
        <is>
          <t>AIエージェント</t>
        </is>
      </c>
      <c r="O665" s="12" t="inlineStr">
        <is>
          <t>◎</t>
        </is>
      </c>
      <c r="P665" s="13" t="n"/>
      <c r="Q665" s="12" t="inlineStr">
        <is>
          <t>不明</t>
        </is>
      </c>
      <c r="R665" s="14" t="n"/>
      <c r="S665" s="10" t="inlineStr">
        <is>
          <t>開催直後のため、数値は未発表</t>
        </is>
      </c>
      <c r="T665" s="10" t="inlineStr">
        <is>
          <t>「AIエージェントによる業務変革」を主要テーマのひとつとする展示と講演。製造業へのフィジカルAIの実装も扱う。</t>
        </is>
      </c>
      <c r="U665" s="15" t="inlineStr">
        <is>
          <t>https://www.nikkeibp.co.jp/atcl/newsrelease/corp/20260820_2/</t>
        </is>
      </c>
      <c r="V665" s="15" t="inlineStr">
        <is>
          <t>https://xtech.nikkei.com/atcl/nxt/column/18/03745/092800023/</t>
        </is>
      </c>
      <c r="W665" s="10" t="inlineStr">
        <is>
          <t>個別確認</t>
        </is>
      </c>
      <c r="X665" s="10" t="n"/>
    </row>
    <row r="666">
      <c r="A666" s="10" t="n">
        <v>665</v>
      </c>
      <c r="B666" s="24" t="n">
        <v>46294</v>
      </c>
      <c r="C666" s="24" t="n">
        <v>46294</v>
      </c>
      <c r="D666" s="10">
        <f>MONTH(B666)&amp;"月"</f>
        <v/>
      </c>
      <c r="E666" s="12" t="n">
        <v>1</v>
      </c>
      <c r="F666" s="10" t="n"/>
      <c r="G666" s="10" t="inlineStr">
        <is>
          <t>生成AIを「使う」から「使いこなす」へ全社教育できていますか？ ～生成AI活用の理解からハンズオンによる育成、現場定着まで一気通貫で伴走支援～</t>
        </is>
      </c>
      <c r="H666" s="10" t="inlineStr">
        <is>
          <t>テクノプロ・ホールディングス株式会社 株式会社テクノプロ コンサルティング・パートナーズ社</t>
        </is>
      </c>
      <c r="I666" s="10" t="inlineStr">
        <is>
          <t>テクノプロ・ホールディングス株式会社 株式会社テクノプロ コンサルティング・パートナーズ社</t>
        </is>
      </c>
      <c r="J666" s="10" t="inlineStr">
        <is>
          <t>Doorkeeper</t>
        </is>
      </c>
      <c r="K666" s="10" t="inlineStr">
        <is>
          <t>不明</t>
        </is>
      </c>
      <c r="L666" s="10" t="n"/>
      <c r="M666" s="10" t="inlineStr">
        <is>
          <t>生産管理・製造・SCM</t>
        </is>
      </c>
      <c r="N666" s="10" t="inlineStr">
        <is>
          <t>AIエージェント</t>
        </is>
      </c>
      <c r="O666" s="12" t="inlineStr">
        <is>
          <t>○</t>
        </is>
      </c>
      <c r="P666" s="13" t="n">
        <v>3</v>
      </c>
      <c r="Q666" s="12" t="inlineStr">
        <is>
          <t>参加者数</t>
        </is>
      </c>
      <c r="R666" s="14" t="n">
        <v>3</v>
      </c>
      <c r="S666" s="10" t="n"/>
      <c r="T666" s="10" t="inlineStr">
        <is>
          <t xml:space="preserve"> 本セミナーはWebセミナーです ツールはZoomを使います。URLは直前にメールにてご連絡いたします。 なお、「osslabo.com」「majisemi.com」からのメールが迷惑メールとならないよう、メールの設定をご確認ください。 本セミナーは、生成AIの研修や導入を一通り終えたものの、実務での定着や全社展開に課題を感じている企業様に向けた内容です。個人利用にとどまらず、組織全体の成果につなげたい方はぜひご覧ください。 現場でよく</t>
        </is>
      </c>
      <c r="U666" s="15" t="inlineStr">
        <is>
          <t>https://majisemi-technology.doorkeeper.jp/events/199233</t>
        </is>
      </c>
      <c r="V666" s="10" t="n"/>
      <c r="W666" s="10" t="inlineStr">
        <is>
          <t>本文一致</t>
        </is>
      </c>
      <c r="X666" s="10" t="n"/>
    </row>
    <row r="667">
      <c r="A667" s="10" t="n">
        <v>666</v>
      </c>
      <c r="B667" s="24" t="n">
        <v>46295</v>
      </c>
      <c r="C667" s="24" t="n">
        <v>46295</v>
      </c>
      <c r="D667" s="10">
        <f>MONTH(B667)&amp;"月"</f>
        <v/>
      </c>
      <c r="E667" s="12" t="n">
        <v>1</v>
      </c>
      <c r="F667" s="10" t="n"/>
      <c r="G667" s="10" t="inlineStr">
        <is>
          <t>9/30(水) 16:00-【見逃し配信】オンラインカンファレンス_日本郵船が挑む、1,000件の塩漬けデータから始めるAIエージェント実装</t>
        </is>
      </c>
      <c r="H667" s="10" t="inlineStr">
        <is>
          <t>skillupai</t>
        </is>
      </c>
      <c r="I667" s="10" t="n"/>
      <c r="J667" s="10" t="inlineStr">
        <is>
          <t>Doorkeeper</t>
        </is>
      </c>
      <c r="K667" s="10" t="inlineStr">
        <is>
          <t>オンライン</t>
        </is>
      </c>
      <c r="L667" s="10" t="n"/>
      <c r="M667" s="10" t="inlineStr">
        <is>
          <t>開発生産性</t>
        </is>
      </c>
      <c r="N667" s="10" t="inlineStr">
        <is>
          <t>AIエージェント</t>
        </is>
      </c>
      <c r="O667" s="12" t="inlineStr">
        <is>
          <t>○</t>
        </is>
      </c>
      <c r="P667" s="13" t="n">
        <v>2</v>
      </c>
      <c r="Q667" s="12" t="inlineStr">
        <is>
          <t>参加者数</t>
        </is>
      </c>
      <c r="R667" s="14" t="n">
        <v>30</v>
      </c>
      <c r="S667" s="10" t="n"/>
      <c r="T667" s="10" t="inlineStr">
        <is>
          <t xml:space="preserve"> ■ プログラム概要 2026年8月に開催されたオンラインカンファレンス「Agentic AI Transformation Day 2026｜「Microsoft Copilot」活用の現在地と、次なるアプローチ」の見逃し配信に、当日いただいたご質問を加えた再配信セミナーです。 【ご視聴特典】 本セミナーにご参加いただいた方に、オンラインカンファレンス当日に参加者から寄せられたご質問と回答をまとめた「Q&amp;A回答集（日本郵船パート）」を</t>
        </is>
      </c>
      <c r="U667" s="15" t="inlineStr">
        <is>
          <t>https://skillupai.doorkeeper.jp/events/199413</t>
        </is>
      </c>
      <c r="V667" s="10" t="n"/>
      <c r="W667" s="10" t="inlineStr">
        <is>
          <t>タイトル一致</t>
        </is>
      </c>
      <c r="X667" s="10" t="n"/>
    </row>
    <row r="668">
      <c r="A668" s="10" t="n">
        <v>667</v>
      </c>
      <c r="B668" s="24" t="n">
        <v>46295</v>
      </c>
      <c r="C668" s="24" t="n">
        <v>46295</v>
      </c>
      <c r="D668" s="10">
        <f>MONTH(B668)&amp;"月"</f>
        <v/>
      </c>
      <c r="E668" s="12" t="n">
        <v>1</v>
      </c>
      <c r="F668" s="10" t="n"/>
      <c r="G668" s="10" t="inlineStr">
        <is>
          <t>AIコーディングエージェント知見共有会</t>
        </is>
      </c>
      <c r="H668" s="10" t="inlineStr">
        <is>
          <t>FFFFF</t>
        </is>
      </c>
      <c r="I668" s="10" t="n"/>
      <c r="J668" s="10" t="inlineStr">
        <is>
          <t>connpass</t>
        </is>
      </c>
      <c r="K668" s="10" t="inlineStr">
        <is>
          <t>会場</t>
        </is>
      </c>
      <c r="L668" s="10" t="inlineStr">
        <is>
          <t>東京都千代田区神田佐久間町3-37-1 山茂登ビル 3階 FFFFF Cafe</t>
        </is>
      </c>
      <c r="M668" s="10" t="inlineStr">
        <is>
          <t>開発生産性</t>
        </is>
      </c>
      <c r="N668" s="10" t="inlineStr">
        <is>
          <t>AIエージェント</t>
        </is>
      </c>
      <c r="O668" s="12" t="inlineStr">
        <is>
          <t>○</t>
        </is>
      </c>
      <c r="P668" s="13" t="n">
        <v>4</v>
      </c>
      <c r="Q668" s="12" t="inlineStr">
        <is>
          <t>参加者数</t>
        </is>
      </c>
      <c r="R668" s="14" t="n">
        <v>15</v>
      </c>
      <c r="S668" s="10" t="n"/>
      <c r="T668" s="10" t="n"/>
      <c r="U668" s="15" t="inlineStr">
        <is>
          <t>https://fffff.connpass.com/event/403077/</t>
        </is>
      </c>
      <c r="V668" s="10" t="n"/>
      <c r="W668" s="10" t="inlineStr">
        <is>
          <t>タイトル一致</t>
        </is>
      </c>
      <c r="X668" s="10" t="n"/>
    </row>
    <row r="669">
      <c r="A669" s="10" t="n">
        <v>668</v>
      </c>
      <c r="B669" s="24" t="n">
        <v>46295</v>
      </c>
      <c r="C669" s="24" t="n">
        <v>46295</v>
      </c>
      <c r="D669" s="10">
        <f>MONTH(B669)&amp;"月"</f>
        <v/>
      </c>
      <c r="E669" s="12" t="n">
        <v>1</v>
      </c>
      <c r="F669" s="10" t="n"/>
      <c r="G669" s="10" t="inlineStr">
        <is>
          <t>ChatGPT 6（Astra）が画面を見て操作する。連携できない業務アプリを動かすライブ実演セミナー</t>
        </is>
      </c>
      <c r="H669" s="10" t="inlineStr">
        <is>
          <t>株式会社ノヴァリス</t>
        </is>
      </c>
      <c r="I669" s="10" t="n"/>
      <c r="J669" s="10" t="inlineStr">
        <is>
          <t>TECH PLAY</t>
        </is>
      </c>
      <c r="K669" s="10" t="inlineStr">
        <is>
          <t>オンライン</t>
        </is>
      </c>
      <c r="L669" s="10" t="n"/>
      <c r="M669" s="10" t="inlineStr">
        <is>
          <t>生産性向上・業務効率化</t>
        </is>
      </c>
      <c r="N669" s="10" t="inlineStr">
        <is>
          <t>AIエージェント</t>
        </is>
      </c>
      <c r="O669" s="12" t="inlineStr">
        <is>
          <t>○</t>
        </is>
      </c>
      <c r="P669" s="13" t="n">
        <v>13</v>
      </c>
      <c r="Q669" s="12" t="inlineStr">
        <is>
          <t>申込者数</t>
        </is>
      </c>
      <c r="R669" s="14" t="n">
        <v>16</v>
      </c>
      <c r="S669" s="10" t="n"/>
      <c r="T669" s="10" t="inlineStr">
        <is>
          <t>ChatGPT 6（Astra）が画面を見て操作する。連携できない業務アプリを動かすライブ実演セミナー 参加無料 / オンライン / 60分 ※ご参加特典あり：現場で使われている自動化事例をまとめた『Claude Code / Codex 自動化活用事例集 30選』（全82ページ）を、当日ご参加の方全員に無料でお渡しします。 ■ 「うちのシステムは連携できないので」で、止まっていませんか 自動化の話は、いつも同じところで止まります。メー</t>
        </is>
      </c>
      <c r="U669" s="15" t="inlineStr">
        <is>
          <t>https://techplay.jp/event/1000833</t>
        </is>
      </c>
      <c r="V669" s="10" t="n"/>
      <c r="W669" s="10" t="inlineStr">
        <is>
          <t>本文一致</t>
        </is>
      </c>
      <c r="X669" s="10" t="n"/>
    </row>
    <row r="670">
      <c r="A670" s="10" t="n">
        <v>669</v>
      </c>
      <c r="B670" s="24" t="n">
        <v>46295</v>
      </c>
      <c r="C670" s="24" t="n">
        <v>46295</v>
      </c>
      <c r="D670" s="10">
        <f>MONTH(B670)&amp;"月"</f>
        <v/>
      </c>
      <c r="E670" s="12" t="n">
        <v>1</v>
      </c>
      <c r="F670" s="10" t="n"/>
      <c r="G670" s="10" t="inlineStr">
        <is>
          <t>Sansan Tech Talk @関西 vol.6～AIエージェント実践～</t>
        </is>
      </c>
      <c r="H670" s="10" t="inlineStr">
        <is>
          <t>Sansan株式会社</t>
        </is>
      </c>
      <c r="I670" s="10" t="n"/>
      <c r="J670" s="10" t="inlineStr">
        <is>
          <t>connpass</t>
        </is>
      </c>
      <c r="K670" s="10" t="inlineStr">
        <is>
          <t>会場</t>
        </is>
      </c>
      <c r="L670" s="10" t="inlineStr">
        <is>
          <t>大阪府大阪市北区堂島浜1-4-19 (関電不動産堂島浜ビル 3F)</t>
        </is>
      </c>
      <c r="M670" s="10" t="inlineStr">
        <is>
          <t>営業・マーケ・CS</t>
        </is>
      </c>
      <c r="N670" s="10" t="inlineStr">
        <is>
          <t>AIエージェント</t>
        </is>
      </c>
      <c r="O670" s="12" t="inlineStr">
        <is>
          <t>◎</t>
        </is>
      </c>
      <c r="P670" s="13" t="n">
        <v>27</v>
      </c>
      <c r="Q670" s="12" t="inlineStr">
        <is>
          <t>参加者数</t>
        </is>
      </c>
      <c r="R670" s="14" t="n">
        <v>32</v>
      </c>
      <c r="S670" s="10" t="n"/>
      <c r="T670" s="10" t="n"/>
      <c r="U670" s="15" t="inlineStr">
        <is>
          <t>https://sansan.connpass.com/event/404019/</t>
        </is>
      </c>
      <c r="V670" s="10" t="n"/>
      <c r="W670" s="10" t="inlineStr">
        <is>
          <t>タイトル一致</t>
        </is>
      </c>
      <c r="X670" s="10" t="n"/>
    </row>
    <row r="671">
      <c r="A671" s="10" t="n">
        <v>670</v>
      </c>
      <c r="B671" s="24" t="n">
        <v>46295</v>
      </c>
      <c r="C671" s="24" t="n">
        <v>46295</v>
      </c>
      <c r="D671" s="10">
        <f>MONTH(B671)&amp;"月"</f>
        <v/>
      </c>
      <c r="E671" s="12" t="n">
        <v>1</v>
      </c>
      <c r="F671" s="10" t="n"/>
      <c r="G671" s="10" t="inlineStr">
        <is>
          <t>【9月～11月/Webセミナー】はじめてのMicrosoft 365 Copilot Agent Builderを開催いたします</t>
        </is>
      </c>
      <c r="H671" s="10" t="inlineStr">
        <is>
          <t>テクバン株式会社</t>
        </is>
      </c>
      <c r="I671" s="10" t="n"/>
      <c r="J671" s="10" t="inlineStr">
        <is>
          <t>PR TIMES</t>
        </is>
      </c>
      <c r="K671" s="10" t="inlineStr">
        <is>
          <t>online</t>
        </is>
      </c>
      <c r="L671" s="10" t="inlineStr">
        <is>
          <t>オンライン</t>
        </is>
      </c>
      <c r="M671" s="10" t="inlineStr">
        <is>
          <t>生産性向上・業務効率化</t>
        </is>
      </c>
      <c r="N671" s="10" t="inlineStr">
        <is>
          <t>AIエージェント</t>
        </is>
      </c>
      <c r="O671" s="12" t="inlineStr">
        <is>
          <t>◎</t>
        </is>
      </c>
      <c r="P671" s="13" t="n"/>
      <c r="Q671" s="12" t="inlineStr">
        <is>
          <t>不明</t>
        </is>
      </c>
      <c r="R671" s="14" t="n"/>
      <c r="S671" s="10" t="n"/>
      <c r="T671" s="10" t="inlineStr">
        <is>
          <t>2026年9月30日(水)初回、以降10/9・10/23・11/6にも開催。テクバン株式会社（本社：東京都港区、代表取締役 社長執行役員：高松 睦夫※、以下テクバン）は、Webセミナー「はじめてのMicrosoft 365 Copilot Agent Builder」を開催いたします。 ■セミナー概要 本セミナーでは、情報システム部門およびDX推進部門の担当者を対象に、Microsoft 365 CopilotのAgent Builde</t>
        </is>
      </c>
      <c r="U671" s="15" t="inlineStr">
        <is>
          <t>https://prtimes.jp/main/html/rd/p/000000507.000031612.html</t>
        </is>
      </c>
      <c r="V671" s="10" t="n"/>
      <c r="W671" s="10" t="inlineStr">
        <is>
          <t>タイトル一致</t>
        </is>
      </c>
      <c r="X671" s="10" t="n"/>
    </row>
    <row r="672">
      <c r="A672" s="10" t="n">
        <v>671</v>
      </c>
      <c r="B672" s="24" t="n">
        <v>46295</v>
      </c>
      <c r="C672" s="24" t="n">
        <v>46295</v>
      </c>
      <c r="D672" s="10">
        <f>MONTH(B672)&amp;"月"</f>
        <v/>
      </c>
      <c r="E672" s="12" t="n">
        <v>1</v>
      </c>
      <c r="F672" s="10" t="n"/>
      <c r="G672" s="10" t="inlineStr">
        <is>
          <t>【AI活用相談会】</t>
        </is>
      </c>
      <c r="H672" s="10" t="inlineStr">
        <is>
          <t>株式会社BTM</t>
        </is>
      </c>
      <c r="I672" s="10" t="n"/>
      <c r="J672" s="10" t="inlineStr">
        <is>
          <t>こくちーずプロ</t>
        </is>
      </c>
      <c r="K672" s="10" t="inlineStr">
        <is>
          <t>オンライン</t>
        </is>
      </c>
      <c r="L672" s="10" t="inlineStr">
        <is>
          <t>オンライン 日本</t>
        </is>
      </c>
      <c r="M672" s="10" t="inlineStr">
        <is>
          <t>営業・マーケ・CS</t>
        </is>
      </c>
      <c r="N672" s="10" t="inlineStr">
        <is>
          <t>AIエージェント</t>
        </is>
      </c>
      <c r="O672" s="12" t="inlineStr">
        <is>
          <t>○</t>
        </is>
      </c>
      <c r="P672" s="13" t="n">
        <v>0</v>
      </c>
      <c r="Q672" s="12" t="inlineStr">
        <is>
          <t>参加者数</t>
        </is>
      </c>
      <c r="R672" s="14" t="n">
        <v>10</v>
      </c>
      <c r="S672" s="10" t="n"/>
      <c r="T672" s="10" t="inlineStr">
        <is>
          <t>システム障害や問い合わせが発生するたびに、特定のエンジニアへ調査が集中していませんか？ 障害調査には、ログの確認、関連情報の収集、原因の切り分けなど、専門的な知識と多くの時間が必要です。 その結果、対応できる人が限られ、調査の属人化や対応遅延が発生しやすくなります。 本ウェビナーでは、AIエージェント「Tracis AI」を活用し、障害調査を自動化する方法をご紹介します。 調査工数を最大95％削減し、非エンジニアでも迷わず原因を特定でき</t>
        </is>
      </c>
      <c r="U672" s="15" t="inlineStr">
        <is>
          <t>https://www.kokuchpro.com/event/7632b95976d010e5aa3c71637cb53d0a/</t>
        </is>
      </c>
      <c r="V672" s="10" t="n"/>
      <c r="W672" s="10" t="inlineStr">
        <is>
          <t>本文一致</t>
        </is>
      </c>
      <c r="X672" s="10" t="n"/>
    </row>
    <row r="673">
      <c r="A673" s="10" t="n">
        <v>672</v>
      </c>
      <c r="B673" s="24" t="n">
        <v>46295</v>
      </c>
      <c r="C673" s="24" t="n">
        <v>46295</v>
      </c>
      <c r="D673" s="10">
        <f>MONTH(B673)&amp;"月"</f>
        <v/>
      </c>
      <c r="E673" s="12" t="n">
        <v>1</v>
      </c>
      <c r="F673" s="10" t="n"/>
      <c r="G673" s="10" t="inlineStr">
        <is>
          <t>【リアル開催】AIエージェントが「買う」時代へ、エージェンティックコマースの最前線 〜AIエージェントが商品を評価し、取引を開始し、決済を完了する時代へ〜</t>
        </is>
      </c>
      <c r="H673" s="10" t="inlineStr">
        <is>
          <t>ストライプジャパン株式会社</t>
        </is>
      </c>
      <c r="I673" s="10" t="inlineStr">
        <is>
          <t>マジセミ株式会社</t>
        </is>
      </c>
      <c r="J673" s="10" t="inlineStr">
        <is>
          <t>Doorkeeper</t>
        </is>
      </c>
      <c r="K673" s="10" t="inlineStr">
        <is>
          <t>会場</t>
        </is>
      </c>
      <c r="L673" s="10" t="inlineStr">
        <is>
          <t>ザ・プリンス パークタワー東京 東京都港区芝公園 4-8-1</t>
        </is>
      </c>
      <c r="M673" s="10" t="inlineStr">
        <is>
          <t>営業・マーケ・CS</t>
        </is>
      </c>
      <c r="N673" s="10" t="inlineStr">
        <is>
          <t>AIエージェント</t>
        </is>
      </c>
      <c r="O673" s="12" t="inlineStr">
        <is>
          <t>◎</t>
        </is>
      </c>
      <c r="P673" s="13" t="n">
        <v>0</v>
      </c>
      <c r="Q673" s="12" t="inlineStr">
        <is>
          <t>参加者数</t>
        </is>
      </c>
      <c r="R673" s="14" t="n"/>
      <c r="S673" s="10" t="n"/>
      <c r="T673" s="10" t="inlineStr">
        <is>
          <t xml:space="preserve"> 本セミナーはオンサイト開催です 参加に関する詳細は主催企業より直接メールにてご連絡いたします。 「stripetour.com 」「osslabo.com」「majisemi.com」からのメールが迷惑メールとならないよう、メールの設定をご確認ください。 会場：ザ・プリンス パークタワー東京 〒105-8563 東京都港区芝公園 4-8-1 AIエージェントが「買う」時代へ 生成AIの進化により、ECは「人が検索し、比較し、購入する」</t>
        </is>
      </c>
      <c r="U673" s="15" t="inlineStr">
        <is>
          <t>https://majisemi-business.doorkeeper.jp/events/198698</t>
        </is>
      </c>
      <c r="V673" s="10" t="n"/>
      <c r="W673" s="10" t="inlineStr">
        <is>
          <t>タイトル一致</t>
        </is>
      </c>
      <c r="X673" s="10" t="n"/>
    </row>
    <row r="674">
      <c r="A674" s="10" t="n">
        <v>673</v>
      </c>
      <c r="B674" s="24" t="n">
        <v>46295</v>
      </c>
      <c r="C674" s="24" t="n">
        <v>46295</v>
      </c>
      <c r="D674" s="10">
        <f>MONTH(B674)&amp;"月"</f>
        <v/>
      </c>
      <c r="E674" s="12" t="n">
        <v>1</v>
      </c>
      <c r="F674" s="10" t="n"/>
      <c r="G674" s="10" t="inlineStr">
        <is>
          <t>【事例＆トーク】生成AIとAsanaをどう組み合わせる？〜はじめの一歩からClaude連携・最新AWMを語り合おう〜</t>
        </is>
      </c>
      <c r="H674" s="10" t="inlineStr">
        <is>
          <t>（記載なし）</t>
        </is>
      </c>
      <c r="I674" s="10" t="n"/>
      <c r="J674" s="10" t="inlineStr">
        <is>
          <t>Doorkeeper</t>
        </is>
      </c>
      <c r="K674" s="10" t="inlineStr">
        <is>
          <t>会場</t>
        </is>
      </c>
      <c r="L674" s="10" t="inlineStr">
        <is>
          <t>Asana Japanオフィス内会議室 東京都千代田区丸の内２丁目６番１号 丸の内パークビルディング８階</t>
        </is>
      </c>
      <c r="M674" s="10" t="inlineStr">
        <is>
          <t>生産性向上・業務効率化</t>
        </is>
      </c>
      <c r="N674" s="10" t="inlineStr">
        <is>
          <t>AIエージェント</t>
        </is>
      </c>
      <c r="O674" s="12" t="inlineStr">
        <is>
          <t>○</t>
        </is>
      </c>
      <c r="P674" s="13" t="n">
        <v>29</v>
      </c>
      <c r="Q674" s="12" t="inlineStr">
        <is>
          <t>参加者数</t>
        </is>
      </c>
      <c r="R674" s="14" t="n">
        <v>30</v>
      </c>
      <c r="S674" s="10" t="n"/>
      <c r="T674" s="10" t="inlineStr">
        <is>
          <t xml:space="preserve"> こんにちは、Asana東京コミュニティです🗼 生成AIの進化が目覚ましい昨今、「業務効率化のためにAIを活用したいけれど、日々のタスクやプロジェクト管理（Asana）とどう組み合わせればいいのかわからない」「実際の活用事例を知りたい」と感じている方も多いのではないでしょうか？ 今回は、業務における生成AIとAsanaの連携・活用をテーマにしたイベントを開催します！ 「はじめの一歩」として使いこなすコツから、話題の「Claude連携」や</t>
        </is>
      </c>
      <c r="U674" s="15" t="inlineStr">
        <is>
          <t>https://asanatogether-jp.doorkeeper.jp/events/199026</t>
        </is>
      </c>
      <c r="V674" s="10" t="n"/>
      <c r="W674" s="10" t="inlineStr">
        <is>
          <t>本文一致</t>
        </is>
      </c>
      <c r="X674" s="10" t="n"/>
    </row>
    <row r="675">
      <c r="A675" s="10" t="n">
        <v>674</v>
      </c>
      <c r="B675" s="24" t="n">
        <v>46295</v>
      </c>
      <c r="C675" s="24" t="n">
        <v>46295</v>
      </c>
      <c r="D675" s="10">
        <f>MONTH(B675)&amp;"月"</f>
        <v/>
      </c>
      <c r="E675" s="12" t="n">
        <v>1</v>
      </c>
      <c r="F675" s="10" t="n"/>
      <c r="G675" s="10" t="inlineStr">
        <is>
          <t>【岐阜市主催・参加無料】Claude Cowork ハンズオン実践セミナー</t>
        </is>
      </c>
      <c r="H675" s="10" t="inlineStr">
        <is>
          <t>みんなシステムズ セミナー担当</t>
        </is>
      </c>
      <c r="I675" s="10" t="n"/>
      <c r="J675" s="10" t="inlineStr">
        <is>
          <t>こくちーずプロ</t>
        </is>
      </c>
      <c r="K675" s="10" t="inlineStr">
        <is>
          <t>オフライン（会場）</t>
        </is>
      </c>
      <c r="L675" s="10" t="inlineStr">
        <is>
          <t>Neo work-Gifu 岐阜県岐阜市高砂町1-17 岐阜イーストライジング24 2F</t>
        </is>
      </c>
      <c r="M675" s="10" t="inlineStr">
        <is>
          <t>生産性向上・業務効率化</t>
        </is>
      </c>
      <c r="N675" s="10" t="inlineStr">
        <is>
          <t>AIエージェント</t>
        </is>
      </c>
      <c r="O675" s="12" t="inlineStr">
        <is>
          <t>◎</t>
        </is>
      </c>
      <c r="P675" s="13" t="n">
        <v>0</v>
      </c>
      <c r="Q675" s="12" t="inlineStr">
        <is>
          <t>参加者数</t>
        </is>
      </c>
      <c r="R675" s="14" t="n">
        <v>20</v>
      </c>
      <c r="S675" s="10" t="n"/>
      <c r="T675" s="10" t="inlineStr">
        <is>
          <t>【お申し込みについて】 本セミナーのお申し込みは、主催者（Neo work-Gifu）の専用フォームで受け付けています。 お手数ですが、下記フォームからお申し込みください。 ▶ 申込フォーム： https://forms.gle/Enyf2NY3WyuWHEaQA 申込期限：2026年9月29日（火）／定員20名（先着順） AIを“知る”から、“使える”へ。 岐阜市主催の無料セミナーで、Claude Coworkを実際に触りながら業務へ</t>
        </is>
      </c>
      <c r="U675" s="15" t="inlineStr">
        <is>
          <t>https://www.kokuchpro.com/event/406519751d2a2724220ebfe818934657/</t>
        </is>
      </c>
      <c r="V675" s="10" t="n"/>
      <c r="W675" s="10" t="inlineStr">
        <is>
          <t>タイトル一致</t>
        </is>
      </c>
      <c r="X675" s="10" t="n"/>
    </row>
    <row r="676">
      <c r="A676" s="10" t="n">
        <v>675</v>
      </c>
      <c r="B676" s="24" t="n">
        <v>46295</v>
      </c>
      <c r="C676" s="24" t="n">
        <v>46295</v>
      </c>
      <c r="D676" s="10">
        <f>MONTH(B676)&amp;"月"</f>
        <v/>
      </c>
      <c r="E676" s="12" t="n">
        <v>1</v>
      </c>
      <c r="F676" s="10" t="n"/>
      <c r="G676" s="10" t="inlineStr">
        <is>
          <t>【生成AI活用相談会】生成AIで障害調査を自動化 「Tracis AI」で調査工数を最大95％削減——CS対応を脱属人化・仕組み化する方法</t>
        </is>
      </c>
      <c r="H676" s="10" t="inlineStr">
        <is>
          <t>株式会社BTM</t>
        </is>
      </c>
      <c r="I676" s="10" t="n"/>
      <c r="J676" s="10" t="inlineStr">
        <is>
          <t>TECH PLAY</t>
        </is>
      </c>
      <c r="K676" s="10" t="inlineStr">
        <is>
          <t>オンライン</t>
        </is>
      </c>
      <c r="L676" s="10" t="n"/>
      <c r="M676" s="10" t="inlineStr">
        <is>
          <t>生産性向上・業務効率化</t>
        </is>
      </c>
      <c r="N676" s="10" t="inlineStr">
        <is>
          <t>AIエージェント</t>
        </is>
      </c>
      <c r="O676" s="12" t="inlineStr">
        <is>
          <t>○</t>
        </is>
      </c>
      <c r="P676" s="13" t="n"/>
      <c r="Q676" s="12" t="inlineStr">
        <is>
          <t>非公開</t>
        </is>
      </c>
      <c r="R676" s="14" t="n">
        <v>10</v>
      </c>
      <c r="S676" s="10" t="n"/>
      <c r="T676" s="10" t="inlineStr">
        <is>
          <t>生成AIで障害調査を自動化 「Tracis AI」で調査工数を最大95％削減——CS対応を脱属人化・仕組み化する方法 システム障害や問い合わせが発生するたびに、特定のエンジニアへ調査が集中していませんか？ 障害調査には、ログの確認、関連情報の収集、原因の切り分けなど、専門的な知識と多くの時間が必要です。 その結果、対応できる人が限られ、調査の属人化や対応遅延が発生しやすくなります。 本ウェビナーでは、AIエージェント「Tracis AI</t>
        </is>
      </c>
      <c r="U676" s="15" t="inlineStr">
        <is>
          <t>https://techplay.jp/event/1000915</t>
        </is>
      </c>
      <c r="V676" s="10" t="n"/>
      <c r="W676" s="10" t="inlineStr">
        <is>
          <t>本文一致</t>
        </is>
      </c>
      <c r="X676" s="10" t="n"/>
    </row>
    <row r="677">
      <c r="A677" s="10" t="n">
        <v>676</v>
      </c>
      <c r="B677" s="24" t="n">
        <v>46295</v>
      </c>
      <c r="C677" s="24" t="n">
        <v>46295</v>
      </c>
      <c r="D677" s="10">
        <f>MONTH(B677)&amp;"月"</f>
        <v/>
      </c>
      <c r="E677" s="12" t="n">
        <v>1</v>
      </c>
      <c r="F677" s="10" t="n"/>
      <c r="G677" s="10" t="inlineStr">
        <is>
          <t>【神戸・三宮】エンジニアAI交流会｜みんな何使ってる？AIエージェント＆話題のGPT-6 Astra</t>
        </is>
      </c>
      <c r="H677" s="10" t="inlineStr">
        <is>
          <t>AI ハックラボ</t>
        </is>
      </c>
      <c r="I677" s="10" t="n"/>
      <c r="J677" s="10" t="inlineStr">
        <is>
          <t>connpass</t>
        </is>
      </c>
      <c r="K677" s="10" t="inlineStr">
        <is>
          <t>会場</t>
        </is>
      </c>
      <c r="L677" s="10" t="inlineStr">
        <is>
          <t>兵庫県神戸市中央区加納町４丁目９−２９ 神戸真亜BLDG 505号</t>
        </is>
      </c>
      <c r="M677" s="10" t="inlineStr">
        <is>
          <t>開発生産性</t>
        </is>
      </c>
      <c r="N677" s="10" t="inlineStr">
        <is>
          <t>AIエージェント</t>
        </is>
      </c>
      <c r="O677" s="12" t="inlineStr">
        <is>
          <t>○</t>
        </is>
      </c>
      <c r="P677" s="13" t="n">
        <v>3</v>
      </c>
      <c r="Q677" s="12" t="inlineStr">
        <is>
          <t>参加者数</t>
        </is>
      </c>
      <c r="R677" s="14" t="n">
        <v>10</v>
      </c>
      <c r="S677" s="10" t="n"/>
      <c r="T677" s="10" t="n"/>
      <c r="U677" s="15" t="inlineStr">
        <is>
          <t>https://aihacklabo.connpass.com/event/406182/</t>
        </is>
      </c>
      <c r="V677" s="10" t="n"/>
      <c r="W677" s="10" t="inlineStr">
        <is>
          <t>タイトル一致</t>
        </is>
      </c>
      <c r="X677" s="10" t="n"/>
    </row>
    <row r="678">
      <c r="A678" s="10" t="n">
        <v>677</v>
      </c>
      <c r="B678" s="24" t="n">
        <v>46295</v>
      </c>
      <c r="C678" s="24" t="n">
        <v>46295</v>
      </c>
      <c r="D678" s="10">
        <f>MONTH(B678)&amp;"月"</f>
        <v/>
      </c>
      <c r="E678" s="12" t="n">
        <v>1</v>
      </c>
      <c r="F678" s="10" t="n"/>
      <c r="G678" s="10" t="inlineStr">
        <is>
          <t>なごやクラメソゆる勉強会 #5 Claude Codeの現在地をつかむ：基礎から活用まで</t>
        </is>
      </c>
      <c r="H678" s="10" t="inlineStr">
        <is>
          <t>クラスメソッド株式会社</t>
        </is>
      </c>
      <c r="I678" s="10" t="n"/>
      <c r="J678" s="10" t="inlineStr">
        <is>
          <t>connpass</t>
        </is>
      </c>
      <c r="K678" s="10" t="inlineStr">
        <is>
          <t>会場</t>
        </is>
      </c>
      <c r="L678" s="10" t="inlineStr">
        <is>
          <t>愛知県名古屋市中区錦1-17-26（ラウンドテラス伏見8階）</t>
        </is>
      </c>
      <c r="M678" s="10" t="inlineStr">
        <is>
          <t>開発生産性</t>
        </is>
      </c>
      <c r="N678" s="10" t="inlineStr">
        <is>
          <t>AIエージェント</t>
        </is>
      </c>
      <c r="O678" s="12" t="inlineStr">
        <is>
          <t>○</t>
        </is>
      </c>
      <c r="P678" s="13" t="n">
        <v>11</v>
      </c>
      <c r="Q678" s="12" t="inlineStr">
        <is>
          <t>参加者数</t>
        </is>
      </c>
      <c r="R678" s="14" t="n">
        <v>15</v>
      </c>
      <c r="S678" s="10" t="n"/>
      <c r="T678" s="10" t="n"/>
      <c r="U678" s="15" t="inlineStr">
        <is>
          <t>https://classmethod.connpass.com/event/405790/</t>
        </is>
      </c>
      <c r="V678" s="10" t="n"/>
      <c r="W678" s="10" t="inlineStr">
        <is>
          <t>タイトル一致</t>
        </is>
      </c>
      <c r="X678" s="10" t="n"/>
    </row>
    <row r="679">
      <c r="A679" s="10" t="n">
        <v>678</v>
      </c>
      <c r="B679" s="24" t="n">
        <v>46295</v>
      </c>
      <c r="C679" s="24" t="n">
        <v>46295</v>
      </c>
      <c r="D679" s="10">
        <f>MONTH(B679)&amp;"月"</f>
        <v/>
      </c>
      <c r="E679" s="12" t="n">
        <v>1</v>
      </c>
      <c r="F679" s="10" t="n"/>
      <c r="G679" s="10" t="inlineStr">
        <is>
          <t>コードレビューどうしてる？ ボトルネックに向き合う仕組み化Tips共有会</t>
        </is>
      </c>
      <c r="H679" s="10" t="inlineStr">
        <is>
          <t>Findy/ファインディ</t>
        </is>
      </c>
      <c r="I679" s="10" t="n"/>
      <c r="J679" s="10" t="inlineStr">
        <is>
          <t>TECH PLAY</t>
        </is>
      </c>
      <c r="K679" s="10" t="inlineStr">
        <is>
          <t>オンライン</t>
        </is>
      </c>
      <c r="L679" s="10" t="n"/>
      <c r="M679" s="10" t="inlineStr">
        <is>
          <t>生産性向上・業務効率化</t>
        </is>
      </c>
      <c r="N679" s="10" t="inlineStr">
        <is>
          <t>AIエージェント</t>
        </is>
      </c>
      <c r="O679" s="12" t="inlineStr">
        <is>
          <t>○</t>
        </is>
      </c>
      <c r="P679" s="13" t="n">
        <v>121</v>
      </c>
      <c r="Q679" s="12" t="inlineStr">
        <is>
          <t>申込者数</t>
        </is>
      </c>
      <c r="R679" s="14" t="n">
        <v>200</v>
      </c>
      <c r="S679" s="10" t="n"/>
      <c r="T679" s="10" t="inlineStr">
        <is>
          <t>✍️概要 チーム開発に欠かせないコードレビュー／PRレビュー。 品質担保や知識共有の場として重要な一方で、生成AI・コーディングエージェントの急速な普及により、エンジニア一人あたりのアウトプットが大きく伸び、「レビュー待ちが増える」「PRは増えたのにリリースが増えない」といったボトルネックに多くの現場が直面しています。 本イベントは、そうした課題に「個人の頑張り」ではなく仕組み化で向き合う実践Tipsを共有する場です。 リードタイム短縮</t>
        </is>
      </c>
      <c r="U679" s="15" t="inlineStr">
        <is>
          <t>https://techplay.jp/event/1000299</t>
        </is>
      </c>
      <c r="V679" s="10" t="n"/>
      <c r="W679" s="10" t="inlineStr">
        <is>
          <t>本文一致</t>
        </is>
      </c>
      <c r="X679" s="10" t="n"/>
    </row>
    <row r="680">
      <c r="A680" s="10" t="n">
        <v>679</v>
      </c>
      <c r="B680" s="24" t="n">
        <v>46295</v>
      </c>
      <c r="C680" s="24" t="n">
        <v>46295</v>
      </c>
      <c r="D680" s="10">
        <f>MONTH(B680)&amp;"月"</f>
        <v/>
      </c>
      <c r="E680" s="12" t="n">
        <v>1</v>
      </c>
      <c r="F680" s="10" t="n"/>
      <c r="G680" s="10" t="inlineStr">
        <is>
          <t>マーケティング業務はAIでどう変わる？ 調査・分析・レポートをつなぐ仕組みと、代表的なユースケース</t>
        </is>
      </c>
      <c r="H680" s="10" t="inlineStr">
        <is>
          <t>Solvio株式会社</t>
        </is>
      </c>
      <c r="I680" s="10" t="n"/>
      <c r="J680" s="10" t="inlineStr">
        <is>
          <t>TECH PLAY</t>
        </is>
      </c>
      <c r="K680" s="10" t="inlineStr">
        <is>
          <t>オンライン</t>
        </is>
      </c>
      <c r="L680" s="10" t="n"/>
      <c r="M680" s="10" t="inlineStr">
        <is>
          <t>営業・マーケ・CS</t>
        </is>
      </c>
      <c r="N680" s="10" t="inlineStr">
        <is>
          <t>両方</t>
        </is>
      </c>
      <c r="O680" s="12" t="inlineStr">
        <is>
          <t>○</t>
        </is>
      </c>
      <c r="P680" s="13" t="n">
        <v>1</v>
      </c>
      <c r="Q680" s="12" t="inlineStr">
        <is>
          <t>申込者数</t>
        </is>
      </c>
      <c r="R680" s="14" t="n">
        <v>100</v>
      </c>
      <c r="S680" s="10" t="n"/>
      <c r="T680" s="10" t="inlineStr">
        <is>
          <t>概要 生成AIをマーケティングに取り入れる企業は増えています。一方で、使われているのは広告コピーやSNS投稿の文案づくりが中心で、「分析や施策立案といった本来の業務には、どう活かせばいいのか」と悩まれている方も多いのではないでしょうか。 その分かれ目になるのが、AIが自社のデータやツールにつながっているかどうかです。チャットに質問するだけのAIは、自社サイトのアクセス状況も、競合の最新の動きも、過去の施策の結果も知りません。担当者が毎回</t>
        </is>
      </c>
      <c r="U680" s="15" t="inlineStr">
        <is>
          <t>https://techplay.jp/event/1000888</t>
        </is>
      </c>
      <c r="V680" s="10" t="n"/>
      <c r="W680" s="10" t="inlineStr">
        <is>
          <t>本文一致</t>
        </is>
      </c>
      <c r="X680" s="10" t="n"/>
    </row>
    <row r="681">
      <c r="A681" s="10" t="n">
        <v>680</v>
      </c>
      <c r="B681" s="24" t="n">
        <v>46295</v>
      </c>
      <c r="C681" s="24" t="n">
        <v>46295</v>
      </c>
      <c r="D681" s="10">
        <f>MONTH(B681)&amp;"月"</f>
        <v/>
      </c>
      <c r="E681" s="12" t="n">
        <v>1</v>
      </c>
      <c r="F681" s="10" t="n"/>
      <c r="G681" s="10" t="inlineStr">
        <is>
          <t>一人社長・個人事業主のための「AI社員」構築セミナー</t>
        </is>
      </c>
      <c r="H681" s="10" t="inlineStr">
        <is>
          <t>まなびアップ(株式会社Giver Asset)</t>
        </is>
      </c>
      <c r="I681" s="10" t="n"/>
      <c r="J681" s="10" t="inlineStr">
        <is>
          <t>こくちーずプロ</t>
        </is>
      </c>
      <c r="K681" s="10" t="inlineStr">
        <is>
          <t>オンライン</t>
        </is>
      </c>
      <c r="L681" s="10" t="inlineStr">
        <is>
          <t>オンライン 日本</t>
        </is>
      </c>
      <c r="M681" s="10" t="inlineStr">
        <is>
          <t>生産性向上・業務効率化</t>
        </is>
      </c>
      <c r="N681" s="10" t="inlineStr">
        <is>
          <t>AIエージェント</t>
        </is>
      </c>
      <c r="O681" s="12" t="inlineStr">
        <is>
          <t>○</t>
        </is>
      </c>
      <c r="P681" s="13" t="n">
        <v>0</v>
      </c>
      <c r="Q681" s="12" t="inlineStr">
        <is>
          <t>参加者数</t>
        </is>
      </c>
      <c r="R681" s="14" t="n">
        <v>2</v>
      </c>
      <c r="S681" s="10" t="n"/>
      <c r="T681" s="10" t="inlineStr">
        <is>
          <t xml:space="preserve">「人を雇えたら楽になる…。 でも、お金もかかるし、教える時間もないし… 結局、自分でやるしかない…。」 そんな悩みを持つ一人社長・個人事業主の方こそ 「AIエージェント」を使ってみてください。 弊社はClaude Code（クロード・コード）によって10の仕事をAIに振り分けることができました！ AIの2つの使い方 AIの使い方は大きく分けて2つあります。 ①質問して答えてもらう。 ②仕事そのものを任せる。 今回扱うのは、2つ目です。 </t>
        </is>
      </c>
      <c r="U681" s="15" t="inlineStr">
        <is>
          <t>https://www.kokuchpro.com/event/96b2ae414e48de8a30d3542c61fb130e/3882838/</t>
        </is>
      </c>
      <c r="V681" s="10" t="n"/>
      <c r="W681" s="10" t="inlineStr">
        <is>
          <t>本文一致</t>
        </is>
      </c>
      <c r="X681" s="10" t="n"/>
    </row>
    <row r="682">
      <c r="A682" s="10" t="n">
        <v>681</v>
      </c>
      <c r="B682" s="24" t="n">
        <v>46295</v>
      </c>
      <c r="C682" s="24" t="n">
        <v>46295</v>
      </c>
      <c r="D682" s="10">
        <f>MONTH(B682)&amp;"月"</f>
        <v/>
      </c>
      <c r="E682" s="12" t="n">
        <v>1</v>
      </c>
      <c r="F682" s="10" t="n"/>
      <c r="G682" s="10" t="inlineStr">
        <is>
          <t>今こそ聞きたいソフトウェア設計 #2 設計次第で、AIコードの読む量は減らせる</t>
        </is>
      </c>
      <c r="H682" s="10" t="inlineStr">
        <is>
          <t>Findy/ファインディ</t>
        </is>
      </c>
      <c r="I682" s="10" t="n"/>
      <c r="J682" s="10" t="inlineStr">
        <is>
          <t>TECH PLAY</t>
        </is>
      </c>
      <c r="K682" s="10" t="inlineStr">
        <is>
          <t>オンライン</t>
        </is>
      </c>
      <c r="L682" s="10" t="n"/>
      <c r="M682" s="10" t="inlineStr">
        <is>
          <t>開発生産性</t>
        </is>
      </c>
      <c r="N682" s="10" t="inlineStr">
        <is>
          <t>AIエージェント</t>
        </is>
      </c>
      <c r="O682" s="12" t="inlineStr">
        <is>
          <t>△</t>
        </is>
      </c>
      <c r="P682" s="13" t="n">
        <v>69</v>
      </c>
      <c r="Q682" s="12" t="inlineStr">
        <is>
          <t>申込者数</t>
        </is>
      </c>
      <c r="R682" s="14" t="n">
        <v>200</v>
      </c>
      <c r="S682" s="10" t="n"/>
      <c r="T682" s="10" t="inlineStr">
        <is>
          <t>✍️概要 AIコーディングエージェントが急速に普及し、多くのエンジニアが日常的にAIと協働してコードを書くようになった今、「コードを書くこと」自体の相対的な価値が変化しつつあります。 一方で、何をどう設計し、どのようにモデリングし、どのような判断を下すかという上流の思考力・設計力の重要性は、むしろ高まっています。AIがコードを生成しても、最終的な品質や変更容易性、事業適合性を担保するのは人間の設計判断だからです。 本シリーズは、そんな状</t>
        </is>
      </c>
      <c r="U682" s="15" t="inlineStr">
        <is>
          <t>https://techplay.jp/event/1000187</t>
        </is>
      </c>
      <c r="V682" s="10" t="n"/>
      <c r="W682" s="10" t="inlineStr">
        <is>
          <t>本文一致</t>
        </is>
      </c>
      <c r="X682" s="10" t="n"/>
    </row>
    <row r="683">
      <c r="A683" s="10" t="n">
        <v>682</v>
      </c>
      <c r="B683" s="24" t="n">
        <v>46295</v>
      </c>
      <c r="C683" s="24" t="n">
        <v>46295</v>
      </c>
      <c r="D683" s="10">
        <f>MONTH(B683)&amp;"月"</f>
        <v/>
      </c>
      <c r="E683" s="12" t="n">
        <v>1</v>
      </c>
      <c r="F683" s="10" t="n"/>
      <c r="G683" s="10" t="inlineStr">
        <is>
          <t>作って、動かして、即実践。Microsoft 365 CopilotでつくるAIエージェント体験</t>
        </is>
      </c>
      <c r="H683" s="10" t="inlineStr">
        <is>
          <t>キカガク</t>
        </is>
      </c>
      <c r="I683" s="10" t="n"/>
      <c r="J683" s="10" t="inlineStr">
        <is>
          <t>TECH PLAY</t>
        </is>
      </c>
      <c r="K683" s="10" t="inlineStr">
        <is>
          <t>オンライン</t>
        </is>
      </c>
      <c r="L683" s="10" t="n"/>
      <c r="M683" s="10" t="inlineStr">
        <is>
          <t>生産性向上・業務効率化</t>
        </is>
      </c>
      <c r="N683" s="10" t="inlineStr">
        <is>
          <t>AIエージェント</t>
        </is>
      </c>
      <c r="O683" s="12" t="inlineStr">
        <is>
          <t>◎</t>
        </is>
      </c>
      <c r="P683" s="13" t="n">
        <v>7</v>
      </c>
      <c r="Q683" s="12" t="inlineStr">
        <is>
          <t>申込者数</t>
        </is>
      </c>
      <c r="R683" s="14" t="n">
        <v>20</v>
      </c>
      <c r="S683" s="10" t="n"/>
      <c r="T683" s="10" t="inlineStr">
        <is>
          <t>AIに「質問する」時代から、AIに「仕事を任せる」時代へ。 近年、急速に注目を集めている「AIエージェント」。しかし、「普通のAIチャットと何が違うのか」「自分の業務でどう活用できるのか」「そもそもどうやって作るのか」といった疑問をお持ちの方も多いのではないでしょうか。 本ウェビナーでは、Microsoft 365 Copilotのエージェントビルダーを使用し、参加者の皆様と一緒に実際にAIエージェントを作成する実践型プログラムをご用意</t>
        </is>
      </c>
      <c r="U683" s="15" t="inlineStr">
        <is>
          <t>https://techplay.jp/event/1000193</t>
        </is>
      </c>
      <c r="V683" s="10" t="n"/>
      <c r="W683" s="10" t="inlineStr">
        <is>
          <t>タイトル一致</t>
        </is>
      </c>
      <c r="X683" s="10" t="n"/>
    </row>
    <row r="684">
      <c r="A684" s="10" t="n">
        <v>683</v>
      </c>
      <c r="B684" s="24" t="n">
        <v>46295</v>
      </c>
      <c r="C684" s="24" t="n">
        <v>46295</v>
      </c>
      <c r="D684" s="10">
        <f>MONTH(B684)&amp;"月"</f>
        <v/>
      </c>
      <c r="E684" s="12" t="n">
        <v>1</v>
      </c>
      <c r="F684" s="10" t="n"/>
      <c r="G684" s="10" t="inlineStr">
        <is>
          <t>非エンジニア社長のための Claude Code 実演会|実際の画面を60分ライブ</t>
        </is>
      </c>
      <c r="H684" s="10" t="inlineStr">
        <is>
          <t>GrowthFix(石井 伸幸)</t>
        </is>
      </c>
      <c r="I684" s="10" t="n"/>
      <c r="J684" s="10" t="inlineStr">
        <is>
          <t>こくちーずプロ</t>
        </is>
      </c>
      <c r="K684" s="10" t="inlineStr">
        <is>
          <t>オンライン</t>
        </is>
      </c>
      <c r="L684" s="10" t="inlineStr">
        <is>
          <t>オンライン 日本</t>
        </is>
      </c>
      <c r="M684" s="10" t="inlineStr">
        <is>
          <t>生産性向上・業務効率化</t>
        </is>
      </c>
      <c r="N684" s="10" t="inlineStr">
        <is>
          <t>AIエージェント</t>
        </is>
      </c>
      <c r="O684" s="12" t="inlineStr">
        <is>
          <t>◎</t>
        </is>
      </c>
      <c r="P684" s="13" t="n">
        <v>0</v>
      </c>
      <c r="Q684" s="12" t="inlineStr">
        <is>
          <t>参加者数</t>
        </is>
      </c>
      <c r="R684" s="14" t="n">
        <v>20</v>
      </c>
      <c r="S684" s="10" t="n"/>
      <c r="T684" s="10" t="inlineStr">
        <is>
          <t>議事録、請求書、数字の集計、採用メール、毎朝の段取り。 気づけば一日が「作業」で終わって、本当にやりたかった仕事は夜に少しだけ。 会社を経営していると、だいたいこうなります。私もそうでした。 この会でお見せするのは、Claude Code というAIの道具です。 むずかしい説明は要りません。文章で頼むと、書類づくりや集計を代わりに進めてくれる——だいたい、そういう道具です。私はエンジニアではありません。それでも、この道具で会社の仕事の流</t>
        </is>
      </c>
      <c r="U684" s="15" t="inlineStr">
        <is>
          <t>https://www.kokuchpro.com/event/8ee5b83fb00daef5ace1b3b337a6f02f/</t>
        </is>
      </c>
      <c r="V684" s="10" t="n"/>
      <c r="W684" s="10" t="inlineStr">
        <is>
          <t>タイトル一致</t>
        </is>
      </c>
      <c r="X684" s="10" t="n"/>
    </row>
    <row r="685">
      <c r="A685" s="10" t="n">
        <v>684</v>
      </c>
      <c r="B685" s="24" t="n">
        <v>46295</v>
      </c>
      <c r="C685" s="24" t="n">
        <v>46295</v>
      </c>
      <c r="D685" s="10">
        <f>MONTH(B685)&amp;"月"</f>
        <v/>
      </c>
      <c r="E685" s="12" t="n">
        <v>1</v>
      </c>
      <c r="F685" s="10" t="n"/>
      <c r="G685" s="10" t="inlineStr">
        <is>
          <t>［みのるん式］ビジネスパーソンのためのClaude Code仕事術 - FL#134</t>
        </is>
      </c>
      <c r="H685" s="10" t="inlineStr">
        <is>
          <t>Forkwell Community</t>
        </is>
      </c>
      <c r="I685" s="10" t="n"/>
      <c r="J685" s="10" t="inlineStr">
        <is>
          <t>connpass</t>
        </is>
      </c>
      <c r="K685" s="10" t="inlineStr">
        <is>
          <t>オンライン</t>
        </is>
      </c>
      <c r="L685" s="10" t="inlineStr">
        <is>
          <t>オンライン</t>
        </is>
      </c>
      <c r="M685" s="10" t="inlineStr">
        <is>
          <t>生産性向上・業務効率化</t>
        </is>
      </c>
      <c r="N685" s="10" t="inlineStr">
        <is>
          <t>AIエージェント</t>
        </is>
      </c>
      <c r="O685" s="12" t="inlineStr">
        <is>
          <t>◎</t>
        </is>
      </c>
      <c r="P685" s="13" t="n">
        <v>252</v>
      </c>
      <c r="Q685" s="12" t="inlineStr">
        <is>
          <t>参加者数</t>
        </is>
      </c>
      <c r="R685" s="14" t="n"/>
      <c r="S685" s="10" t="n"/>
      <c r="T685" s="10" t="n"/>
      <c r="U685" s="15" t="inlineStr">
        <is>
          <t>https://forkwell.connpass.com/event/406993/</t>
        </is>
      </c>
      <c r="V685" s="10" t="n"/>
      <c r="W685" s="10" t="inlineStr">
        <is>
          <t>タイトル一致</t>
        </is>
      </c>
      <c r="X685" s="10" t="n"/>
    </row>
  </sheetData>
  <autoFilter ref="A1:X685"/>
  <hyperlinks>
    <hyperlink xmlns:r="http://schemas.openxmlformats.org/officeDocument/2006/relationships" ref="U2" r:id="rId1"/>
    <hyperlink xmlns:r="http://schemas.openxmlformats.org/officeDocument/2006/relationships" ref="U3" r:id="rId2"/>
    <hyperlink xmlns:r="http://schemas.openxmlformats.org/officeDocument/2006/relationships" ref="U4" r:id="rId3"/>
    <hyperlink xmlns:r="http://schemas.openxmlformats.org/officeDocument/2006/relationships" ref="U5" r:id="rId4"/>
    <hyperlink xmlns:r="http://schemas.openxmlformats.org/officeDocument/2006/relationships" ref="U6" r:id="rId5"/>
    <hyperlink xmlns:r="http://schemas.openxmlformats.org/officeDocument/2006/relationships" ref="U7" r:id="rId6"/>
    <hyperlink xmlns:r="http://schemas.openxmlformats.org/officeDocument/2006/relationships" ref="U8" r:id="rId7"/>
    <hyperlink xmlns:r="http://schemas.openxmlformats.org/officeDocument/2006/relationships" ref="U9" r:id="rId8"/>
    <hyperlink xmlns:r="http://schemas.openxmlformats.org/officeDocument/2006/relationships" ref="U10" r:id="rId9"/>
    <hyperlink xmlns:r="http://schemas.openxmlformats.org/officeDocument/2006/relationships" ref="U11" r:id="rId10"/>
    <hyperlink xmlns:r="http://schemas.openxmlformats.org/officeDocument/2006/relationships" ref="U12" r:id="rId11"/>
    <hyperlink xmlns:r="http://schemas.openxmlformats.org/officeDocument/2006/relationships" ref="U13" r:id="rId12"/>
    <hyperlink xmlns:r="http://schemas.openxmlformats.org/officeDocument/2006/relationships" ref="U14" r:id="rId13"/>
    <hyperlink xmlns:r="http://schemas.openxmlformats.org/officeDocument/2006/relationships" ref="U15" r:id="rId14"/>
    <hyperlink xmlns:r="http://schemas.openxmlformats.org/officeDocument/2006/relationships" ref="U16" r:id="rId15"/>
    <hyperlink xmlns:r="http://schemas.openxmlformats.org/officeDocument/2006/relationships" ref="U17" r:id="rId16"/>
    <hyperlink xmlns:r="http://schemas.openxmlformats.org/officeDocument/2006/relationships" ref="U18" r:id="rId17"/>
    <hyperlink xmlns:r="http://schemas.openxmlformats.org/officeDocument/2006/relationships" ref="U19" r:id="rId18"/>
    <hyperlink xmlns:r="http://schemas.openxmlformats.org/officeDocument/2006/relationships" ref="U20" r:id="rId19"/>
    <hyperlink xmlns:r="http://schemas.openxmlformats.org/officeDocument/2006/relationships" ref="U21" r:id="rId20"/>
    <hyperlink xmlns:r="http://schemas.openxmlformats.org/officeDocument/2006/relationships" ref="U22" r:id="rId21"/>
    <hyperlink xmlns:r="http://schemas.openxmlformats.org/officeDocument/2006/relationships" ref="U23" r:id="rId22"/>
    <hyperlink xmlns:r="http://schemas.openxmlformats.org/officeDocument/2006/relationships" ref="U24" r:id="rId23"/>
    <hyperlink xmlns:r="http://schemas.openxmlformats.org/officeDocument/2006/relationships" ref="U25" r:id="rId24"/>
    <hyperlink xmlns:r="http://schemas.openxmlformats.org/officeDocument/2006/relationships" ref="U26" r:id="rId25"/>
    <hyperlink xmlns:r="http://schemas.openxmlformats.org/officeDocument/2006/relationships" ref="U27" r:id="rId26"/>
    <hyperlink xmlns:r="http://schemas.openxmlformats.org/officeDocument/2006/relationships" ref="U28" r:id="rId27"/>
    <hyperlink xmlns:r="http://schemas.openxmlformats.org/officeDocument/2006/relationships" ref="U29" r:id="rId28"/>
    <hyperlink xmlns:r="http://schemas.openxmlformats.org/officeDocument/2006/relationships" ref="U30" r:id="rId29"/>
    <hyperlink xmlns:r="http://schemas.openxmlformats.org/officeDocument/2006/relationships" ref="U31" r:id="rId30"/>
    <hyperlink xmlns:r="http://schemas.openxmlformats.org/officeDocument/2006/relationships" ref="U32" r:id="rId31"/>
    <hyperlink xmlns:r="http://schemas.openxmlformats.org/officeDocument/2006/relationships" ref="U33" r:id="rId32"/>
    <hyperlink xmlns:r="http://schemas.openxmlformats.org/officeDocument/2006/relationships" ref="U34" r:id="rId33"/>
    <hyperlink xmlns:r="http://schemas.openxmlformats.org/officeDocument/2006/relationships" ref="U35" r:id="rId34"/>
    <hyperlink xmlns:r="http://schemas.openxmlformats.org/officeDocument/2006/relationships" ref="U36" r:id="rId35"/>
    <hyperlink xmlns:r="http://schemas.openxmlformats.org/officeDocument/2006/relationships" ref="U37" r:id="rId36"/>
    <hyperlink xmlns:r="http://schemas.openxmlformats.org/officeDocument/2006/relationships" ref="U38" r:id="rId37"/>
    <hyperlink xmlns:r="http://schemas.openxmlformats.org/officeDocument/2006/relationships" ref="U39" r:id="rId38"/>
    <hyperlink xmlns:r="http://schemas.openxmlformats.org/officeDocument/2006/relationships" ref="U40" r:id="rId39"/>
    <hyperlink xmlns:r="http://schemas.openxmlformats.org/officeDocument/2006/relationships" ref="U41" r:id="rId40"/>
    <hyperlink xmlns:r="http://schemas.openxmlformats.org/officeDocument/2006/relationships" ref="U42" r:id="rId41"/>
    <hyperlink xmlns:r="http://schemas.openxmlformats.org/officeDocument/2006/relationships" ref="U43" r:id="rId42"/>
    <hyperlink xmlns:r="http://schemas.openxmlformats.org/officeDocument/2006/relationships" ref="U44" r:id="rId43"/>
    <hyperlink xmlns:r="http://schemas.openxmlformats.org/officeDocument/2006/relationships" ref="U45" r:id="rId44"/>
    <hyperlink xmlns:r="http://schemas.openxmlformats.org/officeDocument/2006/relationships" ref="U46" r:id="rId45"/>
    <hyperlink xmlns:r="http://schemas.openxmlformats.org/officeDocument/2006/relationships" ref="U47" r:id="rId46"/>
    <hyperlink xmlns:r="http://schemas.openxmlformats.org/officeDocument/2006/relationships" ref="U48" r:id="rId47"/>
    <hyperlink xmlns:r="http://schemas.openxmlformats.org/officeDocument/2006/relationships" ref="U49" r:id="rId48"/>
    <hyperlink xmlns:r="http://schemas.openxmlformats.org/officeDocument/2006/relationships" ref="U50" r:id="rId49"/>
    <hyperlink xmlns:r="http://schemas.openxmlformats.org/officeDocument/2006/relationships" ref="U51" r:id="rId50"/>
    <hyperlink xmlns:r="http://schemas.openxmlformats.org/officeDocument/2006/relationships" ref="U52" r:id="rId51"/>
    <hyperlink xmlns:r="http://schemas.openxmlformats.org/officeDocument/2006/relationships" ref="U53" r:id="rId52"/>
    <hyperlink xmlns:r="http://schemas.openxmlformats.org/officeDocument/2006/relationships" ref="U54" r:id="rId53"/>
    <hyperlink xmlns:r="http://schemas.openxmlformats.org/officeDocument/2006/relationships" ref="U55" r:id="rId54"/>
    <hyperlink xmlns:r="http://schemas.openxmlformats.org/officeDocument/2006/relationships" ref="U56" r:id="rId55"/>
    <hyperlink xmlns:r="http://schemas.openxmlformats.org/officeDocument/2006/relationships" ref="U57" r:id="rId56"/>
    <hyperlink xmlns:r="http://schemas.openxmlformats.org/officeDocument/2006/relationships" ref="U58" r:id="rId57"/>
    <hyperlink xmlns:r="http://schemas.openxmlformats.org/officeDocument/2006/relationships" ref="U59" r:id="rId58"/>
    <hyperlink xmlns:r="http://schemas.openxmlformats.org/officeDocument/2006/relationships" ref="U60" r:id="rId59"/>
    <hyperlink xmlns:r="http://schemas.openxmlformats.org/officeDocument/2006/relationships" ref="U61" r:id="rId60"/>
    <hyperlink xmlns:r="http://schemas.openxmlformats.org/officeDocument/2006/relationships" ref="U62" r:id="rId61"/>
    <hyperlink xmlns:r="http://schemas.openxmlformats.org/officeDocument/2006/relationships" ref="U63" r:id="rId62"/>
    <hyperlink xmlns:r="http://schemas.openxmlformats.org/officeDocument/2006/relationships" ref="U64" r:id="rId63"/>
    <hyperlink xmlns:r="http://schemas.openxmlformats.org/officeDocument/2006/relationships" ref="U65" r:id="rId64"/>
    <hyperlink xmlns:r="http://schemas.openxmlformats.org/officeDocument/2006/relationships" ref="U66" r:id="rId65"/>
    <hyperlink xmlns:r="http://schemas.openxmlformats.org/officeDocument/2006/relationships" ref="U67" r:id="rId66"/>
    <hyperlink xmlns:r="http://schemas.openxmlformats.org/officeDocument/2006/relationships" ref="U68" r:id="rId67"/>
    <hyperlink xmlns:r="http://schemas.openxmlformats.org/officeDocument/2006/relationships" ref="U69" r:id="rId68"/>
    <hyperlink xmlns:r="http://schemas.openxmlformats.org/officeDocument/2006/relationships" ref="U70" r:id="rId69"/>
    <hyperlink xmlns:r="http://schemas.openxmlformats.org/officeDocument/2006/relationships" ref="U71" r:id="rId70"/>
    <hyperlink xmlns:r="http://schemas.openxmlformats.org/officeDocument/2006/relationships" ref="U72" r:id="rId71"/>
    <hyperlink xmlns:r="http://schemas.openxmlformats.org/officeDocument/2006/relationships" ref="U73" r:id="rId72"/>
    <hyperlink xmlns:r="http://schemas.openxmlformats.org/officeDocument/2006/relationships" ref="U74" r:id="rId73"/>
    <hyperlink xmlns:r="http://schemas.openxmlformats.org/officeDocument/2006/relationships" ref="U75" r:id="rId74"/>
    <hyperlink xmlns:r="http://schemas.openxmlformats.org/officeDocument/2006/relationships" ref="U76" r:id="rId75"/>
    <hyperlink xmlns:r="http://schemas.openxmlformats.org/officeDocument/2006/relationships" ref="U77" r:id="rId76"/>
    <hyperlink xmlns:r="http://schemas.openxmlformats.org/officeDocument/2006/relationships" ref="U78" r:id="rId77"/>
    <hyperlink xmlns:r="http://schemas.openxmlformats.org/officeDocument/2006/relationships" ref="U79" r:id="rId78"/>
    <hyperlink xmlns:r="http://schemas.openxmlformats.org/officeDocument/2006/relationships" ref="V79" r:id="rId79"/>
    <hyperlink xmlns:r="http://schemas.openxmlformats.org/officeDocument/2006/relationships" ref="U80" r:id="rId80"/>
    <hyperlink xmlns:r="http://schemas.openxmlformats.org/officeDocument/2006/relationships" ref="U81" r:id="rId81"/>
    <hyperlink xmlns:r="http://schemas.openxmlformats.org/officeDocument/2006/relationships" ref="U82" r:id="rId82"/>
    <hyperlink xmlns:r="http://schemas.openxmlformats.org/officeDocument/2006/relationships" ref="U83" r:id="rId83"/>
    <hyperlink xmlns:r="http://schemas.openxmlformats.org/officeDocument/2006/relationships" ref="U84" r:id="rId84"/>
    <hyperlink xmlns:r="http://schemas.openxmlformats.org/officeDocument/2006/relationships" ref="U85" r:id="rId85"/>
    <hyperlink xmlns:r="http://schemas.openxmlformats.org/officeDocument/2006/relationships" ref="U86" r:id="rId86"/>
    <hyperlink xmlns:r="http://schemas.openxmlformats.org/officeDocument/2006/relationships" ref="U87" r:id="rId87"/>
    <hyperlink xmlns:r="http://schemas.openxmlformats.org/officeDocument/2006/relationships" ref="U88" r:id="rId88"/>
    <hyperlink xmlns:r="http://schemas.openxmlformats.org/officeDocument/2006/relationships" ref="U89" r:id="rId89"/>
    <hyperlink xmlns:r="http://schemas.openxmlformats.org/officeDocument/2006/relationships" ref="U90" r:id="rId90"/>
    <hyperlink xmlns:r="http://schemas.openxmlformats.org/officeDocument/2006/relationships" ref="U91" r:id="rId91"/>
    <hyperlink xmlns:r="http://schemas.openxmlformats.org/officeDocument/2006/relationships" ref="U92" r:id="rId92"/>
    <hyperlink xmlns:r="http://schemas.openxmlformats.org/officeDocument/2006/relationships" ref="U93" r:id="rId93"/>
    <hyperlink xmlns:r="http://schemas.openxmlformats.org/officeDocument/2006/relationships" ref="U94" r:id="rId94"/>
    <hyperlink xmlns:r="http://schemas.openxmlformats.org/officeDocument/2006/relationships" ref="U95" r:id="rId95"/>
    <hyperlink xmlns:r="http://schemas.openxmlformats.org/officeDocument/2006/relationships" ref="U96" r:id="rId96"/>
    <hyperlink xmlns:r="http://schemas.openxmlformats.org/officeDocument/2006/relationships" ref="U97" r:id="rId97"/>
    <hyperlink xmlns:r="http://schemas.openxmlformats.org/officeDocument/2006/relationships" ref="U98" r:id="rId98"/>
    <hyperlink xmlns:r="http://schemas.openxmlformats.org/officeDocument/2006/relationships" ref="U99" r:id="rId99"/>
    <hyperlink xmlns:r="http://schemas.openxmlformats.org/officeDocument/2006/relationships" ref="U100" r:id="rId100"/>
    <hyperlink xmlns:r="http://schemas.openxmlformats.org/officeDocument/2006/relationships" ref="U101" r:id="rId101"/>
    <hyperlink xmlns:r="http://schemas.openxmlformats.org/officeDocument/2006/relationships" ref="U102" r:id="rId102"/>
    <hyperlink xmlns:r="http://schemas.openxmlformats.org/officeDocument/2006/relationships" ref="U103" r:id="rId103"/>
    <hyperlink xmlns:r="http://schemas.openxmlformats.org/officeDocument/2006/relationships" ref="U104" r:id="rId104"/>
    <hyperlink xmlns:r="http://schemas.openxmlformats.org/officeDocument/2006/relationships" ref="U105" r:id="rId105"/>
    <hyperlink xmlns:r="http://schemas.openxmlformats.org/officeDocument/2006/relationships" ref="U106" r:id="rId106"/>
    <hyperlink xmlns:r="http://schemas.openxmlformats.org/officeDocument/2006/relationships" ref="U107" r:id="rId107"/>
    <hyperlink xmlns:r="http://schemas.openxmlformats.org/officeDocument/2006/relationships" ref="U108" r:id="rId108"/>
    <hyperlink xmlns:r="http://schemas.openxmlformats.org/officeDocument/2006/relationships" ref="U109" r:id="rId109"/>
    <hyperlink xmlns:r="http://schemas.openxmlformats.org/officeDocument/2006/relationships" ref="U110" r:id="rId110"/>
    <hyperlink xmlns:r="http://schemas.openxmlformats.org/officeDocument/2006/relationships" ref="U111" r:id="rId111"/>
    <hyperlink xmlns:r="http://schemas.openxmlformats.org/officeDocument/2006/relationships" ref="U112" r:id="rId112"/>
    <hyperlink xmlns:r="http://schemas.openxmlformats.org/officeDocument/2006/relationships" ref="U113" r:id="rId113"/>
    <hyperlink xmlns:r="http://schemas.openxmlformats.org/officeDocument/2006/relationships" ref="U114" r:id="rId114"/>
    <hyperlink xmlns:r="http://schemas.openxmlformats.org/officeDocument/2006/relationships" ref="U115" r:id="rId115"/>
    <hyperlink xmlns:r="http://schemas.openxmlformats.org/officeDocument/2006/relationships" ref="U116" r:id="rId116"/>
    <hyperlink xmlns:r="http://schemas.openxmlformats.org/officeDocument/2006/relationships" ref="U117" r:id="rId117"/>
    <hyperlink xmlns:r="http://schemas.openxmlformats.org/officeDocument/2006/relationships" ref="U118" r:id="rId118"/>
    <hyperlink xmlns:r="http://schemas.openxmlformats.org/officeDocument/2006/relationships" ref="U119" r:id="rId119"/>
    <hyperlink xmlns:r="http://schemas.openxmlformats.org/officeDocument/2006/relationships" ref="V119" r:id="rId120"/>
    <hyperlink xmlns:r="http://schemas.openxmlformats.org/officeDocument/2006/relationships" ref="U120" r:id="rId121"/>
    <hyperlink xmlns:r="http://schemas.openxmlformats.org/officeDocument/2006/relationships" ref="U121" r:id="rId122"/>
    <hyperlink xmlns:r="http://schemas.openxmlformats.org/officeDocument/2006/relationships" ref="U122" r:id="rId123"/>
    <hyperlink xmlns:r="http://schemas.openxmlformats.org/officeDocument/2006/relationships" ref="U123" r:id="rId124"/>
    <hyperlink xmlns:r="http://schemas.openxmlformats.org/officeDocument/2006/relationships" ref="U124" r:id="rId125"/>
    <hyperlink xmlns:r="http://schemas.openxmlformats.org/officeDocument/2006/relationships" ref="U125" r:id="rId126"/>
    <hyperlink xmlns:r="http://schemas.openxmlformats.org/officeDocument/2006/relationships" ref="U126" r:id="rId127"/>
    <hyperlink xmlns:r="http://schemas.openxmlformats.org/officeDocument/2006/relationships" ref="U127" r:id="rId128"/>
    <hyperlink xmlns:r="http://schemas.openxmlformats.org/officeDocument/2006/relationships" ref="U128" r:id="rId129"/>
    <hyperlink xmlns:r="http://schemas.openxmlformats.org/officeDocument/2006/relationships" ref="U129" r:id="rId130"/>
    <hyperlink xmlns:r="http://schemas.openxmlformats.org/officeDocument/2006/relationships" ref="U130" r:id="rId131"/>
    <hyperlink xmlns:r="http://schemas.openxmlformats.org/officeDocument/2006/relationships" ref="U131" r:id="rId132"/>
    <hyperlink xmlns:r="http://schemas.openxmlformats.org/officeDocument/2006/relationships" ref="U132" r:id="rId133"/>
    <hyperlink xmlns:r="http://schemas.openxmlformats.org/officeDocument/2006/relationships" ref="U133" r:id="rId134"/>
    <hyperlink xmlns:r="http://schemas.openxmlformats.org/officeDocument/2006/relationships" ref="U134" r:id="rId135"/>
    <hyperlink xmlns:r="http://schemas.openxmlformats.org/officeDocument/2006/relationships" ref="U135" r:id="rId136"/>
    <hyperlink xmlns:r="http://schemas.openxmlformats.org/officeDocument/2006/relationships" ref="U136" r:id="rId137"/>
    <hyperlink xmlns:r="http://schemas.openxmlformats.org/officeDocument/2006/relationships" ref="U137" r:id="rId138"/>
    <hyperlink xmlns:r="http://schemas.openxmlformats.org/officeDocument/2006/relationships" ref="U138" r:id="rId139"/>
    <hyperlink xmlns:r="http://schemas.openxmlformats.org/officeDocument/2006/relationships" ref="U139" r:id="rId140"/>
    <hyperlink xmlns:r="http://schemas.openxmlformats.org/officeDocument/2006/relationships" ref="U140" r:id="rId141"/>
    <hyperlink xmlns:r="http://schemas.openxmlformats.org/officeDocument/2006/relationships" ref="U141" r:id="rId142"/>
    <hyperlink xmlns:r="http://schemas.openxmlformats.org/officeDocument/2006/relationships" ref="U142" r:id="rId143"/>
    <hyperlink xmlns:r="http://schemas.openxmlformats.org/officeDocument/2006/relationships" ref="U143" r:id="rId144"/>
    <hyperlink xmlns:r="http://schemas.openxmlformats.org/officeDocument/2006/relationships" ref="U144" r:id="rId145"/>
    <hyperlink xmlns:r="http://schemas.openxmlformats.org/officeDocument/2006/relationships" ref="U145" r:id="rId146"/>
    <hyperlink xmlns:r="http://schemas.openxmlformats.org/officeDocument/2006/relationships" ref="U146" r:id="rId147"/>
    <hyperlink xmlns:r="http://schemas.openxmlformats.org/officeDocument/2006/relationships" ref="U147" r:id="rId148"/>
    <hyperlink xmlns:r="http://schemas.openxmlformats.org/officeDocument/2006/relationships" ref="U148" r:id="rId149"/>
    <hyperlink xmlns:r="http://schemas.openxmlformats.org/officeDocument/2006/relationships" ref="U149" r:id="rId150"/>
    <hyperlink xmlns:r="http://schemas.openxmlformats.org/officeDocument/2006/relationships" ref="U150" r:id="rId151"/>
    <hyperlink xmlns:r="http://schemas.openxmlformats.org/officeDocument/2006/relationships" ref="U151" r:id="rId152"/>
    <hyperlink xmlns:r="http://schemas.openxmlformats.org/officeDocument/2006/relationships" ref="U152" r:id="rId153"/>
    <hyperlink xmlns:r="http://schemas.openxmlformats.org/officeDocument/2006/relationships" ref="U153" r:id="rId154"/>
    <hyperlink xmlns:r="http://schemas.openxmlformats.org/officeDocument/2006/relationships" ref="U154" r:id="rId155"/>
    <hyperlink xmlns:r="http://schemas.openxmlformats.org/officeDocument/2006/relationships" ref="V154" r:id="rId156"/>
    <hyperlink xmlns:r="http://schemas.openxmlformats.org/officeDocument/2006/relationships" ref="U155" r:id="rId157"/>
    <hyperlink xmlns:r="http://schemas.openxmlformats.org/officeDocument/2006/relationships" ref="U156" r:id="rId158"/>
    <hyperlink xmlns:r="http://schemas.openxmlformats.org/officeDocument/2006/relationships" ref="U157" r:id="rId159"/>
    <hyperlink xmlns:r="http://schemas.openxmlformats.org/officeDocument/2006/relationships" ref="U158" r:id="rId160"/>
    <hyperlink xmlns:r="http://schemas.openxmlformats.org/officeDocument/2006/relationships" ref="U159" r:id="rId161"/>
    <hyperlink xmlns:r="http://schemas.openxmlformats.org/officeDocument/2006/relationships" ref="U160" r:id="rId162"/>
    <hyperlink xmlns:r="http://schemas.openxmlformats.org/officeDocument/2006/relationships" ref="U161" r:id="rId163"/>
    <hyperlink xmlns:r="http://schemas.openxmlformats.org/officeDocument/2006/relationships" ref="U162" r:id="rId164"/>
    <hyperlink xmlns:r="http://schemas.openxmlformats.org/officeDocument/2006/relationships" ref="U163" r:id="rId165"/>
    <hyperlink xmlns:r="http://schemas.openxmlformats.org/officeDocument/2006/relationships" ref="U164" r:id="rId166"/>
    <hyperlink xmlns:r="http://schemas.openxmlformats.org/officeDocument/2006/relationships" ref="U165" r:id="rId167"/>
    <hyperlink xmlns:r="http://schemas.openxmlformats.org/officeDocument/2006/relationships" ref="U166" r:id="rId168"/>
    <hyperlink xmlns:r="http://schemas.openxmlformats.org/officeDocument/2006/relationships" ref="U167" r:id="rId169"/>
    <hyperlink xmlns:r="http://schemas.openxmlformats.org/officeDocument/2006/relationships" ref="U168" r:id="rId170"/>
    <hyperlink xmlns:r="http://schemas.openxmlformats.org/officeDocument/2006/relationships" ref="U169" r:id="rId171"/>
    <hyperlink xmlns:r="http://schemas.openxmlformats.org/officeDocument/2006/relationships" ref="U170" r:id="rId172"/>
    <hyperlink xmlns:r="http://schemas.openxmlformats.org/officeDocument/2006/relationships" ref="U171" r:id="rId173"/>
    <hyperlink xmlns:r="http://schemas.openxmlformats.org/officeDocument/2006/relationships" ref="U172" r:id="rId174"/>
    <hyperlink xmlns:r="http://schemas.openxmlformats.org/officeDocument/2006/relationships" ref="U173" r:id="rId175"/>
    <hyperlink xmlns:r="http://schemas.openxmlformats.org/officeDocument/2006/relationships" ref="U174" r:id="rId176"/>
    <hyperlink xmlns:r="http://schemas.openxmlformats.org/officeDocument/2006/relationships" ref="U175" r:id="rId177"/>
    <hyperlink xmlns:r="http://schemas.openxmlformats.org/officeDocument/2006/relationships" ref="U176" r:id="rId178"/>
    <hyperlink xmlns:r="http://schemas.openxmlformats.org/officeDocument/2006/relationships" ref="U177" r:id="rId179"/>
    <hyperlink xmlns:r="http://schemas.openxmlformats.org/officeDocument/2006/relationships" ref="U178" r:id="rId180"/>
    <hyperlink xmlns:r="http://schemas.openxmlformats.org/officeDocument/2006/relationships" ref="U179" r:id="rId181"/>
    <hyperlink xmlns:r="http://schemas.openxmlformats.org/officeDocument/2006/relationships" ref="U180" r:id="rId182"/>
    <hyperlink xmlns:r="http://schemas.openxmlformats.org/officeDocument/2006/relationships" ref="U181" r:id="rId183"/>
    <hyperlink xmlns:r="http://schemas.openxmlformats.org/officeDocument/2006/relationships" ref="U182" r:id="rId184"/>
    <hyperlink xmlns:r="http://schemas.openxmlformats.org/officeDocument/2006/relationships" ref="U183" r:id="rId185"/>
    <hyperlink xmlns:r="http://schemas.openxmlformats.org/officeDocument/2006/relationships" ref="U184" r:id="rId186"/>
    <hyperlink xmlns:r="http://schemas.openxmlformats.org/officeDocument/2006/relationships" ref="U185" r:id="rId187"/>
    <hyperlink xmlns:r="http://schemas.openxmlformats.org/officeDocument/2006/relationships" ref="U186" r:id="rId188"/>
    <hyperlink xmlns:r="http://schemas.openxmlformats.org/officeDocument/2006/relationships" ref="U187" r:id="rId189"/>
    <hyperlink xmlns:r="http://schemas.openxmlformats.org/officeDocument/2006/relationships" ref="U188" r:id="rId190"/>
    <hyperlink xmlns:r="http://schemas.openxmlformats.org/officeDocument/2006/relationships" ref="U189" r:id="rId191"/>
    <hyperlink xmlns:r="http://schemas.openxmlformats.org/officeDocument/2006/relationships" ref="U190" r:id="rId192"/>
    <hyperlink xmlns:r="http://schemas.openxmlformats.org/officeDocument/2006/relationships" ref="U191" r:id="rId193"/>
    <hyperlink xmlns:r="http://schemas.openxmlformats.org/officeDocument/2006/relationships" ref="U192" r:id="rId194"/>
    <hyperlink xmlns:r="http://schemas.openxmlformats.org/officeDocument/2006/relationships" ref="U193" r:id="rId195"/>
    <hyperlink xmlns:r="http://schemas.openxmlformats.org/officeDocument/2006/relationships" ref="V193" r:id="rId196"/>
    <hyperlink xmlns:r="http://schemas.openxmlformats.org/officeDocument/2006/relationships" ref="U194" r:id="rId197"/>
    <hyperlink xmlns:r="http://schemas.openxmlformats.org/officeDocument/2006/relationships" ref="U195" r:id="rId198"/>
    <hyperlink xmlns:r="http://schemas.openxmlformats.org/officeDocument/2006/relationships" ref="U196" r:id="rId199"/>
    <hyperlink xmlns:r="http://schemas.openxmlformats.org/officeDocument/2006/relationships" ref="U197" r:id="rId200"/>
    <hyperlink xmlns:r="http://schemas.openxmlformats.org/officeDocument/2006/relationships" ref="U198" r:id="rId201"/>
    <hyperlink xmlns:r="http://schemas.openxmlformats.org/officeDocument/2006/relationships" ref="U199" r:id="rId202"/>
    <hyperlink xmlns:r="http://schemas.openxmlformats.org/officeDocument/2006/relationships" ref="U200" r:id="rId203"/>
    <hyperlink xmlns:r="http://schemas.openxmlformats.org/officeDocument/2006/relationships" ref="U201" r:id="rId204"/>
    <hyperlink xmlns:r="http://schemas.openxmlformats.org/officeDocument/2006/relationships" ref="U202" r:id="rId205"/>
    <hyperlink xmlns:r="http://schemas.openxmlformats.org/officeDocument/2006/relationships" ref="U203" r:id="rId206"/>
    <hyperlink xmlns:r="http://schemas.openxmlformats.org/officeDocument/2006/relationships" ref="U204" r:id="rId207"/>
    <hyperlink xmlns:r="http://schemas.openxmlformats.org/officeDocument/2006/relationships" ref="U205" r:id="rId208"/>
    <hyperlink xmlns:r="http://schemas.openxmlformats.org/officeDocument/2006/relationships" ref="U206" r:id="rId209"/>
    <hyperlink xmlns:r="http://schemas.openxmlformats.org/officeDocument/2006/relationships" ref="U207" r:id="rId210"/>
    <hyperlink xmlns:r="http://schemas.openxmlformats.org/officeDocument/2006/relationships" ref="U208" r:id="rId211"/>
    <hyperlink xmlns:r="http://schemas.openxmlformats.org/officeDocument/2006/relationships" ref="U209" r:id="rId212"/>
    <hyperlink xmlns:r="http://schemas.openxmlformats.org/officeDocument/2006/relationships" ref="U210" r:id="rId213"/>
    <hyperlink xmlns:r="http://schemas.openxmlformats.org/officeDocument/2006/relationships" ref="U211" r:id="rId214"/>
    <hyperlink xmlns:r="http://schemas.openxmlformats.org/officeDocument/2006/relationships" ref="U212" r:id="rId215"/>
    <hyperlink xmlns:r="http://schemas.openxmlformats.org/officeDocument/2006/relationships" ref="U213" r:id="rId216"/>
    <hyperlink xmlns:r="http://schemas.openxmlformats.org/officeDocument/2006/relationships" ref="U214" r:id="rId217"/>
    <hyperlink xmlns:r="http://schemas.openxmlformats.org/officeDocument/2006/relationships" ref="U215" r:id="rId218"/>
    <hyperlink xmlns:r="http://schemas.openxmlformats.org/officeDocument/2006/relationships" ref="U216" r:id="rId219"/>
    <hyperlink xmlns:r="http://schemas.openxmlformats.org/officeDocument/2006/relationships" ref="U217" r:id="rId220"/>
    <hyperlink xmlns:r="http://schemas.openxmlformats.org/officeDocument/2006/relationships" ref="U218" r:id="rId221"/>
    <hyperlink xmlns:r="http://schemas.openxmlformats.org/officeDocument/2006/relationships" ref="U219" r:id="rId222"/>
    <hyperlink xmlns:r="http://schemas.openxmlformats.org/officeDocument/2006/relationships" ref="V219" r:id="rId223"/>
    <hyperlink xmlns:r="http://schemas.openxmlformats.org/officeDocument/2006/relationships" ref="U220" r:id="rId224"/>
    <hyperlink xmlns:r="http://schemas.openxmlformats.org/officeDocument/2006/relationships" ref="U221" r:id="rId225"/>
    <hyperlink xmlns:r="http://schemas.openxmlformats.org/officeDocument/2006/relationships" ref="U222" r:id="rId226"/>
    <hyperlink xmlns:r="http://schemas.openxmlformats.org/officeDocument/2006/relationships" ref="U223" r:id="rId227"/>
    <hyperlink xmlns:r="http://schemas.openxmlformats.org/officeDocument/2006/relationships" ref="U224" r:id="rId228"/>
    <hyperlink xmlns:r="http://schemas.openxmlformats.org/officeDocument/2006/relationships" ref="U225" r:id="rId229"/>
    <hyperlink xmlns:r="http://schemas.openxmlformats.org/officeDocument/2006/relationships" ref="U226" r:id="rId230"/>
    <hyperlink xmlns:r="http://schemas.openxmlformats.org/officeDocument/2006/relationships" ref="U227" r:id="rId231"/>
    <hyperlink xmlns:r="http://schemas.openxmlformats.org/officeDocument/2006/relationships" ref="U228" r:id="rId232"/>
    <hyperlink xmlns:r="http://schemas.openxmlformats.org/officeDocument/2006/relationships" ref="U229" r:id="rId233"/>
    <hyperlink xmlns:r="http://schemas.openxmlformats.org/officeDocument/2006/relationships" ref="V229" r:id="rId234"/>
    <hyperlink xmlns:r="http://schemas.openxmlformats.org/officeDocument/2006/relationships" ref="U230" r:id="rId235"/>
    <hyperlink xmlns:r="http://schemas.openxmlformats.org/officeDocument/2006/relationships" ref="U231" r:id="rId236"/>
    <hyperlink xmlns:r="http://schemas.openxmlformats.org/officeDocument/2006/relationships" ref="U232" r:id="rId237"/>
    <hyperlink xmlns:r="http://schemas.openxmlformats.org/officeDocument/2006/relationships" ref="U233" r:id="rId238"/>
    <hyperlink xmlns:r="http://schemas.openxmlformats.org/officeDocument/2006/relationships" ref="U234" r:id="rId239"/>
    <hyperlink xmlns:r="http://schemas.openxmlformats.org/officeDocument/2006/relationships" ref="U235" r:id="rId240"/>
    <hyperlink xmlns:r="http://schemas.openxmlformats.org/officeDocument/2006/relationships" ref="U236" r:id="rId241"/>
    <hyperlink xmlns:r="http://schemas.openxmlformats.org/officeDocument/2006/relationships" ref="V236" r:id="rId242"/>
    <hyperlink xmlns:r="http://schemas.openxmlformats.org/officeDocument/2006/relationships" ref="U237" r:id="rId243"/>
    <hyperlink xmlns:r="http://schemas.openxmlformats.org/officeDocument/2006/relationships" ref="U238" r:id="rId244"/>
    <hyperlink xmlns:r="http://schemas.openxmlformats.org/officeDocument/2006/relationships" ref="U239" r:id="rId245"/>
    <hyperlink xmlns:r="http://schemas.openxmlformats.org/officeDocument/2006/relationships" ref="U240" r:id="rId246"/>
    <hyperlink xmlns:r="http://schemas.openxmlformats.org/officeDocument/2006/relationships" ref="U241" r:id="rId247"/>
    <hyperlink xmlns:r="http://schemas.openxmlformats.org/officeDocument/2006/relationships" ref="U242" r:id="rId248"/>
    <hyperlink xmlns:r="http://schemas.openxmlformats.org/officeDocument/2006/relationships" ref="U243" r:id="rId249"/>
    <hyperlink xmlns:r="http://schemas.openxmlformats.org/officeDocument/2006/relationships" ref="U244" r:id="rId250"/>
    <hyperlink xmlns:r="http://schemas.openxmlformats.org/officeDocument/2006/relationships" ref="U245" r:id="rId251"/>
    <hyperlink xmlns:r="http://schemas.openxmlformats.org/officeDocument/2006/relationships" ref="U246" r:id="rId252"/>
    <hyperlink xmlns:r="http://schemas.openxmlformats.org/officeDocument/2006/relationships" ref="U247" r:id="rId253"/>
    <hyperlink xmlns:r="http://schemas.openxmlformats.org/officeDocument/2006/relationships" ref="U248" r:id="rId254"/>
    <hyperlink xmlns:r="http://schemas.openxmlformats.org/officeDocument/2006/relationships" ref="U249" r:id="rId255"/>
    <hyperlink xmlns:r="http://schemas.openxmlformats.org/officeDocument/2006/relationships" ref="U250" r:id="rId256"/>
    <hyperlink xmlns:r="http://schemas.openxmlformats.org/officeDocument/2006/relationships" ref="U251" r:id="rId257"/>
    <hyperlink xmlns:r="http://schemas.openxmlformats.org/officeDocument/2006/relationships" ref="U252" r:id="rId258"/>
    <hyperlink xmlns:r="http://schemas.openxmlformats.org/officeDocument/2006/relationships" ref="U253" r:id="rId259"/>
    <hyperlink xmlns:r="http://schemas.openxmlformats.org/officeDocument/2006/relationships" ref="U254" r:id="rId260"/>
    <hyperlink xmlns:r="http://schemas.openxmlformats.org/officeDocument/2006/relationships" ref="U255" r:id="rId261"/>
    <hyperlink xmlns:r="http://schemas.openxmlformats.org/officeDocument/2006/relationships" ref="U256" r:id="rId262"/>
    <hyperlink xmlns:r="http://schemas.openxmlformats.org/officeDocument/2006/relationships" ref="U257" r:id="rId263"/>
    <hyperlink xmlns:r="http://schemas.openxmlformats.org/officeDocument/2006/relationships" ref="U258" r:id="rId264"/>
    <hyperlink xmlns:r="http://schemas.openxmlformats.org/officeDocument/2006/relationships" ref="U259" r:id="rId265"/>
    <hyperlink xmlns:r="http://schemas.openxmlformats.org/officeDocument/2006/relationships" ref="U260" r:id="rId266"/>
    <hyperlink xmlns:r="http://schemas.openxmlformats.org/officeDocument/2006/relationships" ref="U261" r:id="rId267"/>
    <hyperlink xmlns:r="http://schemas.openxmlformats.org/officeDocument/2006/relationships" ref="U262" r:id="rId268"/>
    <hyperlink xmlns:r="http://schemas.openxmlformats.org/officeDocument/2006/relationships" ref="V262" r:id="rId269"/>
    <hyperlink xmlns:r="http://schemas.openxmlformats.org/officeDocument/2006/relationships" ref="U263" r:id="rId270"/>
    <hyperlink xmlns:r="http://schemas.openxmlformats.org/officeDocument/2006/relationships" ref="U264" r:id="rId271"/>
    <hyperlink xmlns:r="http://schemas.openxmlformats.org/officeDocument/2006/relationships" ref="U265" r:id="rId272"/>
    <hyperlink xmlns:r="http://schemas.openxmlformats.org/officeDocument/2006/relationships" ref="U266" r:id="rId273"/>
    <hyperlink xmlns:r="http://schemas.openxmlformats.org/officeDocument/2006/relationships" ref="U267" r:id="rId274"/>
    <hyperlink xmlns:r="http://schemas.openxmlformats.org/officeDocument/2006/relationships" ref="U268" r:id="rId275"/>
    <hyperlink xmlns:r="http://schemas.openxmlformats.org/officeDocument/2006/relationships" ref="U269" r:id="rId276"/>
    <hyperlink xmlns:r="http://schemas.openxmlformats.org/officeDocument/2006/relationships" ref="U270" r:id="rId277"/>
    <hyperlink xmlns:r="http://schemas.openxmlformats.org/officeDocument/2006/relationships" ref="U271" r:id="rId278"/>
    <hyperlink xmlns:r="http://schemas.openxmlformats.org/officeDocument/2006/relationships" ref="U272" r:id="rId279"/>
    <hyperlink xmlns:r="http://schemas.openxmlformats.org/officeDocument/2006/relationships" ref="U273" r:id="rId280"/>
    <hyperlink xmlns:r="http://schemas.openxmlformats.org/officeDocument/2006/relationships" ref="U274" r:id="rId281"/>
    <hyperlink xmlns:r="http://schemas.openxmlformats.org/officeDocument/2006/relationships" ref="U275" r:id="rId282"/>
    <hyperlink xmlns:r="http://schemas.openxmlformats.org/officeDocument/2006/relationships" ref="U276" r:id="rId283"/>
    <hyperlink xmlns:r="http://schemas.openxmlformats.org/officeDocument/2006/relationships" ref="U277" r:id="rId284"/>
    <hyperlink xmlns:r="http://schemas.openxmlformats.org/officeDocument/2006/relationships" ref="U278" r:id="rId285"/>
    <hyperlink xmlns:r="http://schemas.openxmlformats.org/officeDocument/2006/relationships" ref="U279" r:id="rId286"/>
    <hyperlink xmlns:r="http://schemas.openxmlformats.org/officeDocument/2006/relationships" ref="U280" r:id="rId287"/>
    <hyperlink xmlns:r="http://schemas.openxmlformats.org/officeDocument/2006/relationships" ref="U281" r:id="rId288"/>
    <hyperlink xmlns:r="http://schemas.openxmlformats.org/officeDocument/2006/relationships" ref="U282" r:id="rId289"/>
    <hyperlink xmlns:r="http://schemas.openxmlformats.org/officeDocument/2006/relationships" ref="U283" r:id="rId290"/>
    <hyperlink xmlns:r="http://schemas.openxmlformats.org/officeDocument/2006/relationships" ref="U284" r:id="rId291"/>
    <hyperlink xmlns:r="http://schemas.openxmlformats.org/officeDocument/2006/relationships" ref="U285" r:id="rId292"/>
    <hyperlink xmlns:r="http://schemas.openxmlformats.org/officeDocument/2006/relationships" ref="U286" r:id="rId293"/>
    <hyperlink xmlns:r="http://schemas.openxmlformats.org/officeDocument/2006/relationships" ref="U287" r:id="rId294"/>
    <hyperlink xmlns:r="http://schemas.openxmlformats.org/officeDocument/2006/relationships" ref="U288" r:id="rId295"/>
    <hyperlink xmlns:r="http://schemas.openxmlformats.org/officeDocument/2006/relationships" ref="U289" r:id="rId296"/>
    <hyperlink xmlns:r="http://schemas.openxmlformats.org/officeDocument/2006/relationships" ref="U290" r:id="rId297"/>
    <hyperlink xmlns:r="http://schemas.openxmlformats.org/officeDocument/2006/relationships" ref="U291" r:id="rId298"/>
    <hyperlink xmlns:r="http://schemas.openxmlformats.org/officeDocument/2006/relationships" ref="U292" r:id="rId299"/>
    <hyperlink xmlns:r="http://schemas.openxmlformats.org/officeDocument/2006/relationships" ref="U293" r:id="rId300"/>
    <hyperlink xmlns:r="http://schemas.openxmlformats.org/officeDocument/2006/relationships" ref="U294" r:id="rId301"/>
    <hyperlink xmlns:r="http://schemas.openxmlformats.org/officeDocument/2006/relationships" ref="U295" r:id="rId302"/>
    <hyperlink xmlns:r="http://schemas.openxmlformats.org/officeDocument/2006/relationships" ref="U296" r:id="rId303"/>
    <hyperlink xmlns:r="http://schemas.openxmlformats.org/officeDocument/2006/relationships" ref="U297" r:id="rId304"/>
    <hyperlink xmlns:r="http://schemas.openxmlformats.org/officeDocument/2006/relationships" ref="U298" r:id="rId305"/>
    <hyperlink xmlns:r="http://schemas.openxmlformats.org/officeDocument/2006/relationships" ref="U299" r:id="rId306"/>
    <hyperlink xmlns:r="http://schemas.openxmlformats.org/officeDocument/2006/relationships" ref="U300" r:id="rId307"/>
    <hyperlink xmlns:r="http://schemas.openxmlformats.org/officeDocument/2006/relationships" ref="U301" r:id="rId308"/>
    <hyperlink xmlns:r="http://schemas.openxmlformats.org/officeDocument/2006/relationships" ref="U302" r:id="rId309"/>
    <hyperlink xmlns:r="http://schemas.openxmlformats.org/officeDocument/2006/relationships" ref="U303" r:id="rId310"/>
    <hyperlink xmlns:r="http://schemas.openxmlformats.org/officeDocument/2006/relationships" ref="U304" r:id="rId311"/>
    <hyperlink xmlns:r="http://schemas.openxmlformats.org/officeDocument/2006/relationships" ref="U305" r:id="rId312"/>
    <hyperlink xmlns:r="http://schemas.openxmlformats.org/officeDocument/2006/relationships" ref="U306" r:id="rId313"/>
    <hyperlink xmlns:r="http://schemas.openxmlformats.org/officeDocument/2006/relationships" ref="U307" r:id="rId314"/>
    <hyperlink xmlns:r="http://schemas.openxmlformats.org/officeDocument/2006/relationships" ref="U308" r:id="rId315"/>
    <hyperlink xmlns:r="http://schemas.openxmlformats.org/officeDocument/2006/relationships" ref="U309" r:id="rId316"/>
    <hyperlink xmlns:r="http://schemas.openxmlformats.org/officeDocument/2006/relationships" ref="U310" r:id="rId317"/>
    <hyperlink xmlns:r="http://schemas.openxmlformats.org/officeDocument/2006/relationships" ref="U311" r:id="rId318"/>
    <hyperlink xmlns:r="http://schemas.openxmlformats.org/officeDocument/2006/relationships" ref="U312" r:id="rId319"/>
    <hyperlink xmlns:r="http://schemas.openxmlformats.org/officeDocument/2006/relationships" ref="U313" r:id="rId320"/>
    <hyperlink xmlns:r="http://schemas.openxmlformats.org/officeDocument/2006/relationships" ref="U314" r:id="rId321"/>
    <hyperlink xmlns:r="http://schemas.openxmlformats.org/officeDocument/2006/relationships" ref="U315" r:id="rId322"/>
    <hyperlink xmlns:r="http://schemas.openxmlformats.org/officeDocument/2006/relationships" ref="U316" r:id="rId323"/>
    <hyperlink xmlns:r="http://schemas.openxmlformats.org/officeDocument/2006/relationships" ref="U317" r:id="rId324"/>
    <hyperlink xmlns:r="http://schemas.openxmlformats.org/officeDocument/2006/relationships" ref="U318" r:id="rId325"/>
    <hyperlink xmlns:r="http://schemas.openxmlformats.org/officeDocument/2006/relationships" ref="U319" r:id="rId326"/>
    <hyperlink xmlns:r="http://schemas.openxmlformats.org/officeDocument/2006/relationships" ref="U320" r:id="rId327"/>
    <hyperlink xmlns:r="http://schemas.openxmlformats.org/officeDocument/2006/relationships" ref="U321" r:id="rId328"/>
    <hyperlink xmlns:r="http://schemas.openxmlformats.org/officeDocument/2006/relationships" ref="U322" r:id="rId329"/>
    <hyperlink xmlns:r="http://schemas.openxmlformats.org/officeDocument/2006/relationships" ref="U323" r:id="rId330"/>
    <hyperlink xmlns:r="http://schemas.openxmlformats.org/officeDocument/2006/relationships" ref="U324" r:id="rId331"/>
    <hyperlink xmlns:r="http://schemas.openxmlformats.org/officeDocument/2006/relationships" ref="U325" r:id="rId332"/>
    <hyperlink xmlns:r="http://schemas.openxmlformats.org/officeDocument/2006/relationships" ref="U326" r:id="rId333"/>
    <hyperlink xmlns:r="http://schemas.openxmlformats.org/officeDocument/2006/relationships" ref="U327" r:id="rId334"/>
    <hyperlink xmlns:r="http://schemas.openxmlformats.org/officeDocument/2006/relationships" ref="U328" r:id="rId335"/>
    <hyperlink xmlns:r="http://schemas.openxmlformats.org/officeDocument/2006/relationships" ref="U329" r:id="rId336"/>
    <hyperlink xmlns:r="http://schemas.openxmlformats.org/officeDocument/2006/relationships" ref="U330" r:id="rId337"/>
    <hyperlink xmlns:r="http://schemas.openxmlformats.org/officeDocument/2006/relationships" ref="U331" r:id="rId338"/>
    <hyperlink xmlns:r="http://schemas.openxmlformats.org/officeDocument/2006/relationships" ref="U332" r:id="rId339"/>
    <hyperlink xmlns:r="http://schemas.openxmlformats.org/officeDocument/2006/relationships" ref="U333" r:id="rId340"/>
    <hyperlink xmlns:r="http://schemas.openxmlformats.org/officeDocument/2006/relationships" ref="U334" r:id="rId341"/>
    <hyperlink xmlns:r="http://schemas.openxmlformats.org/officeDocument/2006/relationships" ref="U335" r:id="rId342"/>
    <hyperlink xmlns:r="http://schemas.openxmlformats.org/officeDocument/2006/relationships" ref="U336" r:id="rId343"/>
    <hyperlink xmlns:r="http://schemas.openxmlformats.org/officeDocument/2006/relationships" ref="U337" r:id="rId344"/>
    <hyperlink xmlns:r="http://schemas.openxmlformats.org/officeDocument/2006/relationships" ref="U338" r:id="rId345"/>
    <hyperlink xmlns:r="http://schemas.openxmlformats.org/officeDocument/2006/relationships" ref="U339" r:id="rId346"/>
    <hyperlink xmlns:r="http://schemas.openxmlformats.org/officeDocument/2006/relationships" ref="U340" r:id="rId347"/>
    <hyperlink xmlns:r="http://schemas.openxmlformats.org/officeDocument/2006/relationships" ref="U341" r:id="rId348"/>
    <hyperlink xmlns:r="http://schemas.openxmlformats.org/officeDocument/2006/relationships" ref="U342" r:id="rId349"/>
    <hyperlink xmlns:r="http://schemas.openxmlformats.org/officeDocument/2006/relationships" ref="U343" r:id="rId350"/>
    <hyperlink xmlns:r="http://schemas.openxmlformats.org/officeDocument/2006/relationships" ref="U344" r:id="rId351"/>
    <hyperlink xmlns:r="http://schemas.openxmlformats.org/officeDocument/2006/relationships" ref="U345" r:id="rId352"/>
    <hyperlink xmlns:r="http://schemas.openxmlformats.org/officeDocument/2006/relationships" ref="U346" r:id="rId353"/>
    <hyperlink xmlns:r="http://schemas.openxmlformats.org/officeDocument/2006/relationships" ref="U347" r:id="rId354"/>
    <hyperlink xmlns:r="http://schemas.openxmlformats.org/officeDocument/2006/relationships" ref="U348" r:id="rId355"/>
    <hyperlink xmlns:r="http://schemas.openxmlformats.org/officeDocument/2006/relationships" ref="U349" r:id="rId356"/>
    <hyperlink xmlns:r="http://schemas.openxmlformats.org/officeDocument/2006/relationships" ref="U350" r:id="rId357"/>
    <hyperlink xmlns:r="http://schemas.openxmlformats.org/officeDocument/2006/relationships" ref="U351" r:id="rId358"/>
    <hyperlink xmlns:r="http://schemas.openxmlformats.org/officeDocument/2006/relationships" ref="U352" r:id="rId359"/>
    <hyperlink xmlns:r="http://schemas.openxmlformats.org/officeDocument/2006/relationships" ref="U353" r:id="rId360"/>
    <hyperlink xmlns:r="http://schemas.openxmlformats.org/officeDocument/2006/relationships" ref="V353" r:id="rId361"/>
    <hyperlink xmlns:r="http://schemas.openxmlformats.org/officeDocument/2006/relationships" ref="U354" r:id="rId362"/>
    <hyperlink xmlns:r="http://schemas.openxmlformats.org/officeDocument/2006/relationships" ref="U355" r:id="rId363"/>
    <hyperlink xmlns:r="http://schemas.openxmlformats.org/officeDocument/2006/relationships" ref="U356" r:id="rId364"/>
    <hyperlink xmlns:r="http://schemas.openxmlformats.org/officeDocument/2006/relationships" ref="U357" r:id="rId365"/>
    <hyperlink xmlns:r="http://schemas.openxmlformats.org/officeDocument/2006/relationships" ref="U358" r:id="rId366"/>
    <hyperlink xmlns:r="http://schemas.openxmlformats.org/officeDocument/2006/relationships" ref="U359" r:id="rId367"/>
    <hyperlink xmlns:r="http://schemas.openxmlformats.org/officeDocument/2006/relationships" ref="U360" r:id="rId368"/>
    <hyperlink xmlns:r="http://schemas.openxmlformats.org/officeDocument/2006/relationships" ref="V360" r:id="rId369"/>
    <hyperlink xmlns:r="http://schemas.openxmlformats.org/officeDocument/2006/relationships" ref="U361" r:id="rId370"/>
    <hyperlink xmlns:r="http://schemas.openxmlformats.org/officeDocument/2006/relationships" ref="U362" r:id="rId371"/>
    <hyperlink xmlns:r="http://schemas.openxmlformats.org/officeDocument/2006/relationships" ref="U363" r:id="rId372"/>
    <hyperlink xmlns:r="http://schemas.openxmlformats.org/officeDocument/2006/relationships" ref="U364" r:id="rId373"/>
    <hyperlink xmlns:r="http://schemas.openxmlformats.org/officeDocument/2006/relationships" ref="U365" r:id="rId374"/>
    <hyperlink xmlns:r="http://schemas.openxmlformats.org/officeDocument/2006/relationships" ref="U366" r:id="rId375"/>
    <hyperlink xmlns:r="http://schemas.openxmlformats.org/officeDocument/2006/relationships" ref="U367" r:id="rId376"/>
    <hyperlink xmlns:r="http://schemas.openxmlformats.org/officeDocument/2006/relationships" ref="U368" r:id="rId377"/>
    <hyperlink xmlns:r="http://schemas.openxmlformats.org/officeDocument/2006/relationships" ref="U369" r:id="rId378"/>
    <hyperlink xmlns:r="http://schemas.openxmlformats.org/officeDocument/2006/relationships" ref="U370" r:id="rId379"/>
    <hyperlink xmlns:r="http://schemas.openxmlformats.org/officeDocument/2006/relationships" ref="U371" r:id="rId380"/>
    <hyperlink xmlns:r="http://schemas.openxmlformats.org/officeDocument/2006/relationships" ref="U372" r:id="rId381"/>
    <hyperlink xmlns:r="http://schemas.openxmlformats.org/officeDocument/2006/relationships" ref="U373" r:id="rId382"/>
    <hyperlink xmlns:r="http://schemas.openxmlformats.org/officeDocument/2006/relationships" ref="U374" r:id="rId383"/>
    <hyperlink xmlns:r="http://schemas.openxmlformats.org/officeDocument/2006/relationships" ref="U375" r:id="rId384"/>
    <hyperlink xmlns:r="http://schemas.openxmlformats.org/officeDocument/2006/relationships" ref="U376" r:id="rId385"/>
    <hyperlink xmlns:r="http://schemas.openxmlformats.org/officeDocument/2006/relationships" ref="U377" r:id="rId386"/>
    <hyperlink xmlns:r="http://schemas.openxmlformats.org/officeDocument/2006/relationships" ref="U378" r:id="rId387"/>
    <hyperlink xmlns:r="http://schemas.openxmlformats.org/officeDocument/2006/relationships" ref="U379" r:id="rId388"/>
    <hyperlink xmlns:r="http://schemas.openxmlformats.org/officeDocument/2006/relationships" ref="U380" r:id="rId389"/>
    <hyperlink xmlns:r="http://schemas.openxmlformats.org/officeDocument/2006/relationships" ref="U381" r:id="rId390"/>
    <hyperlink xmlns:r="http://schemas.openxmlformats.org/officeDocument/2006/relationships" ref="U382" r:id="rId391"/>
    <hyperlink xmlns:r="http://schemas.openxmlformats.org/officeDocument/2006/relationships" ref="U383" r:id="rId392"/>
    <hyperlink xmlns:r="http://schemas.openxmlformats.org/officeDocument/2006/relationships" ref="U384" r:id="rId393"/>
    <hyperlink xmlns:r="http://schemas.openxmlformats.org/officeDocument/2006/relationships" ref="U385" r:id="rId394"/>
    <hyperlink xmlns:r="http://schemas.openxmlformats.org/officeDocument/2006/relationships" ref="U386" r:id="rId395"/>
    <hyperlink xmlns:r="http://schemas.openxmlformats.org/officeDocument/2006/relationships" ref="U387" r:id="rId396"/>
    <hyperlink xmlns:r="http://schemas.openxmlformats.org/officeDocument/2006/relationships" ref="U388" r:id="rId397"/>
    <hyperlink xmlns:r="http://schemas.openxmlformats.org/officeDocument/2006/relationships" ref="U389" r:id="rId398"/>
    <hyperlink xmlns:r="http://schemas.openxmlformats.org/officeDocument/2006/relationships" ref="U390" r:id="rId399"/>
    <hyperlink xmlns:r="http://schemas.openxmlformats.org/officeDocument/2006/relationships" ref="V390" r:id="rId400"/>
    <hyperlink xmlns:r="http://schemas.openxmlformats.org/officeDocument/2006/relationships" ref="U391" r:id="rId401"/>
    <hyperlink xmlns:r="http://schemas.openxmlformats.org/officeDocument/2006/relationships" ref="U392" r:id="rId402"/>
    <hyperlink xmlns:r="http://schemas.openxmlformats.org/officeDocument/2006/relationships" ref="U393" r:id="rId403"/>
    <hyperlink xmlns:r="http://schemas.openxmlformats.org/officeDocument/2006/relationships" ref="U394" r:id="rId404"/>
    <hyperlink xmlns:r="http://schemas.openxmlformats.org/officeDocument/2006/relationships" ref="U395" r:id="rId405"/>
    <hyperlink xmlns:r="http://schemas.openxmlformats.org/officeDocument/2006/relationships" ref="V395" r:id="rId406"/>
    <hyperlink xmlns:r="http://schemas.openxmlformats.org/officeDocument/2006/relationships" ref="U396" r:id="rId407"/>
    <hyperlink xmlns:r="http://schemas.openxmlformats.org/officeDocument/2006/relationships" ref="U397" r:id="rId408"/>
    <hyperlink xmlns:r="http://schemas.openxmlformats.org/officeDocument/2006/relationships" ref="U398" r:id="rId409"/>
    <hyperlink xmlns:r="http://schemas.openxmlformats.org/officeDocument/2006/relationships" ref="U399" r:id="rId410"/>
    <hyperlink xmlns:r="http://schemas.openxmlformats.org/officeDocument/2006/relationships" ref="U400" r:id="rId411"/>
    <hyperlink xmlns:r="http://schemas.openxmlformats.org/officeDocument/2006/relationships" ref="U401" r:id="rId412"/>
    <hyperlink xmlns:r="http://schemas.openxmlformats.org/officeDocument/2006/relationships" ref="V401" r:id="rId413"/>
    <hyperlink xmlns:r="http://schemas.openxmlformats.org/officeDocument/2006/relationships" ref="U402" r:id="rId414"/>
    <hyperlink xmlns:r="http://schemas.openxmlformats.org/officeDocument/2006/relationships" ref="U403" r:id="rId415"/>
    <hyperlink xmlns:r="http://schemas.openxmlformats.org/officeDocument/2006/relationships" ref="U404" r:id="rId416"/>
    <hyperlink xmlns:r="http://schemas.openxmlformats.org/officeDocument/2006/relationships" ref="U405" r:id="rId417"/>
    <hyperlink xmlns:r="http://schemas.openxmlformats.org/officeDocument/2006/relationships" ref="U406" r:id="rId418"/>
    <hyperlink xmlns:r="http://schemas.openxmlformats.org/officeDocument/2006/relationships" ref="U407" r:id="rId419"/>
    <hyperlink xmlns:r="http://schemas.openxmlformats.org/officeDocument/2006/relationships" ref="U408" r:id="rId420"/>
    <hyperlink xmlns:r="http://schemas.openxmlformats.org/officeDocument/2006/relationships" ref="U409" r:id="rId421"/>
    <hyperlink xmlns:r="http://schemas.openxmlformats.org/officeDocument/2006/relationships" ref="U410" r:id="rId422"/>
    <hyperlink xmlns:r="http://schemas.openxmlformats.org/officeDocument/2006/relationships" ref="U411" r:id="rId423"/>
    <hyperlink xmlns:r="http://schemas.openxmlformats.org/officeDocument/2006/relationships" ref="U412" r:id="rId424"/>
    <hyperlink xmlns:r="http://schemas.openxmlformats.org/officeDocument/2006/relationships" ref="U413" r:id="rId425"/>
    <hyperlink xmlns:r="http://schemas.openxmlformats.org/officeDocument/2006/relationships" ref="U414" r:id="rId426"/>
    <hyperlink xmlns:r="http://schemas.openxmlformats.org/officeDocument/2006/relationships" ref="U415" r:id="rId427"/>
    <hyperlink xmlns:r="http://schemas.openxmlformats.org/officeDocument/2006/relationships" ref="U416" r:id="rId428"/>
    <hyperlink xmlns:r="http://schemas.openxmlformats.org/officeDocument/2006/relationships" ref="U417" r:id="rId429"/>
    <hyperlink xmlns:r="http://schemas.openxmlformats.org/officeDocument/2006/relationships" ref="U418" r:id="rId430"/>
    <hyperlink xmlns:r="http://schemas.openxmlformats.org/officeDocument/2006/relationships" ref="U419" r:id="rId431"/>
    <hyperlink xmlns:r="http://schemas.openxmlformats.org/officeDocument/2006/relationships" ref="U420" r:id="rId432"/>
    <hyperlink xmlns:r="http://schemas.openxmlformats.org/officeDocument/2006/relationships" ref="U421" r:id="rId433"/>
    <hyperlink xmlns:r="http://schemas.openxmlformats.org/officeDocument/2006/relationships" ref="U422" r:id="rId434"/>
    <hyperlink xmlns:r="http://schemas.openxmlformats.org/officeDocument/2006/relationships" ref="U423" r:id="rId435"/>
    <hyperlink xmlns:r="http://schemas.openxmlformats.org/officeDocument/2006/relationships" ref="U424" r:id="rId436"/>
    <hyperlink xmlns:r="http://schemas.openxmlformats.org/officeDocument/2006/relationships" ref="U425" r:id="rId437"/>
    <hyperlink xmlns:r="http://schemas.openxmlformats.org/officeDocument/2006/relationships" ref="U426" r:id="rId438"/>
    <hyperlink xmlns:r="http://schemas.openxmlformats.org/officeDocument/2006/relationships" ref="U427" r:id="rId439"/>
    <hyperlink xmlns:r="http://schemas.openxmlformats.org/officeDocument/2006/relationships" ref="U428" r:id="rId440"/>
    <hyperlink xmlns:r="http://schemas.openxmlformats.org/officeDocument/2006/relationships" ref="U429" r:id="rId441"/>
    <hyperlink xmlns:r="http://schemas.openxmlformats.org/officeDocument/2006/relationships" ref="U430" r:id="rId442"/>
    <hyperlink xmlns:r="http://schemas.openxmlformats.org/officeDocument/2006/relationships" ref="V430" r:id="rId443"/>
    <hyperlink xmlns:r="http://schemas.openxmlformats.org/officeDocument/2006/relationships" ref="U431" r:id="rId444"/>
    <hyperlink xmlns:r="http://schemas.openxmlformats.org/officeDocument/2006/relationships" ref="U432" r:id="rId445"/>
    <hyperlink xmlns:r="http://schemas.openxmlformats.org/officeDocument/2006/relationships" ref="U433" r:id="rId446"/>
    <hyperlink xmlns:r="http://schemas.openxmlformats.org/officeDocument/2006/relationships" ref="U434" r:id="rId447"/>
    <hyperlink xmlns:r="http://schemas.openxmlformats.org/officeDocument/2006/relationships" ref="U435" r:id="rId448"/>
    <hyperlink xmlns:r="http://schemas.openxmlformats.org/officeDocument/2006/relationships" ref="U436" r:id="rId449"/>
    <hyperlink xmlns:r="http://schemas.openxmlformats.org/officeDocument/2006/relationships" ref="U437" r:id="rId450"/>
    <hyperlink xmlns:r="http://schemas.openxmlformats.org/officeDocument/2006/relationships" ref="U438" r:id="rId451"/>
    <hyperlink xmlns:r="http://schemas.openxmlformats.org/officeDocument/2006/relationships" ref="U439" r:id="rId452"/>
    <hyperlink xmlns:r="http://schemas.openxmlformats.org/officeDocument/2006/relationships" ref="U440" r:id="rId453"/>
    <hyperlink xmlns:r="http://schemas.openxmlformats.org/officeDocument/2006/relationships" ref="U441" r:id="rId454"/>
    <hyperlink xmlns:r="http://schemas.openxmlformats.org/officeDocument/2006/relationships" ref="U442" r:id="rId455"/>
    <hyperlink xmlns:r="http://schemas.openxmlformats.org/officeDocument/2006/relationships" ref="V442" r:id="rId456"/>
    <hyperlink xmlns:r="http://schemas.openxmlformats.org/officeDocument/2006/relationships" ref="U443" r:id="rId457"/>
    <hyperlink xmlns:r="http://schemas.openxmlformats.org/officeDocument/2006/relationships" ref="U444" r:id="rId458"/>
    <hyperlink xmlns:r="http://schemas.openxmlformats.org/officeDocument/2006/relationships" ref="U445" r:id="rId459"/>
    <hyperlink xmlns:r="http://schemas.openxmlformats.org/officeDocument/2006/relationships" ref="U446" r:id="rId460"/>
    <hyperlink xmlns:r="http://schemas.openxmlformats.org/officeDocument/2006/relationships" ref="U447" r:id="rId461"/>
    <hyperlink xmlns:r="http://schemas.openxmlformats.org/officeDocument/2006/relationships" ref="U448" r:id="rId462"/>
    <hyperlink xmlns:r="http://schemas.openxmlformats.org/officeDocument/2006/relationships" ref="U449" r:id="rId463"/>
    <hyperlink xmlns:r="http://schemas.openxmlformats.org/officeDocument/2006/relationships" ref="U450" r:id="rId464"/>
    <hyperlink xmlns:r="http://schemas.openxmlformats.org/officeDocument/2006/relationships" ref="U451" r:id="rId465"/>
    <hyperlink xmlns:r="http://schemas.openxmlformats.org/officeDocument/2006/relationships" ref="U452" r:id="rId466"/>
    <hyperlink xmlns:r="http://schemas.openxmlformats.org/officeDocument/2006/relationships" ref="U453" r:id="rId467"/>
    <hyperlink xmlns:r="http://schemas.openxmlformats.org/officeDocument/2006/relationships" ref="U454" r:id="rId468"/>
    <hyperlink xmlns:r="http://schemas.openxmlformats.org/officeDocument/2006/relationships" ref="U455" r:id="rId469"/>
    <hyperlink xmlns:r="http://schemas.openxmlformats.org/officeDocument/2006/relationships" ref="U456" r:id="rId470"/>
    <hyperlink xmlns:r="http://schemas.openxmlformats.org/officeDocument/2006/relationships" ref="U457" r:id="rId471"/>
    <hyperlink xmlns:r="http://schemas.openxmlformats.org/officeDocument/2006/relationships" ref="U458" r:id="rId472"/>
    <hyperlink xmlns:r="http://schemas.openxmlformats.org/officeDocument/2006/relationships" ref="U459" r:id="rId473"/>
    <hyperlink xmlns:r="http://schemas.openxmlformats.org/officeDocument/2006/relationships" ref="U460" r:id="rId474"/>
    <hyperlink xmlns:r="http://schemas.openxmlformats.org/officeDocument/2006/relationships" ref="U461" r:id="rId475"/>
    <hyperlink xmlns:r="http://schemas.openxmlformats.org/officeDocument/2006/relationships" ref="U462" r:id="rId476"/>
    <hyperlink xmlns:r="http://schemas.openxmlformats.org/officeDocument/2006/relationships" ref="U463" r:id="rId477"/>
    <hyperlink xmlns:r="http://schemas.openxmlformats.org/officeDocument/2006/relationships" ref="U464" r:id="rId478"/>
    <hyperlink xmlns:r="http://schemas.openxmlformats.org/officeDocument/2006/relationships" ref="U465" r:id="rId479"/>
    <hyperlink xmlns:r="http://schemas.openxmlformats.org/officeDocument/2006/relationships" ref="U466" r:id="rId480"/>
    <hyperlink xmlns:r="http://schemas.openxmlformats.org/officeDocument/2006/relationships" ref="U467" r:id="rId481"/>
    <hyperlink xmlns:r="http://schemas.openxmlformats.org/officeDocument/2006/relationships" ref="U468" r:id="rId482"/>
    <hyperlink xmlns:r="http://schemas.openxmlformats.org/officeDocument/2006/relationships" ref="U469" r:id="rId483"/>
    <hyperlink xmlns:r="http://schemas.openxmlformats.org/officeDocument/2006/relationships" ref="U470" r:id="rId484"/>
    <hyperlink xmlns:r="http://schemas.openxmlformats.org/officeDocument/2006/relationships" ref="U471" r:id="rId485"/>
    <hyperlink xmlns:r="http://schemas.openxmlformats.org/officeDocument/2006/relationships" ref="U472" r:id="rId486"/>
    <hyperlink xmlns:r="http://schemas.openxmlformats.org/officeDocument/2006/relationships" ref="U473" r:id="rId487"/>
    <hyperlink xmlns:r="http://schemas.openxmlformats.org/officeDocument/2006/relationships" ref="U474" r:id="rId488"/>
    <hyperlink xmlns:r="http://schemas.openxmlformats.org/officeDocument/2006/relationships" ref="U475" r:id="rId489"/>
    <hyperlink xmlns:r="http://schemas.openxmlformats.org/officeDocument/2006/relationships" ref="U476" r:id="rId490"/>
    <hyperlink xmlns:r="http://schemas.openxmlformats.org/officeDocument/2006/relationships" ref="U477" r:id="rId491"/>
    <hyperlink xmlns:r="http://schemas.openxmlformats.org/officeDocument/2006/relationships" ref="U478" r:id="rId492"/>
    <hyperlink xmlns:r="http://schemas.openxmlformats.org/officeDocument/2006/relationships" ref="U479" r:id="rId493"/>
    <hyperlink xmlns:r="http://schemas.openxmlformats.org/officeDocument/2006/relationships" ref="U480" r:id="rId494"/>
    <hyperlink xmlns:r="http://schemas.openxmlformats.org/officeDocument/2006/relationships" ref="U481" r:id="rId495"/>
    <hyperlink xmlns:r="http://schemas.openxmlformats.org/officeDocument/2006/relationships" ref="U482" r:id="rId496"/>
    <hyperlink xmlns:r="http://schemas.openxmlformats.org/officeDocument/2006/relationships" ref="V482" r:id="rId497"/>
    <hyperlink xmlns:r="http://schemas.openxmlformats.org/officeDocument/2006/relationships" ref="U483" r:id="rId498"/>
    <hyperlink xmlns:r="http://schemas.openxmlformats.org/officeDocument/2006/relationships" ref="U484" r:id="rId499"/>
    <hyperlink xmlns:r="http://schemas.openxmlformats.org/officeDocument/2006/relationships" ref="U485" r:id="rId500"/>
    <hyperlink xmlns:r="http://schemas.openxmlformats.org/officeDocument/2006/relationships" ref="U486" r:id="rId501"/>
    <hyperlink xmlns:r="http://schemas.openxmlformats.org/officeDocument/2006/relationships" ref="U487" r:id="rId502"/>
    <hyperlink xmlns:r="http://schemas.openxmlformats.org/officeDocument/2006/relationships" ref="U488" r:id="rId503"/>
    <hyperlink xmlns:r="http://schemas.openxmlformats.org/officeDocument/2006/relationships" ref="U489" r:id="rId504"/>
    <hyperlink xmlns:r="http://schemas.openxmlformats.org/officeDocument/2006/relationships" ref="U490" r:id="rId505"/>
    <hyperlink xmlns:r="http://schemas.openxmlformats.org/officeDocument/2006/relationships" ref="U491" r:id="rId506"/>
    <hyperlink xmlns:r="http://schemas.openxmlformats.org/officeDocument/2006/relationships" ref="V491" r:id="rId507"/>
    <hyperlink xmlns:r="http://schemas.openxmlformats.org/officeDocument/2006/relationships" ref="U492" r:id="rId508"/>
    <hyperlink xmlns:r="http://schemas.openxmlformats.org/officeDocument/2006/relationships" ref="U493" r:id="rId509"/>
    <hyperlink xmlns:r="http://schemas.openxmlformats.org/officeDocument/2006/relationships" ref="U494" r:id="rId510"/>
    <hyperlink xmlns:r="http://schemas.openxmlformats.org/officeDocument/2006/relationships" ref="U495" r:id="rId511"/>
    <hyperlink xmlns:r="http://schemas.openxmlformats.org/officeDocument/2006/relationships" ref="U496" r:id="rId512"/>
    <hyperlink xmlns:r="http://schemas.openxmlformats.org/officeDocument/2006/relationships" ref="U497" r:id="rId513"/>
    <hyperlink xmlns:r="http://schemas.openxmlformats.org/officeDocument/2006/relationships" ref="U498" r:id="rId514"/>
    <hyperlink xmlns:r="http://schemas.openxmlformats.org/officeDocument/2006/relationships" ref="U499" r:id="rId515"/>
    <hyperlink xmlns:r="http://schemas.openxmlformats.org/officeDocument/2006/relationships" ref="U500" r:id="rId516"/>
    <hyperlink xmlns:r="http://schemas.openxmlformats.org/officeDocument/2006/relationships" ref="U501" r:id="rId517"/>
    <hyperlink xmlns:r="http://schemas.openxmlformats.org/officeDocument/2006/relationships" ref="V501" r:id="rId518"/>
    <hyperlink xmlns:r="http://schemas.openxmlformats.org/officeDocument/2006/relationships" ref="U502" r:id="rId519"/>
    <hyperlink xmlns:r="http://schemas.openxmlformats.org/officeDocument/2006/relationships" ref="U503" r:id="rId520"/>
    <hyperlink xmlns:r="http://schemas.openxmlformats.org/officeDocument/2006/relationships" ref="U504" r:id="rId521"/>
    <hyperlink xmlns:r="http://schemas.openxmlformats.org/officeDocument/2006/relationships" ref="U505" r:id="rId522"/>
    <hyperlink xmlns:r="http://schemas.openxmlformats.org/officeDocument/2006/relationships" ref="U506" r:id="rId523"/>
    <hyperlink xmlns:r="http://schemas.openxmlformats.org/officeDocument/2006/relationships" ref="U507" r:id="rId524"/>
    <hyperlink xmlns:r="http://schemas.openxmlformats.org/officeDocument/2006/relationships" ref="U508" r:id="rId525"/>
    <hyperlink xmlns:r="http://schemas.openxmlformats.org/officeDocument/2006/relationships" ref="U509" r:id="rId526"/>
    <hyperlink xmlns:r="http://schemas.openxmlformats.org/officeDocument/2006/relationships" ref="U510" r:id="rId527"/>
    <hyperlink xmlns:r="http://schemas.openxmlformats.org/officeDocument/2006/relationships" ref="U511" r:id="rId528"/>
    <hyperlink xmlns:r="http://schemas.openxmlformats.org/officeDocument/2006/relationships" ref="U512" r:id="rId529"/>
    <hyperlink xmlns:r="http://schemas.openxmlformats.org/officeDocument/2006/relationships" ref="U513" r:id="rId530"/>
    <hyperlink xmlns:r="http://schemas.openxmlformats.org/officeDocument/2006/relationships" ref="U514" r:id="rId531"/>
    <hyperlink xmlns:r="http://schemas.openxmlformats.org/officeDocument/2006/relationships" ref="U515" r:id="rId532"/>
    <hyperlink xmlns:r="http://schemas.openxmlformats.org/officeDocument/2006/relationships" ref="U516" r:id="rId533"/>
    <hyperlink xmlns:r="http://schemas.openxmlformats.org/officeDocument/2006/relationships" ref="U517" r:id="rId534"/>
    <hyperlink xmlns:r="http://schemas.openxmlformats.org/officeDocument/2006/relationships" ref="U518" r:id="rId535"/>
    <hyperlink xmlns:r="http://schemas.openxmlformats.org/officeDocument/2006/relationships" ref="U519" r:id="rId536"/>
    <hyperlink xmlns:r="http://schemas.openxmlformats.org/officeDocument/2006/relationships" ref="U520" r:id="rId537"/>
    <hyperlink xmlns:r="http://schemas.openxmlformats.org/officeDocument/2006/relationships" ref="V520" r:id="rId538"/>
    <hyperlink xmlns:r="http://schemas.openxmlformats.org/officeDocument/2006/relationships" ref="U521" r:id="rId539"/>
    <hyperlink xmlns:r="http://schemas.openxmlformats.org/officeDocument/2006/relationships" ref="U522" r:id="rId540"/>
    <hyperlink xmlns:r="http://schemas.openxmlformats.org/officeDocument/2006/relationships" ref="V522" r:id="rId541"/>
    <hyperlink xmlns:r="http://schemas.openxmlformats.org/officeDocument/2006/relationships" ref="U523" r:id="rId542"/>
    <hyperlink xmlns:r="http://schemas.openxmlformats.org/officeDocument/2006/relationships" ref="U524" r:id="rId543"/>
    <hyperlink xmlns:r="http://schemas.openxmlformats.org/officeDocument/2006/relationships" ref="U525" r:id="rId544"/>
    <hyperlink xmlns:r="http://schemas.openxmlformats.org/officeDocument/2006/relationships" ref="U526" r:id="rId545"/>
    <hyperlink xmlns:r="http://schemas.openxmlformats.org/officeDocument/2006/relationships" ref="U527" r:id="rId546"/>
    <hyperlink xmlns:r="http://schemas.openxmlformats.org/officeDocument/2006/relationships" ref="U528" r:id="rId547"/>
    <hyperlink xmlns:r="http://schemas.openxmlformats.org/officeDocument/2006/relationships" ref="U529" r:id="rId548"/>
    <hyperlink xmlns:r="http://schemas.openxmlformats.org/officeDocument/2006/relationships" ref="U530" r:id="rId549"/>
    <hyperlink xmlns:r="http://schemas.openxmlformats.org/officeDocument/2006/relationships" ref="U531" r:id="rId550"/>
    <hyperlink xmlns:r="http://schemas.openxmlformats.org/officeDocument/2006/relationships" ref="U532" r:id="rId551"/>
    <hyperlink xmlns:r="http://schemas.openxmlformats.org/officeDocument/2006/relationships" ref="U533" r:id="rId552"/>
    <hyperlink xmlns:r="http://schemas.openxmlformats.org/officeDocument/2006/relationships" ref="U534" r:id="rId553"/>
    <hyperlink xmlns:r="http://schemas.openxmlformats.org/officeDocument/2006/relationships" ref="U535" r:id="rId554"/>
    <hyperlink xmlns:r="http://schemas.openxmlformats.org/officeDocument/2006/relationships" ref="U536" r:id="rId555"/>
    <hyperlink xmlns:r="http://schemas.openxmlformats.org/officeDocument/2006/relationships" ref="U537" r:id="rId556"/>
    <hyperlink xmlns:r="http://schemas.openxmlformats.org/officeDocument/2006/relationships" ref="U538" r:id="rId557"/>
    <hyperlink xmlns:r="http://schemas.openxmlformats.org/officeDocument/2006/relationships" ref="U539" r:id="rId558"/>
    <hyperlink xmlns:r="http://schemas.openxmlformats.org/officeDocument/2006/relationships" ref="U540" r:id="rId559"/>
    <hyperlink xmlns:r="http://schemas.openxmlformats.org/officeDocument/2006/relationships" ref="U541" r:id="rId560"/>
    <hyperlink xmlns:r="http://schemas.openxmlformats.org/officeDocument/2006/relationships" ref="U542" r:id="rId561"/>
    <hyperlink xmlns:r="http://schemas.openxmlformats.org/officeDocument/2006/relationships" ref="U543" r:id="rId562"/>
    <hyperlink xmlns:r="http://schemas.openxmlformats.org/officeDocument/2006/relationships" ref="U544" r:id="rId563"/>
    <hyperlink xmlns:r="http://schemas.openxmlformats.org/officeDocument/2006/relationships" ref="U545" r:id="rId564"/>
    <hyperlink xmlns:r="http://schemas.openxmlformats.org/officeDocument/2006/relationships" ref="U546" r:id="rId565"/>
    <hyperlink xmlns:r="http://schemas.openxmlformats.org/officeDocument/2006/relationships" ref="U547" r:id="rId566"/>
    <hyperlink xmlns:r="http://schemas.openxmlformats.org/officeDocument/2006/relationships" ref="U548" r:id="rId567"/>
    <hyperlink xmlns:r="http://schemas.openxmlformats.org/officeDocument/2006/relationships" ref="U549" r:id="rId568"/>
    <hyperlink xmlns:r="http://schemas.openxmlformats.org/officeDocument/2006/relationships" ref="U550" r:id="rId569"/>
    <hyperlink xmlns:r="http://schemas.openxmlformats.org/officeDocument/2006/relationships" ref="U551" r:id="rId570"/>
    <hyperlink xmlns:r="http://schemas.openxmlformats.org/officeDocument/2006/relationships" ref="U552" r:id="rId571"/>
    <hyperlink xmlns:r="http://schemas.openxmlformats.org/officeDocument/2006/relationships" ref="U553" r:id="rId572"/>
    <hyperlink xmlns:r="http://schemas.openxmlformats.org/officeDocument/2006/relationships" ref="U554" r:id="rId573"/>
    <hyperlink xmlns:r="http://schemas.openxmlformats.org/officeDocument/2006/relationships" ref="U555" r:id="rId574"/>
    <hyperlink xmlns:r="http://schemas.openxmlformats.org/officeDocument/2006/relationships" ref="U556" r:id="rId575"/>
    <hyperlink xmlns:r="http://schemas.openxmlformats.org/officeDocument/2006/relationships" ref="U557" r:id="rId576"/>
    <hyperlink xmlns:r="http://schemas.openxmlformats.org/officeDocument/2006/relationships" ref="U558" r:id="rId577"/>
    <hyperlink xmlns:r="http://schemas.openxmlformats.org/officeDocument/2006/relationships" ref="U559" r:id="rId578"/>
    <hyperlink xmlns:r="http://schemas.openxmlformats.org/officeDocument/2006/relationships" ref="U560" r:id="rId579"/>
    <hyperlink xmlns:r="http://schemas.openxmlformats.org/officeDocument/2006/relationships" ref="U561" r:id="rId580"/>
    <hyperlink xmlns:r="http://schemas.openxmlformats.org/officeDocument/2006/relationships" ref="U562" r:id="rId581"/>
    <hyperlink xmlns:r="http://schemas.openxmlformats.org/officeDocument/2006/relationships" ref="V562" r:id="rId582"/>
    <hyperlink xmlns:r="http://schemas.openxmlformats.org/officeDocument/2006/relationships" ref="U563" r:id="rId583"/>
    <hyperlink xmlns:r="http://schemas.openxmlformats.org/officeDocument/2006/relationships" ref="U564" r:id="rId584"/>
    <hyperlink xmlns:r="http://schemas.openxmlformats.org/officeDocument/2006/relationships" ref="U565" r:id="rId585"/>
    <hyperlink xmlns:r="http://schemas.openxmlformats.org/officeDocument/2006/relationships" ref="U566" r:id="rId586"/>
    <hyperlink xmlns:r="http://schemas.openxmlformats.org/officeDocument/2006/relationships" ref="U567" r:id="rId587"/>
    <hyperlink xmlns:r="http://schemas.openxmlformats.org/officeDocument/2006/relationships" ref="U568" r:id="rId588"/>
    <hyperlink xmlns:r="http://schemas.openxmlformats.org/officeDocument/2006/relationships" ref="U569" r:id="rId589"/>
    <hyperlink xmlns:r="http://schemas.openxmlformats.org/officeDocument/2006/relationships" ref="U570" r:id="rId590"/>
    <hyperlink xmlns:r="http://schemas.openxmlformats.org/officeDocument/2006/relationships" ref="U571" r:id="rId591"/>
    <hyperlink xmlns:r="http://schemas.openxmlformats.org/officeDocument/2006/relationships" ref="U572" r:id="rId592"/>
    <hyperlink xmlns:r="http://schemas.openxmlformats.org/officeDocument/2006/relationships" ref="U573" r:id="rId593"/>
    <hyperlink xmlns:r="http://schemas.openxmlformats.org/officeDocument/2006/relationships" ref="V573" r:id="rId594"/>
    <hyperlink xmlns:r="http://schemas.openxmlformats.org/officeDocument/2006/relationships" ref="U574" r:id="rId595"/>
    <hyperlink xmlns:r="http://schemas.openxmlformats.org/officeDocument/2006/relationships" ref="U575" r:id="rId596"/>
    <hyperlink xmlns:r="http://schemas.openxmlformats.org/officeDocument/2006/relationships" ref="U576" r:id="rId597"/>
    <hyperlink xmlns:r="http://schemas.openxmlformats.org/officeDocument/2006/relationships" ref="U577" r:id="rId598"/>
    <hyperlink xmlns:r="http://schemas.openxmlformats.org/officeDocument/2006/relationships" ref="U578" r:id="rId599"/>
    <hyperlink xmlns:r="http://schemas.openxmlformats.org/officeDocument/2006/relationships" ref="U579" r:id="rId600"/>
    <hyperlink xmlns:r="http://schemas.openxmlformats.org/officeDocument/2006/relationships" ref="U580" r:id="rId601"/>
    <hyperlink xmlns:r="http://schemas.openxmlformats.org/officeDocument/2006/relationships" ref="U581" r:id="rId602"/>
    <hyperlink xmlns:r="http://schemas.openxmlformats.org/officeDocument/2006/relationships" ref="U582" r:id="rId603"/>
    <hyperlink xmlns:r="http://schemas.openxmlformats.org/officeDocument/2006/relationships" ref="U583" r:id="rId604"/>
    <hyperlink xmlns:r="http://schemas.openxmlformats.org/officeDocument/2006/relationships" ref="U584" r:id="rId605"/>
    <hyperlink xmlns:r="http://schemas.openxmlformats.org/officeDocument/2006/relationships" ref="U585" r:id="rId606"/>
    <hyperlink xmlns:r="http://schemas.openxmlformats.org/officeDocument/2006/relationships" ref="U586" r:id="rId607"/>
    <hyperlink xmlns:r="http://schemas.openxmlformats.org/officeDocument/2006/relationships" ref="U587" r:id="rId608"/>
    <hyperlink xmlns:r="http://schemas.openxmlformats.org/officeDocument/2006/relationships" ref="U588" r:id="rId609"/>
    <hyperlink xmlns:r="http://schemas.openxmlformats.org/officeDocument/2006/relationships" ref="U589" r:id="rId610"/>
    <hyperlink xmlns:r="http://schemas.openxmlformats.org/officeDocument/2006/relationships" ref="U590" r:id="rId611"/>
    <hyperlink xmlns:r="http://schemas.openxmlformats.org/officeDocument/2006/relationships" ref="U591" r:id="rId612"/>
    <hyperlink xmlns:r="http://schemas.openxmlformats.org/officeDocument/2006/relationships" ref="U592" r:id="rId613"/>
    <hyperlink xmlns:r="http://schemas.openxmlformats.org/officeDocument/2006/relationships" ref="U593" r:id="rId614"/>
    <hyperlink xmlns:r="http://schemas.openxmlformats.org/officeDocument/2006/relationships" ref="U594" r:id="rId615"/>
    <hyperlink xmlns:r="http://schemas.openxmlformats.org/officeDocument/2006/relationships" ref="U595" r:id="rId616"/>
    <hyperlink xmlns:r="http://schemas.openxmlformats.org/officeDocument/2006/relationships" ref="U596" r:id="rId617"/>
    <hyperlink xmlns:r="http://schemas.openxmlformats.org/officeDocument/2006/relationships" ref="U597" r:id="rId618"/>
    <hyperlink xmlns:r="http://schemas.openxmlformats.org/officeDocument/2006/relationships" ref="U598" r:id="rId619"/>
    <hyperlink xmlns:r="http://schemas.openxmlformats.org/officeDocument/2006/relationships" ref="U599" r:id="rId620"/>
    <hyperlink xmlns:r="http://schemas.openxmlformats.org/officeDocument/2006/relationships" ref="U600" r:id="rId621"/>
    <hyperlink xmlns:r="http://schemas.openxmlformats.org/officeDocument/2006/relationships" ref="U601" r:id="rId622"/>
    <hyperlink xmlns:r="http://schemas.openxmlformats.org/officeDocument/2006/relationships" ref="U602" r:id="rId623"/>
    <hyperlink xmlns:r="http://schemas.openxmlformats.org/officeDocument/2006/relationships" ref="U603" r:id="rId624"/>
    <hyperlink xmlns:r="http://schemas.openxmlformats.org/officeDocument/2006/relationships" ref="U604" r:id="rId625"/>
    <hyperlink xmlns:r="http://schemas.openxmlformats.org/officeDocument/2006/relationships" ref="U605" r:id="rId626"/>
    <hyperlink xmlns:r="http://schemas.openxmlformats.org/officeDocument/2006/relationships" ref="U606" r:id="rId627"/>
    <hyperlink xmlns:r="http://schemas.openxmlformats.org/officeDocument/2006/relationships" ref="U607" r:id="rId628"/>
    <hyperlink xmlns:r="http://schemas.openxmlformats.org/officeDocument/2006/relationships" ref="U608" r:id="rId629"/>
    <hyperlink xmlns:r="http://schemas.openxmlformats.org/officeDocument/2006/relationships" ref="U609" r:id="rId630"/>
    <hyperlink xmlns:r="http://schemas.openxmlformats.org/officeDocument/2006/relationships" ref="U610" r:id="rId631"/>
    <hyperlink xmlns:r="http://schemas.openxmlformats.org/officeDocument/2006/relationships" ref="U611" r:id="rId632"/>
    <hyperlink xmlns:r="http://schemas.openxmlformats.org/officeDocument/2006/relationships" ref="U612" r:id="rId633"/>
    <hyperlink xmlns:r="http://schemas.openxmlformats.org/officeDocument/2006/relationships" ref="V612" r:id="rId634"/>
    <hyperlink xmlns:r="http://schemas.openxmlformats.org/officeDocument/2006/relationships" ref="U613" r:id="rId635"/>
    <hyperlink xmlns:r="http://schemas.openxmlformats.org/officeDocument/2006/relationships" ref="U614" r:id="rId636"/>
    <hyperlink xmlns:r="http://schemas.openxmlformats.org/officeDocument/2006/relationships" ref="U615" r:id="rId637"/>
    <hyperlink xmlns:r="http://schemas.openxmlformats.org/officeDocument/2006/relationships" ref="U616" r:id="rId638"/>
    <hyperlink xmlns:r="http://schemas.openxmlformats.org/officeDocument/2006/relationships" ref="U617" r:id="rId639"/>
    <hyperlink xmlns:r="http://schemas.openxmlformats.org/officeDocument/2006/relationships" ref="U618" r:id="rId640"/>
    <hyperlink xmlns:r="http://schemas.openxmlformats.org/officeDocument/2006/relationships" ref="U619" r:id="rId641"/>
    <hyperlink xmlns:r="http://schemas.openxmlformats.org/officeDocument/2006/relationships" ref="U620" r:id="rId642"/>
    <hyperlink xmlns:r="http://schemas.openxmlformats.org/officeDocument/2006/relationships" ref="U621" r:id="rId643"/>
    <hyperlink xmlns:r="http://schemas.openxmlformats.org/officeDocument/2006/relationships" ref="U622" r:id="rId644"/>
    <hyperlink xmlns:r="http://schemas.openxmlformats.org/officeDocument/2006/relationships" ref="U623" r:id="rId645"/>
    <hyperlink xmlns:r="http://schemas.openxmlformats.org/officeDocument/2006/relationships" ref="U624" r:id="rId646"/>
    <hyperlink xmlns:r="http://schemas.openxmlformats.org/officeDocument/2006/relationships" ref="U625" r:id="rId647"/>
    <hyperlink xmlns:r="http://schemas.openxmlformats.org/officeDocument/2006/relationships" ref="U626" r:id="rId648"/>
    <hyperlink xmlns:r="http://schemas.openxmlformats.org/officeDocument/2006/relationships" ref="U627" r:id="rId649"/>
    <hyperlink xmlns:r="http://schemas.openxmlformats.org/officeDocument/2006/relationships" ref="U628" r:id="rId650"/>
    <hyperlink xmlns:r="http://schemas.openxmlformats.org/officeDocument/2006/relationships" ref="U629" r:id="rId651"/>
    <hyperlink xmlns:r="http://schemas.openxmlformats.org/officeDocument/2006/relationships" ref="U630" r:id="rId652"/>
    <hyperlink xmlns:r="http://schemas.openxmlformats.org/officeDocument/2006/relationships" ref="U631" r:id="rId653"/>
    <hyperlink xmlns:r="http://schemas.openxmlformats.org/officeDocument/2006/relationships" ref="U632" r:id="rId654"/>
    <hyperlink xmlns:r="http://schemas.openxmlformats.org/officeDocument/2006/relationships" ref="U633" r:id="rId655"/>
    <hyperlink xmlns:r="http://schemas.openxmlformats.org/officeDocument/2006/relationships" ref="U634" r:id="rId656"/>
    <hyperlink xmlns:r="http://schemas.openxmlformats.org/officeDocument/2006/relationships" ref="U635" r:id="rId657"/>
    <hyperlink xmlns:r="http://schemas.openxmlformats.org/officeDocument/2006/relationships" ref="U636" r:id="rId658"/>
    <hyperlink xmlns:r="http://schemas.openxmlformats.org/officeDocument/2006/relationships" ref="U637" r:id="rId659"/>
    <hyperlink xmlns:r="http://schemas.openxmlformats.org/officeDocument/2006/relationships" ref="U638" r:id="rId660"/>
    <hyperlink xmlns:r="http://schemas.openxmlformats.org/officeDocument/2006/relationships" ref="U639" r:id="rId661"/>
    <hyperlink xmlns:r="http://schemas.openxmlformats.org/officeDocument/2006/relationships" ref="U640" r:id="rId662"/>
    <hyperlink xmlns:r="http://schemas.openxmlformats.org/officeDocument/2006/relationships" ref="U641" r:id="rId663"/>
    <hyperlink xmlns:r="http://schemas.openxmlformats.org/officeDocument/2006/relationships" ref="U642" r:id="rId664"/>
    <hyperlink xmlns:r="http://schemas.openxmlformats.org/officeDocument/2006/relationships" ref="U643" r:id="rId665"/>
    <hyperlink xmlns:r="http://schemas.openxmlformats.org/officeDocument/2006/relationships" ref="U644" r:id="rId666"/>
    <hyperlink xmlns:r="http://schemas.openxmlformats.org/officeDocument/2006/relationships" ref="U645" r:id="rId667"/>
    <hyperlink xmlns:r="http://schemas.openxmlformats.org/officeDocument/2006/relationships" ref="U646" r:id="rId668"/>
    <hyperlink xmlns:r="http://schemas.openxmlformats.org/officeDocument/2006/relationships" ref="U647" r:id="rId669"/>
    <hyperlink xmlns:r="http://schemas.openxmlformats.org/officeDocument/2006/relationships" ref="U648" r:id="rId670"/>
    <hyperlink xmlns:r="http://schemas.openxmlformats.org/officeDocument/2006/relationships" ref="U649" r:id="rId671"/>
    <hyperlink xmlns:r="http://schemas.openxmlformats.org/officeDocument/2006/relationships" ref="U650" r:id="rId672"/>
    <hyperlink xmlns:r="http://schemas.openxmlformats.org/officeDocument/2006/relationships" ref="U651" r:id="rId673"/>
    <hyperlink xmlns:r="http://schemas.openxmlformats.org/officeDocument/2006/relationships" ref="U652" r:id="rId674"/>
    <hyperlink xmlns:r="http://schemas.openxmlformats.org/officeDocument/2006/relationships" ref="U653" r:id="rId675"/>
    <hyperlink xmlns:r="http://schemas.openxmlformats.org/officeDocument/2006/relationships" ref="U654" r:id="rId676"/>
    <hyperlink xmlns:r="http://schemas.openxmlformats.org/officeDocument/2006/relationships" ref="U655" r:id="rId677"/>
    <hyperlink xmlns:r="http://schemas.openxmlformats.org/officeDocument/2006/relationships" ref="U656" r:id="rId678"/>
    <hyperlink xmlns:r="http://schemas.openxmlformats.org/officeDocument/2006/relationships" ref="U657" r:id="rId679"/>
    <hyperlink xmlns:r="http://schemas.openxmlformats.org/officeDocument/2006/relationships" ref="U658" r:id="rId680"/>
    <hyperlink xmlns:r="http://schemas.openxmlformats.org/officeDocument/2006/relationships" ref="U659" r:id="rId681"/>
    <hyperlink xmlns:r="http://schemas.openxmlformats.org/officeDocument/2006/relationships" ref="U660" r:id="rId682"/>
    <hyperlink xmlns:r="http://schemas.openxmlformats.org/officeDocument/2006/relationships" ref="U661" r:id="rId683"/>
    <hyperlink xmlns:r="http://schemas.openxmlformats.org/officeDocument/2006/relationships" ref="U662" r:id="rId684"/>
    <hyperlink xmlns:r="http://schemas.openxmlformats.org/officeDocument/2006/relationships" ref="U663" r:id="rId685"/>
    <hyperlink xmlns:r="http://schemas.openxmlformats.org/officeDocument/2006/relationships" ref="U664" r:id="rId686"/>
    <hyperlink xmlns:r="http://schemas.openxmlformats.org/officeDocument/2006/relationships" ref="U665" r:id="rId687"/>
    <hyperlink xmlns:r="http://schemas.openxmlformats.org/officeDocument/2006/relationships" ref="V665" r:id="rId688"/>
    <hyperlink xmlns:r="http://schemas.openxmlformats.org/officeDocument/2006/relationships" ref="U666" r:id="rId689"/>
    <hyperlink xmlns:r="http://schemas.openxmlformats.org/officeDocument/2006/relationships" ref="U667" r:id="rId690"/>
    <hyperlink xmlns:r="http://schemas.openxmlformats.org/officeDocument/2006/relationships" ref="U668" r:id="rId691"/>
    <hyperlink xmlns:r="http://schemas.openxmlformats.org/officeDocument/2006/relationships" ref="U669" r:id="rId692"/>
    <hyperlink xmlns:r="http://schemas.openxmlformats.org/officeDocument/2006/relationships" ref="U670" r:id="rId693"/>
    <hyperlink xmlns:r="http://schemas.openxmlformats.org/officeDocument/2006/relationships" ref="U671" r:id="rId694"/>
    <hyperlink xmlns:r="http://schemas.openxmlformats.org/officeDocument/2006/relationships" ref="U672" r:id="rId695"/>
    <hyperlink xmlns:r="http://schemas.openxmlformats.org/officeDocument/2006/relationships" ref="U673" r:id="rId696"/>
    <hyperlink xmlns:r="http://schemas.openxmlformats.org/officeDocument/2006/relationships" ref="U674" r:id="rId697"/>
    <hyperlink xmlns:r="http://schemas.openxmlformats.org/officeDocument/2006/relationships" ref="U675" r:id="rId698"/>
    <hyperlink xmlns:r="http://schemas.openxmlformats.org/officeDocument/2006/relationships" ref="U676" r:id="rId699"/>
    <hyperlink xmlns:r="http://schemas.openxmlformats.org/officeDocument/2006/relationships" ref="U677" r:id="rId700"/>
    <hyperlink xmlns:r="http://schemas.openxmlformats.org/officeDocument/2006/relationships" ref="U678" r:id="rId701"/>
    <hyperlink xmlns:r="http://schemas.openxmlformats.org/officeDocument/2006/relationships" ref="U679" r:id="rId702"/>
    <hyperlink xmlns:r="http://schemas.openxmlformats.org/officeDocument/2006/relationships" ref="U680" r:id="rId703"/>
    <hyperlink xmlns:r="http://schemas.openxmlformats.org/officeDocument/2006/relationships" ref="U681" r:id="rId704"/>
    <hyperlink xmlns:r="http://schemas.openxmlformats.org/officeDocument/2006/relationships" ref="U682" r:id="rId705"/>
    <hyperlink xmlns:r="http://schemas.openxmlformats.org/officeDocument/2006/relationships" ref="U683" r:id="rId706"/>
    <hyperlink xmlns:r="http://schemas.openxmlformats.org/officeDocument/2006/relationships" ref="U684" r:id="rId707"/>
    <hyperlink xmlns:r="http://schemas.openxmlformats.org/officeDocument/2006/relationships" ref="U685" r:id="rId708"/>
  </hyperlink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I63"/>
  <sheetViews>
    <sheetView workbookViewId="0">
      <pane xSplit="2" ySplit="1" topLeftCell="C2" activePane="bottomRight" state="frozen"/>
      <selection pane="topRight" activeCell="A1" sqref="A1"/>
      <selection pane="bottomLeft" activeCell="A1" sqref="A1"/>
      <selection pane="bottomRight" activeCell="A1" sqref="A1"/>
    </sheetView>
  </sheetViews>
  <sheetFormatPr baseColWidth="8" defaultRowHeight="15"/>
  <cols>
    <col width="11" customWidth="1" min="1" max="1"/>
    <col width="50" customWidth="1" min="2" max="2"/>
    <col width="24" customWidth="1" min="3" max="3"/>
    <col width="14" customWidth="1" min="4" max="4"/>
    <col width="11" customWidth="1" min="5" max="5"/>
    <col width="18" customWidth="1" min="6" max="6"/>
    <col width="9" customWidth="1" min="7" max="7"/>
    <col width="42" customWidth="1" min="8" max="8"/>
    <col width="50" customWidth="1" min="9" max="9"/>
  </cols>
  <sheetData>
    <row r="1" ht="30" customHeight="1">
      <c r="A1" s="3" t="inlineStr">
        <is>
          <t>開催日</t>
        </is>
      </c>
      <c r="B1" s="3" t="inlineStr">
        <is>
          <t>セミナー名</t>
        </is>
      </c>
      <c r="C1" s="3" t="inlineStr">
        <is>
          <t>主催者</t>
        </is>
      </c>
      <c r="D1" s="3" t="inlineStr">
        <is>
          <t>掲載プラットフォーム</t>
        </is>
      </c>
      <c r="E1" s="3" t="inlineStr">
        <is>
          <t>形式</t>
        </is>
      </c>
      <c r="F1" s="3" t="inlineStr">
        <is>
          <t>テーマ分類</t>
        </is>
      </c>
      <c r="G1" s="3" t="inlineStr">
        <is>
          <t>集客数</t>
        </is>
      </c>
      <c r="H1" s="3" t="inlineStr">
        <is>
          <t>ソースURL</t>
        </is>
      </c>
      <c r="I1" s="3" t="inlineStr">
        <is>
          <t>概要・抜粋</t>
        </is>
      </c>
    </row>
    <row r="2">
      <c r="A2" s="24" t="n">
        <v>46210</v>
      </c>
      <c r="B2" s="10" t="inlineStr">
        <is>
          <t>TIS INTEC Group BUSINESS SUMMIT 2026</t>
        </is>
      </c>
      <c r="C2" s="10" t="inlineStr">
        <is>
          <t>TISI株式会社</t>
        </is>
      </c>
      <c r="D2" s="10" t="inlineStr">
        <is>
          <t>ビジネス+IT</t>
        </is>
      </c>
      <c r="E2" s="10" t="inlineStr">
        <is>
          <t>online</t>
        </is>
      </c>
      <c r="F2" s="10" t="inlineStr">
        <is>
          <t>営業・マーケ・CS</t>
        </is>
      </c>
      <c r="G2" s="10" t="n"/>
      <c r="H2" s="15" t="inlineStr">
        <is>
          <t>https://www.sbbit.jp/eventinfo/88822</t>
        </is>
      </c>
      <c r="I2" s="10" t="inlineStr">
        <is>
          <t>変革の時代。 複雑化する課題の解決に必要なのは、経験と先見性を掛け合わせた幅広い知見と、実用的で先進的な高次元のテクノロジーです。 「TIS INTEC Group BUSINESS SUMMIT」 では、その知見とテクノロジーの融合から生まれた、多角的な支援の事例や技術をご紹介。 ビジネスや課題解決のヒントになるような「発見」にあふれた1日を、ぜひお楽しみください。</t>
        </is>
      </c>
    </row>
    <row r="3">
      <c r="A3" s="24" t="n">
        <v>46210</v>
      </c>
      <c r="B3" s="10" t="inlineStr">
        <is>
          <t>Zoom CX Summit Tokyo</t>
        </is>
      </c>
      <c r="C3" s="10" t="inlineStr">
        <is>
          <t>ZVC JAPAN株式会社</t>
        </is>
      </c>
      <c r="D3" s="10" t="inlineStr">
        <is>
          <t>ビジネス+IT</t>
        </is>
      </c>
      <c r="E3" s="10" t="inlineStr">
        <is>
          <t>offline</t>
        </is>
      </c>
      <c r="F3" s="10" t="inlineStr">
        <is>
          <t>営業・マーケ・CS</t>
        </is>
      </c>
      <c r="G3" s="10" t="n"/>
      <c r="H3" s="15" t="inlineStr">
        <is>
          <t>https://www.sbbit.jp/eventinfo/89152</t>
        </is>
      </c>
      <c r="I3" s="10" t="inlineStr">
        <is>
          <t>顧客対応は、「問い合わせに答える業務」から、ビジネス成果を生み出す重要な役割へと進化しています。 7月7日に開催する Zoom CX Summit では、AIによる顧客対応の進化、コンタクトセンターの最新トレンド、そして実際の企業による導入・活用事例を通じて、「CXをどう変えれば成果につながるのか」 を具体的にご紹介します。 AI時代の顧客体験を、最新のグローバルトレンド、お客様事例、そしてZoomの最新ソリューションとともにご体感くだ</t>
        </is>
      </c>
    </row>
    <row r="4">
      <c r="A4" s="24" t="n">
        <v>46212</v>
      </c>
      <c r="B4" s="10" t="inlineStr">
        <is>
          <t>【オンライン受講】生成AI講座 第4弾 Copilot × Microsoft 365活用講座_第3回 Copilot × PowerPoint — 企画からスライド作成までの高速化 —</t>
        </is>
      </c>
      <c r="C4" s="10" t="n"/>
      <c r="D4" s="10" t="inlineStr">
        <is>
          <t>Peatix</t>
        </is>
      </c>
      <c r="E4" s="10" t="inlineStr">
        <is>
          <t>オンライン</t>
        </is>
      </c>
      <c r="F4" s="10" t="inlineStr">
        <is>
          <t>生産性向上・業務効率化</t>
        </is>
      </c>
      <c r="G4" s="10" t="n"/>
      <c r="H4" s="15" t="inlineStr">
        <is>
          <t>https://koukaikouza20260709.peatix.com/</t>
        </is>
      </c>
      <c r="I4" s="10" t="inlineStr">
        <is>
          <t>サブドメインに20260709。Copilot×PowerPoint</t>
        </is>
      </c>
    </row>
    <row r="5">
      <c r="A5" s="24" t="n">
        <v>46217</v>
      </c>
      <c r="B5" s="10" t="inlineStr">
        <is>
          <t>Beyond Communication 2026</t>
        </is>
      </c>
      <c r="C5" s="10" t="inlineStr">
        <is>
          <t>株式会社RevComm</t>
        </is>
      </c>
      <c r="D5" s="10" t="inlineStr">
        <is>
          <t>ビジネス+IT</t>
        </is>
      </c>
      <c r="E5" s="10" t="inlineStr">
        <is>
          <t>offline</t>
        </is>
      </c>
      <c r="F5" s="10" t="inlineStr">
        <is>
          <t>営業・マーケ・CS</t>
        </is>
      </c>
      <c r="G5" s="10" t="n"/>
      <c r="H5" s="15" t="inlineStr">
        <is>
          <t>https://www.sbbit.jp/eventinfo/88908</t>
        </is>
      </c>
      <c r="I5" s="10" t="inlineStr">
        <is>
          <t>会話データが導く、次の一手 音声 AI が、営業とサポートに“気づき”を与え、実行までを最短距離でつなぐ。 RevCommは「コミュニケーションを再発明し、人が人を想う社会を創る」という理念のもと、音声AIによって対人コミュニケーションの課題を解決する企業です。 顧客との会話は、企業にとって最も価値ある一次情報です。生成AIの飛躍的な進化により、議事録作成をはじめとする音声AIのビジネス活用は、今まさに本格化しています。 「Beyond</t>
        </is>
      </c>
    </row>
    <row r="6">
      <c r="A6" s="24" t="n">
        <v>46218</v>
      </c>
      <c r="B6" s="10" t="inlineStr">
        <is>
          <t>2026年 材料・化学業界の最前線</t>
        </is>
      </c>
      <c r="C6" s="10" t="n"/>
      <c r="D6" s="10" t="inlineStr">
        <is>
          <t>Peatix</t>
        </is>
      </c>
      <c r="E6" s="10" t="inlineStr">
        <is>
          <t>不明</t>
        </is>
      </c>
      <c r="F6" s="10" t="inlineStr">
        <is>
          <t>生産管理・製造・SCM</t>
        </is>
      </c>
      <c r="G6" s="10" t="n"/>
      <c r="H6" s="15" t="inlineStr">
        <is>
          <t>https://peatix.com/event/5051212</t>
        </is>
      </c>
      <c r="I6" s="10" t="inlineStr">
        <is>
          <t>2026年7月15日 Industrial AI・スマート製造 デジタルツイン</t>
        </is>
      </c>
    </row>
    <row r="7">
      <c r="A7" s="24" t="n">
        <v>46219</v>
      </c>
      <c r="B7" s="10" t="inlineStr">
        <is>
          <t>AI and DX Summit</t>
        </is>
      </c>
      <c r="C7" s="10" t="inlineStr">
        <is>
          <t>ゾーホージャパン株式会社</t>
        </is>
      </c>
      <c r="D7" s="10" t="inlineStr">
        <is>
          <t>ビジネス+IT</t>
        </is>
      </c>
      <c r="E7" s="10" t="inlineStr">
        <is>
          <t>offline</t>
        </is>
      </c>
      <c r="F7" s="10" t="inlineStr">
        <is>
          <t>生産性向上・業務効率化</t>
        </is>
      </c>
      <c r="G7" s="10" t="n"/>
      <c r="H7" s="15" t="inlineStr">
        <is>
          <t>https://www.sbbit.jp/eventinfo/89469</t>
        </is>
      </c>
      <c r="I7" s="10" t="inlineStr">
        <is>
          <t>～学び、つながり、新たなビジネスの可能性に出会う特別な１日～ AI and DX Summitは、AI活用やDX推進をテーマに開催するZoho主催の大型カンファレンスです。 AI、営業改革、業務効率化、顧客体験向上など、企業成長に欠かせないテーマを幅広く取り上げ、最新トレンドや実践事例をご紹介。セッションに加え、展示・交流・個別相談を通じて、AIとDXを“実務にどう活かすか”を体感いただけます。</t>
        </is>
      </c>
    </row>
    <row r="8">
      <c r="A8" s="24" t="n">
        <v>46219</v>
      </c>
      <c r="B8" s="10" t="inlineStr">
        <is>
          <t>NECが実践するSFA×AIによる営業組織変革</t>
        </is>
      </c>
      <c r="C8" s="10" t="inlineStr">
        <is>
          <t>株式会社ナレッジワーク</t>
        </is>
      </c>
      <c r="D8" s="10" t="inlineStr">
        <is>
          <t>ビジネス+IT</t>
        </is>
      </c>
      <c r="E8" s="10" t="inlineStr">
        <is>
          <t>online</t>
        </is>
      </c>
      <c r="F8" s="10" t="inlineStr">
        <is>
          <t>営業・マーケ・CS</t>
        </is>
      </c>
      <c r="G8" s="10" t="n"/>
      <c r="H8" s="15" t="inlineStr">
        <is>
          <t>https://www.sbbit.jp/eventinfo/89531</t>
        </is>
      </c>
      <c r="I8" s="10" t="inlineStr">
        <is>
          <t>大手企業の営業責任者・営業企画・DX推進担当者の方に向け、AI商談記録を全社展開するための実践知を共有するセミナーです。 昨今、大手企業では営業組織の規模が大きいゆえに、商談ナレッジの属人化とSFA入力の負荷が同時に課題となっています。過去のナレッジポータルが活用されない、ハイパフォーマーのノウハウが組織展開されないといった問題は、規模が大きいほど顕在化しがちです。さらに、AI商談記録を一部署で導入できても、グループ全体へのガバナンス・</t>
        </is>
      </c>
    </row>
    <row r="9">
      <c r="A9" s="24" t="n">
        <v>46219</v>
      </c>
      <c r="B9" s="10" t="inlineStr">
        <is>
          <t>【7/16開催】採用難・属人化に悩むCS担当者必見！インゲージが新機能「AI社員」を活用した次世代の顧客対応ウェビナーを開催</t>
        </is>
      </c>
      <c r="C9" s="10" t="inlineStr">
        <is>
          <t>株式会社インゲージ</t>
        </is>
      </c>
      <c r="D9" s="10" t="inlineStr">
        <is>
          <t>PR TIMES</t>
        </is>
      </c>
      <c r="E9" s="10" t="inlineStr">
        <is>
          <t>online</t>
        </is>
      </c>
      <c r="F9" s="10" t="inlineStr">
        <is>
          <t>営業・マーケ・CS</t>
        </is>
      </c>
      <c r="G9" s="10" t="n"/>
      <c r="H9" s="15" t="inlineStr">
        <is>
          <t>https://prtimes.jp/main/html/rd/p/000000326.000029485.html</t>
        </is>
      </c>
      <c r="I9" s="10" t="inlineStr">
        <is>
          <t>コミュニケーションプラットフォーム「Re:lation（リレーション）」を提供し、6,000社以上（※1）の導入実績を誇る株式会社インゲージ（本社：大阪府大阪市、代表取締役社長：和田 哲也）は、2026年7月16日（木）12:00より、無料ウェビナー『Re:lationで叶えるAI社員との共生～効率化の先にある選択肢。新機能「AI社員」がもたらすチームの進化～』を開催することをお知らせいたします。 https://ingage.jp/r</t>
        </is>
      </c>
    </row>
    <row r="10">
      <c r="A10" s="24" t="n">
        <v>46219</v>
      </c>
      <c r="B10" s="10" t="inlineStr">
        <is>
          <t>【教室向け】Claude実践セミナー 第3回：AI社員チームで教室運営を自動化する</t>
        </is>
      </c>
      <c r="C10" s="10" t="n"/>
      <c r="D10" s="10" t="inlineStr">
        <is>
          <t>Peatix</t>
        </is>
      </c>
      <c r="E10" s="10" t="inlineStr">
        <is>
          <t>オンライン(Zoom)</t>
        </is>
      </c>
      <c r="F10" s="10" t="inlineStr">
        <is>
          <t>生産性向上・業務効率化</t>
        </is>
      </c>
      <c r="G10" s="10" t="n"/>
      <c r="H10" s="15" t="inlineStr">
        <is>
          <t>https://peatix.com/event/5070199</t>
        </is>
      </c>
      <c r="I10" s="10" t="inlineStr">
        <is>
          <t>2026年7月16日 12:00-13:30 Zoom</t>
        </is>
      </c>
    </row>
    <row r="11">
      <c r="A11" s="24" t="n">
        <v>46219</v>
      </c>
      <c r="B11" s="10" t="inlineStr">
        <is>
          <t>セールステック・マーケティングDX＆AIカンファレンス 2026 夏</t>
        </is>
      </c>
      <c r="C11" s="10" t="inlineStr">
        <is>
          <t>SBクリエイティブ株式会社（ビジネス＋IT）</t>
        </is>
      </c>
      <c r="D11" s="10" t="inlineStr">
        <is>
          <t>ビジネス+IT</t>
        </is>
      </c>
      <c r="E11" s="10" t="inlineStr">
        <is>
          <t>online</t>
        </is>
      </c>
      <c r="F11" s="10" t="inlineStr">
        <is>
          <t>営業・マーケ・CS</t>
        </is>
      </c>
      <c r="G11" s="10" t="n"/>
      <c r="H11" s="15" t="inlineStr">
        <is>
          <t>https://www.sbbit.jp/eventinfo/88526</t>
        </is>
      </c>
      <c r="I11" s="10" t="inlineStr">
        <is>
          <t>緊迫する世界情勢と原料費の高騰などにより経営環境が不透明な中、多くの企業が生き残りをかけてDXを推進しています。またコロナ禍の影響や長引くインフレによりユーザーの購買行動も変容しており、営業やマーケティングについてもデジタルシフトによる転換が迫られています。さらにはChatGPTをはじめとした生成オープンAIのインパクトが企業のセールス・マーケの形も変えようとしています。変化の時代にセールスとマーケティングはどうDXを進めていくべきでし</t>
        </is>
      </c>
    </row>
    <row r="12">
      <c r="A12" s="24" t="n">
        <v>46219</v>
      </c>
      <c r="B12" s="10" t="inlineStr">
        <is>
          <t>製造業のデータ活用・分析セミナー 2026 夏</t>
        </is>
      </c>
      <c r="C12" s="10" t="inlineStr">
        <is>
          <t>SBクリエイティブ株式会社（ビジネス＋IT）</t>
        </is>
      </c>
      <c r="D12" s="10" t="inlineStr">
        <is>
          <t>ビジネス+IT</t>
        </is>
      </c>
      <c r="E12" s="10" t="inlineStr">
        <is>
          <t>online</t>
        </is>
      </c>
      <c r="F12" s="10" t="inlineStr">
        <is>
          <t>生産管理・製造・SCM</t>
        </is>
      </c>
      <c r="G12" s="10" t="n"/>
      <c r="H12" s="15" t="inlineStr">
        <is>
          <t>https://www.sbbit.jp/eventinfo/88658</t>
        </is>
      </c>
      <c r="I12" s="10" t="inlineStr">
        <is>
          <t>AI技術の発展により、製造業におけるデータの重要性が急速に高まっています。製造業者は、リアルタイムでデータを収集し、それをAIによって解析・活用する事により、市場の需要に応じた柔軟な生産体制を築きました。その結果、効率性が向上、製品の品質向上やカスタマイズされた製品の提供など、様々な面で競争力を高めることに成功しています。他方では、リアルタイムのセンサーデータと組み合わせ、AIによって解析・活用した、予兆保全や安全確保の取り組みの実現も</t>
        </is>
      </c>
    </row>
    <row r="13">
      <c r="A13" s="24" t="n">
        <v>46220</v>
      </c>
      <c r="B13" s="10" t="inlineStr">
        <is>
          <t>ものづくりDX&amp;AI フォーラム 2026 夏 東京</t>
        </is>
      </c>
      <c r="C13" s="10" t="inlineStr">
        <is>
          <t>SBクリエイティブ株式会社（ビジネス＋IT）</t>
        </is>
      </c>
      <c r="D13" s="10" t="inlineStr">
        <is>
          <t>ビジネス+IT</t>
        </is>
      </c>
      <c r="E13" s="10" t="inlineStr">
        <is>
          <t>offline</t>
        </is>
      </c>
      <c r="F13" s="10" t="inlineStr">
        <is>
          <t>生産管理・製造・SCM</t>
        </is>
      </c>
      <c r="G13" s="10" t="n"/>
      <c r="H13" s="15" t="inlineStr">
        <is>
          <t>https://www.sbbit.jp/eventinfo/88481</t>
        </is>
      </c>
      <c r="I13" s="10" t="inlineStr">
        <is>
          <t>少子高齢化や地政学リスク増大、国際的な開発競争が激化する中、日本の製造業は新たな転換期を迎えています。日本のものづくり復活のためにもデジタルトランスフォーメーションとAIの活用は、企業の競争力を大きく左右する要素となり、サプライチェーンの再構築や生産効率の向上に不可欠となっています。本フォーラムでは、製造業の未来を切り拓く最前線の事例や技術、AIデジタルツインやロボットによる製造プロセス革新、日本型サプライチェーンの再構築、次世代のスマ</t>
        </is>
      </c>
    </row>
    <row r="14">
      <c r="A14" s="24" t="n">
        <v>46226</v>
      </c>
      <c r="B14" s="10" t="inlineStr">
        <is>
          <t>SALES AI SUMMIT2026 ー AIで売上を科学する日 ー</t>
        </is>
      </c>
      <c r="C14" s="10" t="inlineStr">
        <is>
          <t>FAZOM株式会社</t>
        </is>
      </c>
      <c r="D14" s="10" t="inlineStr">
        <is>
          <t>Peatix</t>
        </is>
      </c>
      <c r="E14" s="10" t="inlineStr">
        <is>
          <t>オンライン(Zoom)</t>
        </is>
      </c>
      <c r="F14" s="10" t="inlineStr">
        <is>
          <t>営業・マーケ・CS</t>
        </is>
      </c>
      <c r="G14" s="10" t="n"/>
      <c r="H14" s="15" t="inlineStr">
        <is>
          <t>https://peatix.com/event/5093762</t>
        </is>
      </c>
      <c r="I14" s="10" t="inlineStr">
        <is>
          <t>2026年7月23日(木)9:00-17:10 Zoom 無料（主催サイト等で確認）AIと営業データで組織を変えた実践者のみ登壇</t>
        </is>
      </c>
    </row>
    <row r="15">
      <c r="A15" s="24" t="n">
        <v>46227</v>
      </c>
      <c r="B15" s="10" t="inlineStr">
        <is>
          <t>AIコンテンツ勉強会【AI CONTENTS BOOST #07】AIが「演じる」とき、映像作家は何を創るのか？――アヌシー2026で目撃した映像制作の次なる変化</t>
        </is>
      </c>
      <c r="C15" s="10" t="n"/>
      <c r="D15" s="10" t="inlineStr">
        <is>
          <t>Peatix</t>
        </is>
      </c>
      <c r="E15" s="10" t="inlineStr">
        <is>
          <t>オンライン</t>
        </is>
      </c>
      <c r="F15" s="10" t="inlineStr">
        <is>
          <t>技術・AI全般</t>
        </is>
      </c>
      <c r="G15" s="10" t="n"/>
      <c r="H15" s="15" t="inlineStr">
        <is>
          <t>https://peatix.com/event/5084894</t>
        </is>
      </c>
      <c r="I15" s="10" t="inlineStr">
        <is>
          <t>2026年7月24日(金)19:00-20:30</t>
        </is>
      </c>
    </row>
    <row r="16">
      <c r="A16" s="24" t="n">
        <v>46227</v>
      </c>
      <c r="B16" s="10" t="inlineStr">
        <is>
          <t>Coupa Inspire World Tour Tokyo 2026</t>
        </is>
      </c>
      <c r="C16" s="10" t="inlineStr">
        <is>
          <t>Coupa株式会社</t>
        </is>
      </c>
      <c r="D16" s="10" t="inlineStr">
        <is>
          <t>ビジネス+IT</t>
        </is>
      </c>
      <c r="E16" s="10" t="inlineStr">
        <is>
          <t>offline</t>
        </is>
      </c>
      <c r="F16" s="10" t="inlineStr">
        <is>
          <t>生産性向上・業務効率化</t>
        </is>
      </c>
      <c r="G16" s="10" t="n"/>
      <c r="H16" s="15" t="inlineStr">
        <is>
          <t>https://www.sbbit.jp/eventinfo/89087</t>
        </is>
      </c>
      <c r="I16" s="10" t="inlineStr">
        <is>
          <t>「Inspire World Tour Tokyo」へようこそ。 Inspireならではの熱気とイノベーションをぜひご体感ください。 本イベントでは、Coupa コミュニティが生み出すネットワーク効果の真価とともに、CoupaのAIネイティブプラットフォームが貴社のビジネスにどのような変革をもたらすかをご提案いたします。 意思決定者の方々を対象とした無料イベントですが、お座席には限りがございます。 ぜひお早めにお申し込みください。</t>
        </is>
      </c>
    </row>
    <row r="17">
      <c r="A17" s="24" t="n">
        <v>46227</v>
      </c>
      <c r="B17" s="10" t="inlineStr">
        <is>
          <t>KRPフェス2026：生成AIがひらく研究開発と事業創出の可能性〜OpenAIと実践者の視点から考える、AI活用の現在地〜</t>
        </is>
      </c>
      <c r="C17" s="10" t="inlineStr">
        <is>
          <t>京都リサーチパーク</t>
        </is>
      </c>
      <c r="D17" s="10" t="inlineStr">
        <is>
          <t>Peatix</t>
        </is>
      </c>
      <c r="E17" s="10" t="inlineStr">
        <is>
          <t>会場</t>
        </is>
      </c>
      <c r="F17" s="10" t="inlineStr">
        <is>
          <t>開発生産性</t>
        </is>
      </c>
      <c r="G17" s="10" t="n"/>
      <c r="H17" s="15" t="inlineStr">
        <is>
          <t>https://peatix.com/event/5007968</t>
        </is>
      </c>
      <c r="I17" s="10" t="inlineStr">
        <is>
          <t>2026年7月24日(金)13:30-15:00 OpenAI Japan登壇</t>
        </is>
      </c>
    </row>
    <row r="18">
      <c r="A18" s="24" t="n">
        <v>46227</v>
      </c>
      <c r="B18" s="10" t="inlineStr">
        <is>
          <t>PendomoniumX Tokyo 2026</t>
        </is>
      </c>
      <c r="C18" s="10" t="inlineStr">
        <is>
          <t>Pendo.io Japan</t>
        </is>
      </c>
      <c r="D18" s="10" t="inlineStr">
        <is>
          <t>ビジネス+IT</t>
        </is>
      </c>
      <c r="E18" s="10" t="inlineStr">
        <is>
          <t>offline</t>
        </is>
      </c>
      <c r="F18" s="10" t="inlineStr">
        <is>
          <t>営業・マーケ・CS</t>
        </is>
      </c>
      <c r="G18" s="10" t="n"/>
      <c r="H18" s="15" t="inlineStr">
        <is>
          <t>https://www.sbbit.jp/eventinfo/88335</t>
        </is>
      </c>
      <c r="I18" s="10" t="inlineStr">
        <is>
          <t>AIとともに“判断できる組織”へ 生成AIの進化は、企業にかつてない量と速度でデータを扱う力をもたらしました。しかし競争力を分けるのは、AIを導入したかどうかではありません。データとAIを、経営、プロダクト、顧客体験といった中核領域の意思決定にどう組み込み、組織として機能させられるかです。 PendomoniumX Tokyo 2026では、企業変革を担う経営層およびプロダクトリーダーとともに、AIとデータが実際の意思決定プロセスをどの</t>
        </is>
      </c>
    </row>
    <row r="19">
      <c r="A19" s="24" t="n">
        <v>46228</v>
      </c>
      <c r="B19" s="10" t="inlineStr">
        <is>
          <t>GWSユーザー必見｜Google AIの最新情報&amp;今後のポジション予測</t>
        </is>
      </c>
      <c r="C19" s="10" t="inlineStr">
        <is>
          <t>講師:井澤良介(ALLAI/シンカAI)</t>
        </is>
      </c>
      <c r="D19" s="10" t="inlineStr">
        <is>
          <t>Peatix</t>
        </is>
      </c>
      <c r="E19" s="10" t="inlineStr">
        <is>
          <t>オンライン</t>
        </is>
      </c>
      <c r="F19" s="10" t="inlineStr">
        <is>
          <t>技術・AI全般</t>
        </is>
      </c>
      <c r="G19" s="10" t="n"/>
      <c r="H19" s="15" t="inlineStr">
        <is>
          <t>https://miraichi0725.peatix.com/</t>
        </is>
      </c>
      <c r="I19" s="10" t="inlineStr">
        <is>
          <t>Sheets Canvas/Drive プロジェクト実演、ChatGPTとClaudeの違い。チケット販売7/26 22:00まで、サブドメイン0725（年は推定）</t>
        </is>
      </c>
    </row>
    <row r="20">
      <c r="A20" s="24" t="n">
        <v>46230</v>
      </c>
      <c r="B20" s="10" t="inlineStr">
        <is>
          <t>【7.27/無料/ｵﾝﾗｲﾝ】AI時代の事業開発の"本質"｜「AI活用」の、その手前にある"全体像"</t>
        </is>
      </c>
      <c r="C20" s="10" t="n"/>
      <c r="D20" s="10" t="inlineStr">
        <is>
          <t>Peatix</t>
        </is>
      </c>
      <c r="E20" s="10" t="inlineStr">
        <is>
          <t>オンライン</t>
        </is>
      </c>
      <c r="F20" s="10" t="inlineStr">
        <is>
          <t>開発生産性</t>
        </is>
      </c>
      <c r="G20" s="10" t="n"/>
      <c r="H20" s="15" t="inlineStr">
        <is>
          <t>https://peatix.com/event/5096574</t>
        </is>
      </c>
      <c r="I20" s="10" t="inlineStr">
        <is>
          <t>タイトルに7.27/無料/オンライン（年はイベントID帯から2026年と推定）</t>
        </is>
      </c>
    </row>
    <row r="21">
      <c r="A21" s="24" t="n">
        <v>46231</v>
      </c>
      <c r="B21" s="10" t="inlineStr">
        <is>
          <t>WorksWay 2026</t>
        </is>
      </c>
      <c r="C21" s="10" t="inlineStr">
        <is>
          <t>株式会社ワークスアプリケーションズ</t>
        </is>
      </c>
      <c r="D21" s="10" t="inlineStr">
        <is>
          <t>ビジネス+IT</t>
        </is>
      </c>
      <c r="E21" s="10" t="inlineStr">
        <is>
          <t>online</t>
        </is>
      </c>
      <c r="F21" s="10" t="inlineStr">
        <is>
          <t>生産性向上・業務効率化</t>
        </is>
      </c>
      <c r="G21" s="10" t="n"/>
      <c r="H21" s="15" t="inlineStr">
        <is>
          <t>https://www.sbbit.jp/eventinfo/89149</t>
        </is>
      </c>
      <c r="I21" s="10" t="inlineStr">
        <is>
          <t>人×業務×テクノロジーの再設計で創る新しい企業価値 AIの進化が加速する今、議論はテクノロジーに偏りがちです。 しかし本当に見直すべきなのは、「人」「業務」「テクノロジー」の関係性そのものです。 人の役割を再定義し、業務を再設計し、テクノロジーを組み直す。 三位を一体で捉え直し、その構造を一新する。 単なる効率化ではなく、持続的な競争力を生み出す企業基盤へ。 WorksWay 2026で、その具体解を探ります。</t>
        </is>
      </c>
    </row>
    <row r="22">
      <c r="A22" s="24" t="n">
        <v>46231</v>
      </c>
      <c r="B22" s="10" t="inlineStr">
        <is>
          <t>【中堅・大企業向け】AI活用定着の壁、導入したAIはなぜ現場で使われないのか</t>
        </is>
      </c>
      <c r="C22" s="10" t="inlineStr">
        <is>
          <t>株式会社エクサ（協力：マジセミ株式会社）</t>
        </is>
      </c>
      <c r="D22" s="10" t="inlineStr">
        <is>
          <t>マジセミ</t>
        </is>
      </c>
      <c r="E22" s="10" t="inlineStr">
        <is>
          <t>online</t>
        </is>
      </c>
      <c r="F22" s="10" t="inlineStr">
        <is>
          <t>生産性向上・業務効率化</t>
        </is>
      </c>
      <c r="G22" s="10" t="n">
        <v>3</v>
      </c>
      <c r="H22" s="15" t="inlineStr">
        <is>
          <t>https://prtimes.jp/main/html/rd/p/000005443.000054842.html</t>
        </is>
      </c>
      <c r="I22" s="10" t="inlineStr">
        <is>
          <t>■AI導入は進む一方、活用成果が見えてこない 生成AIやAIツールの導入は、競争力の維持・向上に欠かせない要素として、中堅・大企業を中心に急速に進みつつあります。一方で、導入後に期待したほど業務改善につながらず、現場では一部の社員が個人利用するだけにとどまる、または契約したAIツールが思ったほど使われないといった状況も少なくありません。AIの導入自体をゴールにせず、現場業務の中で継続的に使われ、成果につながる状態をいかに作るかが問われて</t>
        </is>
      </c>
    </row>
    <row r="23">
      <c r="A23" s="24" t="n">
        <v>46231</v>
      </c>
      <c r="B23" s="10" t="inlineStr">
        <is>
          <t>【経営者限定5社】AIで次の新規事業をはじめる｜経営者のための2時間ワークショップ</t>
        </is>
      </c>
      <c r="C23" s="10" t="n"/>
      <c r="D23" s="10" t="inlineStr">
        <is>
          <t>Peatix</t>
        </is>
      </c>
      <c r="E23" s="10" t="inlineStr">
        <is>
          <t>会場</t>
        </is>
      </c>
      <c r="F23" s="10" t="inlineStr">
        <is>
          <t>生産性向上・業務効率化</t>
        </is>
      </c>
      <c r="G23" s="10" t="n"/>
      <c r="H23" s="15" t="inlineStr">
        <is>
          <t>https://peatix.com/event/5077177</t>
        </is>
      </c>
      <c r="I23" s="10" t="inlineStr">
        <is>
          <t>2026年7月28日16:00-19:00（本編16-18時）経営者限定5社</t>
        </is>
      </c>
    </row>
    <row r="24">
      <c r="A24" s="24" t="n">
        <v>46231</v>
      </c>
      <c r="B24" s="10" t="inlineStr">
        <is>
          <t>商談記録の検討・導入で押さえるべき6つの観点</t>
        </is>
      </c>
      <c r="C24" s="10" t="inlineStr">
        <is>
          <t>株式会社ナレッジワーク</t>
        </is>
      </c>
      <c r="D24" s="10" t="inlineStr">
        <is>
          <t>ビジネス+IT</t>
        </is>
      </c>
      <c r="E24" s="10" t="inlineStr">
        <is>
          <t>online</t>
        </is>
      </c>
      <c r="F24" s="10" t="inlineStr">
        <is>
          <t>営業・マーケ・CS</t>
        </is>
      </c>
      <c r="G24" s="10" t="n"/>
      <c r="H24" s="15" t="inlineStr">
        <is>
          <t>https://www.sbbit.jp/eventinfo/89707</t>
        </is>
      </c>
      <c r="I24" s="10" t="inlineStr">
        <is>
          <t>議事録作成やCRM/SFA入力の自動化を目的に、AI商談記録ツールの導入を検討する企業が増えています。 一方で、「導入したものの議事録作成止まりで、営業力強化やデータ活用にまでつながらない」「対面商談が記録できず、蓄積したデータに抜け漏れがある」といった声も少なくありません。 こうした差が生まれる原因のひとつは、検討段階で文字起こしの精度や議事録作成といった一部の機能だけを比較してしまうことにあります。 商談データを営業組織の資産にする</t>
        </is>
      </c>
    </row>
    <row r="25">
      <c r="A25" s="24" t="n">
        <v>46233</v>
      </c>
      <c r="B25" s="10" t="inlineStr">
        <is>
          <t>後継ぎ社長 × AI 業務改革スペシャルイベント</t>
        </is>
      </c>
      <c r="C25" s="10" t="n"/>
      <c r="D25" s="10" t="inlineStr">
        <is>
          <t>Peatix</t>
        </is>
      </c>
      <c r="E25" s="10" t="inlineStr">
        <is>
          <t>会場</t>
        </is>
      </c>
      <c r="F25" s="10" t="inlineStr">
        <is>
          <t>生産性向上・業務効率化</t>
        </is>
      </c>
      <c r="G25" s="10" t="n"/>
      <c r="H25" s="15" t="inlineStr">
        <is>
          <t>https://peatix.com/event/5037623</t>
        </is>
      </c>
      <c r="I25" s="10" t="inlineStr">
        <is>
          <t>7月30日 渋谷SOIL 後継ぎ・事業承継期の経営者向け</t>
        </is>
      </c>
    </row>
    <row r="26">
      <c r="A26" s="24" t="n">
        <v>46238</v>
      </c>
      <c r="B26" s="10" t="inlineStr">
        <is>
          <t>NiCE World Japan 2026 大阪</t>
        </is>
      </c>
      <c r="C26" s="10" t="inlineStr">
        <is>
          <t>ナイスジャパン株式会社</t>
        </is>
      </c>
      <c r="D26" s="10" t="inlineStr">
        <is>
          <t>ビジネス+IT</t>
        </is>
      </c>
      <c r="E26" s="10" t="inlineStr">
        <is>
          <t>offline</t>
        </is>
      </c>
      <c r="F26" s="10" t="inlineStr">
        <is>
          <t>営業・マーケ・CS</t>
        </is>
      </c>
      <c r="G26" s="10" t="n"/>
      <c r="H26" s="15" t="inlineStr">
        <is>
          <t>https://www.sbbit.jp/eventinfo/89511</t>
        </is>
      </c>
      <c r="I26" s="10" t="inlineStr">
        <is>
          <t>NiCE Worldへようこそ NiCE World Japanは、Interactionsで培われた革新性、知見、そしてコミュニティの価値を、さらにスケールアップさせたイベントです。 CXリーダーと共に、最先端テクノロジーを体感し、実際の成果につながるAI戦略を発見してください。 究極のCX体験へ、ぜひご参加ください！</t>
        </is>
      </c>
    </row>
    <row r="27">
      <c r="A27" s="24" t="n">
        <v>46239</v>
      </c>
      <c r="B27" s="10" t="inlineStr">
        <is>
          <t>AI協奏が拓く人的資本経営の未来 ~HRテクノロジーコンソーシアム 2026年 年次総会~</t>
        </is>
      </c>
      <c r="C27" s="10" t="inlineStr">
        <is>
          <t>HRテクノロジーコンソーシアム</t>
        </is>
      </c>
      <c r="D27" s="10" t="inlineStr">
        <is>
          <t>Peatix</t>
        </is>
      </c>
      <c r="E27" s="10" t="inlineStr">
        <is>
          <t>不明</t>
        </is>
      </c>
      <c r="F27" s="10" t="inlineStr">
        <is>
          <t>生産性向上・業務効率化</t>
        </is>
      </c>
      <c r="G27" s="10" t="n"/>
      <c r="H27" s="15" t="inlineStr">
        <is>
          <t>https://hrt-seminar20260805.peatix.com/</t>
        </is>
      </c>
      <c r="I27" s="10" t="inlineStr">
        <is>
          <t>サブドメインhrt-seminar20260805から日付推定（スニペットに日時記載なし）</t>
        </is>
      </c>
    </row>
    <row r="28">
      <c r="A28" s="24" t="n">
        <v>46239</v>
      </c>
      <c r="B28" s="10" t="inlineStr">
        <is>
          <t>AI組織定着 実践講座</t>
        </is>
      </c>
      <c r="C28" s="10" t="inlineStr">
        <is>
          <t>SBクリエイティブ株式会社/ビジネス+IT</t>
        </is>
      </c>
      <c r="D28" s="10" t="inlineStr">
        <is>
          <t>ビジネス+IT</t>
        </is>
      </c>
      <c r="E28" s="10" t="inlineStr">
        <is>
          <t>online</t>
        </is>
      </c>
      <c r="F28" s="10" t="inlineStr">
        <is>
          <t>営業・マーケ・CS</t>
        </is>
      </c>
      <c r="G28" s="10" t="n"/>
      <c r="H28" s="15" t="inlineStr">
        <is>
          <t>https://www.sbbit.jp/eventinfo/89680</t>
        </is>
      </c>
      <c r="I28" s="10" t="inlineStr">
        <is>
          <t>日時： 2026年8月5日（水）16:00～18:00 会場： オンライン 定員： オンライン受講 無制限 受講料：オンライン受講 22,000円（税込） 主催： SBクリエイティブ株式会社（ビジネス＋IT／FinTech Journal）</t>
        </is>
      </c>
    </row>
    <row r="29">
      <c r="A29" s="24" t="n">
        <v>46240</v>
      </c>
      <c r="B29" s="10" t="inlineStr">
        <is>
          <t>AI音声DX最前線</t>
        </is>
      </c>
      <c r="C29" s="10" t="inlineStr">
        <is>
          <t>SBクリエイティブ株式会社（ビジネス＋IT）</t>
        </is>
      </c>
      <c r="D29" s="10" t="inlineStr">
        <is>
          <t>ビジネス+IT</t>
        </is>
      </c>
      <c r="E29" s="10" t="inlineStr">
        <is>
          <t>online</t>
        </is>
      </c>
      <c r="F29" s="10" t="inlineStr">
        <is>
          <t>生産性向上・業務効率化</t>
        </is>
      </c>
      <c r="G29" s="10" t="n"/>
      <c r="H29" s="15" t="inlineStr">
        <is>
          <t>https://www.sbbit.jp/eventinfo/89285</t>
        </is>
      </c>
      <c r="I29" s="10" t="inlineStr">
        <is>
          <t>営業・接客・コンタクトセンターなど、企業の最前線となる“現場コミュニケーション”では、商談記録の属人化、対応品質のばらつき、不適切対応や情報隠蔽、カスタマーハラスメント対応など、可視化されにくい課題が顕在化しています。特に対面・電話でのやり取りは記録が残りづらく、教育・監査・ナレッジ共有・証跡管理の観点でも大きな課題となってきました。こうした中、AI音声技術の進化により、会話の自動文字起こし、要約、感情分析、リアルタイム支援、データ連携</t>
        </is>
      </c>
    </row>
    <row r="30">
      <c r="A30" s="24" t="n">
        <v>46240</v>
      </c>
      <c r="B30" s="10" t="inlineStr">
        <is>
          <t>LSS×Dell Technologies 【AI PC時代の業務変革最前線】最新の生成AI活用支援プログラムと業界別AIソリューションユースケースセミナー</t>
        </is>
      </c>
      <c r="C30" s="10" t="inlineStr">
        <is>
          <t>LSS×Dell Technologies</t>
        </is>
      </c>
      <c r="D30" s="10" t="inlineStr">
        <is>
          <t>Peatix</t>
        </is>
      </c>
      <c r="E30" s="10" t="inlineStr">
        <is>
          <t>会場</t>
        </is>
      </c>
      <c r="F30" s="10" t="inlineStr">
        <is>
          <t>営業・マーケ・CS</t>
        </is>
      </c>
      <c r="G30" s="10" t="n"/>
      <c r="H30" s="15" t="inlineStr">
        <is>
          <t>https://peatix.com/event/4760653</t>
        </is>
      </c>
      <c r="I30" s="10" t="inlineStr">
        <is>
          <t>2026年8月6日(木)15:00-19:00 申込締切8/5</t>
        </is>
      </c>
    </row>
    <row r="31">
      <c r="A31" s="24" t="n">
        <v>46240</v>
      </c>
      <c r="B31" s="10" t="inlineStr">
        <is>
          <t>NiCE World Japan 2026 福岡</t>
        </is>
      </c>
      <c r="C31" s="10" t="inlineStr">
        <is>
          <t>ナイスジャパン株式会社</t>
        </is>
      </c>
      <c r="D31" s="10" t="inlineStr">
        <is>
          <t>ビジネス+IT</t>
        </is>
      </c>
      <c r="E31" s="10" t="inlineStr">
        <is>
          <t>offline</t>
        </is>
      </c>
      <c r="F31" s="10" t="inlineStr">
        <is>
          <t>営業・マーケ・CS</t>
        </is>
      </c>
      <c r="G31" s="10" t="n"/>
      <c r="H31" s="15" t="inlineStr">
        <is>
          <t>https://www.sbbit.jp/eventinfo/89512</t>
        </is>
      </c>
      <c r="I31" s="10" t="inlineStr">
        <is>
          <t>NiCE Worldへようこそ NiCE World Japanは、Interactionsで培われた革新性、知見、そしてコミュニティの価値を、さらにスケールアップさせたイベントです。 CXリーダーと共に、最先端テクノロジーを体感し、実際の成果につながるAI戦略を発見してください。 究極のCX体験へ、ぜひご参加ください！</t>
        </is>
      </c>
    </row>
    <row r="32">
      <c r="A32" s="24" t="n">
        <v>46240</v>
      </c>
      <c r="B32" s="10" t="inlineStr">
        <is>
          <t>XR Kaigi Hub 名古屋 - フィジカルAI meets XR</t>
        </is>
      </c>
      <c r="C32" s="10" t="n"/>
      <c r="D32" s="10" t="inlineStr">
        <is>
          <t>Peatix</t>
        </is>
      </c>
      <c r="E32" s="10" t="inlineStr">
        <is>
          <t>会場</t>
        </is>
      </c>
      <c r="F32" s="10" t="inlineStr">
        <is>
          <t>生産管理・製造・SCM</t>
        </is>
      </c>
      <c r="G32" s="10" t="n"/>
      <c r="H32" s="15" t="inlineStr">
        <is>
          <t>https://xrkaigihub-nagoya2026.peatix.com/view</t>
        </is>
      </c>
      <c r="I32" s="10" t="inlineStr">
        <is>
          <t>2026年8月6日11:00-18:00 STATION Ai</t>
        </is>
      </c>
    </row>
    <row r="33">
      <c r="A33" s="24" t="n">
        <v>46242</v>
      </c>
      <c r="B33" s="10" t="inlineStr">
        <is>
          <t>MERGE 2026 - AI駆動開発 × Design</t>
        </is>
      </c>
      <c r="C33" s="10" t="inlineStr">
        <is>
          <t>GustoDevelopment/Protocore/AI駆動開発コミュニティ/Next AI Leaders</t>
        </is>
      </c>
      <c r="D33" s="10" t="inlineStr">
        <is>
          <t>Peatix</t>
        </is>
      </c>
      <c r="E33" s="10" t="inlineStr">
        <is>
          <t>ハイブリッド</t>
        </is>
      </c>
      <c r="F33" s="10" t="inlineStr">
        <is>
          <t>開発生産性</t>
        </is>
      </c>
      <c r="G33" s="10" t="n"/>
      <c r="H33" s="15" t="inlineStr">
        <is>
          <t>https://merge2026.peatix.com/view</t>
        </is>
      </c>
      <c r="I33" s="10" t="inlineStr">
        <is>
          <t>2026年8月8日(土)10:00-20:00 会場200名+オンライン300名想定</t>
        </is>
      </c>
    </row>
    <row r="34">
      <c r="A34" s="24" t="n">
        <v>46254</v>
      </c>
      <c r="B34" s="10" t="inlineStr">
        <is>
          <t>8/20（木）第1回コアコネ超会議</t>
        </is>
      </c>
      <c r="C34" s="10" t="n"/>
      <c r="D34" s="10" t="inlineStr">
        <is>
          <t>Peatix</t>
        </is>
      </c>
      <c r="E34" s="10" t="inlineStr">
        <is>
          <t>会場</t>
        </is>
      </c>
      <c r="F34" s="10" t="inlineStr">
        <is>
          <t>生産性向上・業務効率化</t>
        </is>
      </c>
      <c r="G34" s="10" t="n"/>
      <c r="H34" s="15" t="inlineStr">
        <is>
          <t>https://peatix.com/event/5073918</t>
        </is>
      </c>
      <c r="I34" s="10" t="inlineStr">
        <is>
          <t>2026年8月20日19:00-21:30 テーマ「AI爆速成長時代のベンチャー経営の手引き」コア会員無料/一般5,000円</t>
        </is>
      </c>
    </row>
    <row r="35">
      <c r="A35" s="24" t="n">
        <v>46254</v>
      </c>
      <c r="B35" s="10" t="inlineStr">
        <is>
          <t>AI時代の製造現場DX成功の要因</t>
        </is>
      </c>
      <c r="C35" s="10" t="inlineStr">
        <is>
          <t>SBクリエイティブ株式会社（ビジネス＋IT）</t>
        </is>
      </c>
      <c r="D35" s="10" t="inlineStr">
        <is>
          <t>ビジネス+IT</t>
        </is>
      </c>
      <c r="E35" s="10" t="inlineStr">
        <is>
          <t>online</t>
        </is>
      </c>
      <c r="F35" s="10" t="inlineStr">
        <is>
          <t>生産管理・製造・SCM</t>
        </is>
      </c>
      <c r="G35" s="10" t="n"/>
      <c r="H35" s="15" t="inlineStr">
        <is>
          <t>https://www.sbbit.jp/eventinfo/88939</t>
        </is>
      </c>
      <c r="I35" s="10" t="inlineStr">
        <is>
          <t>少子高齢化による労働人口の減少や働き手の高齢化により、製造業では「人材不足」や「技能伝承」といった長年懸念されている問題が一段と深刻化しています。これらの課題を解決するためにはDXに加え、生成AIやフィジカルAI・ロボティクスの活用が急務とされています。「情報の見える化」「技術継承支援」「DX・AI人材の育成」「生産性の向上」など、今後急務且つ、長期的に取り組む必要のある事が山積みです。当Webセミナーでは、先進的な取り組みで、製造業の</t>
        </is>
      </c>
    </row>
    <row r="36">
      <c r="A36" s="24" t="n">
        <v>46258</v>
      </c>
      <c r="B36" s="10" t="inlineStr">
        <is>
          <t>Microsoft Copilotビジネス実践講座第2弾</t>
        </is>
      </c>
      <c r="C36" s="10" t="inlineStr">
        <is>
          <t>SBクリエイティブ株式会社（ビジネス＋IT）</t>
        </is>
      </c>
      <c r="D36" s="10" t="inlineStr">
        <is>
          <t>ビジネス+IT</t>
        </is>
      </c>
      <c r="E36" s="10" t="inlineStr">
        <is>
          <t>hybrid</t>
        </is>
      </c>
      <c r="F36" s="10" t="inlineStr">
        <is>
          <t>生産性向上・業務効率化</t>
        </is>
      </c>
      <c r="G36" s="10" t="n"/>
      <c r="H36" s="15" t="inlineStr">
        <is>
          <t>https://www.sbbit.jp/eventinfo/89968</t>
        </is>
      </c>
      <c r="I36" s="10" t="inlineStr">
        <is>
          <t>日時： 2026年8月24日（月）15:00 - 18:00 会場： 住友不動産虎ノ門タワー23F（SBクリエイティブ株式会社） 定員： 会場 30名程度 ／ オンライン受講 無制限 受講料： 会場受講 33,000円（税込） ／ オンライン受講 22,000円（税込） 主催： SBクリエイティブ株式会社（ビジネス＋IT）</t>
        </is>
      </c>
    </row>
    <row r="37">
      <c r="A37" s="24" t="n">
        <v>46259</v>
      </c>
      <c r="B37" s="10" t="inlineStr">
        <is>
          <t>AIが自律的に事業リスクを見つけ、打ち手まで示す経営へ</t>
        </is>
      </c>
      <c r="C37" s="10" t="inlineStr">
        <is>
          <t>日本オラクル株式会社</t>
        </is>
      </c>
      <c r="D37" s="10" t="inlineStr">
        <is>
          <t>ビジネス+IT</t>
        </is>
      </c>
      <c r="E37" s="10" t="inlineStr">
        <is>
          <t>online</t>
        </is>
      </c>
      <c r="F37" s="10" t="inlineStr">
        <is>
          <t>生産性向上・業務効率化</t>
        </is>
      </c>
      <c r="G37" s="10" t="n"/>
      <c r="H37" s="15" t="inlineStr">
        <is>
          <t>https://www.sbbit.jp/eventinfo/89893</t>
        </is>
      </c>
      <c r="I37" s="10" t="inlineStr">
        <is>
          <t xml:space="preserve">業績悪化の兆候、需要の変化、供給遅延、コスト超過、人材流出のリスク。 ビジネス上の重要な変化は、顕在化する前から、企業内のデータや業務プロセスに現れています。 これからのAIに求められるのは、質問に答えることだけではありません。企業固有のデータ、ビジネスルール、業務の流れを理解し、異常やリスクを自律的に検知する。さらに、その背景や影響を分析し、判断の根拠となるエビデンスとともに、次に取るべきアクションを提示することです。 Oracle </t>
        </is>
      </c>
    </row>
    <row r="38">
      <c r="A38" s="24" t="n">
        <v>46260</v>
      </c>
      <c r="B38" s="10" t="inlineStr">
        <is>
          <t>【B-5】仕事に役立つ、生成AIを活用した広報7つのコツ講座。</t>
        </is>
      </c>
      <c r="C38" s="10" t="n"/>
      <c r="D38" s="10" t="inlineStr">
        <is>
          <t>Peatix</t>
        </is>
      </c>
      <c r="E38" s="10" t="inlineStr">
        <is>
          <t>会場</t>
        </is>
      </c>
      <c r="F38" s="10" t="inlineStr">
        <is>
          <t>生産性向上・業務効率化</t>
        </is>
      </c>
      <c r="G38" s="10" t="n"/>
      <c r="H38" s="15" t="inlineStr">
        <is>
          <t>https://peatix.com/event/5013999</t>
        </is>
      </c>
      <c r="I38" s="10" t="inlineStr">
        <is>
          <t>2026年8月26日(水)11:00-13:00 生成AIを広報業務に活かす7つの視点、プレスリリース下書き・チェックリスト持ち帰り</t>
        </is>
      </c>
    </row>
    <row r="39">
      <c r="A39" s="24" t="n">
        <v>46260</v>
      </c>
      <c r="B39" s="10" t="inlineStr">
        <is>
          <t>検索・要約で終わらせない、Copilotでつくる「AI社員」実践ワークショップを8月26日に無料オンライン開催</t>
        </is>
      </c>
      <c r="C39" s="10" t="inlineStr">
        <is>
          <t>株式会社Meta Heroes</t>
        </is>
      </c>
      <c r="D39" s="10" t="inlineStr">
        <is>
          <t>PR TIMES</t>
        </is>
      </c>
      <c r="E39" s="10" t="inlineStr">
        <is>
          <t>online</t>
        </is>
      </c>
      <c r="F39" s="10" t="inlineStr">
        <is>
          <t>生産性向上・業務効率化</t>
        </is>
      </c>
      <c r="G39" s="10" t="n"/>
      <c r="H39" s="15" t="inlineStr">
        <is>
          <t>https://prtimes.jp/main/html/rd/p/000000403.000094539.html</t>
        </is>
      </c>
      <c r="I39" s="10" t="inlineStr">
        <is>
          <t>株式会社Meta Heroesと株式会社Meta Osakaは、2026年8月26日（水）15:00〜17:00、企業の実務担当者を対象とした無料オンラインイベント「Copilotでつくる『AI社員』実践ワークショップ」をGoogle Meetで開催します。 本イベントでいう「AI社員」は、AIが人間の社員と同じように完全自律で働くことを意味するものではありません。メール、資料作成、情報整理などの日常業務を支援するAI活用の考え方を示す</t>
        </is>
      </c>
    </row>
    <row r="40">
      <c r="A40" s="24" t="n">
        <v>46261</v>
      </c>
      <c r="B40" s="10" t="inlineStr">
        <is>
          <t>【見逃しアーカイブ】Gemini × NotebookLMで「26人のAI社員」を雇って仕事を自動化 完全攻略セミナー</t>
        </is>
      </c>
      <c r="C40" s="10" t="inlineStr">
        <is>
          <t>えーたん(@ai_jitan)</t>
        </is>
      </c>
      <c r="D40" s="10" t="inlineStr">
        <is>
          <t>Peatix</t>
        </is>
      </c>
      <c r="E40" s="10" t="inlineStr">
        <is>
          <t>アーカイブ配信</t>
        </is>
      </c>
      <c r="F40" s="10" t="inlineStr">
        <is>
          <t>生産性向上・業務効率化</t>
        </is>
      </c>
      <c r="G40" s="10" t="n"/>
      <c r="H40" s="15" t="inlineStr">
        <is>
          <t>https://peatix.com/event/5156216</t>
        </is>
      </c>
      <c r="I40" s="10" t="inlineStr">
        <is>
          <t>見逃しアーカイブ 8月27日〜31日限定販売</t>
        </is>
      </c>
    </row>
    <row r="41">
      <c r="A41" s="24" t="n">
        <v>46262</v>
      </c>
      <c r="B41" s="10" t="inlineStr">
        <is>
          <t>THE MARKETING SHIFT 2026 in TOKYO / REHATCH株式会社</t>
        </is>
      </c>
      <c r="C41" s="10" t="inlineStr">
        <is>
          <t>REHATCH株式会社</t>
        </is>
      </c>
      <c r="D41" s="10" t="inlineStr">
        <is>
          <t>Peatix</t>
        </is>
      </c>
      <c r="E41" s="10" t="inlineStr">
        <is>
          <t>会場+オンライン</t>
        </is>
      </c>
      <c r="F41" s="10" t="inlineStr">
        <is>
          <t>生産管理・製造・SCM</t>
        </is>
      </c>
      <c r="G41" s="10" t="n"/>
      <c r="H41" s="15" t="inlineStr">
        <is>
          <t>https://peatix.com/event/5112256</t>
        </is>
      </c>
      <c r="I41" s="10" t="inlineStr">
        <is>
          <t>2026年8月28日(金)18:30-22:00（PR TIMES等で確認）経営者・CMO・マーケター向け、マーケティングAI OS「ENSOR」正式リリース、無料</t>
        </is>
      </c>
    </row>
    <row r="42">
      <c r="A42" s="24" t="n">
        <v>46266</v>
      </c>
      <c r="B42" s="10" t="inlineStr">
        <is>
          <t>【国内外の大手企業トップリーダーが集結】三菱UFJ・NTTデータ・フジクラ・Google・外資系コンサルなど語る、AI時代の「勝ち組の条件」</t>
        </is>
      </c>
      <c r="C42" s="10" t="inlineStr">
        <is>
          <t>日経BP</t>
        </is>
      </c>
      <c r="D42" s="10" t="inlineStr">
        <is>
          <t>Peatix</t>
        </is>
      </c>
      <c r="E42" s="10" t="inlineStr">
        <is>
          <t>ハイブリッド</t>
        </is>
      </c>
      <c r="F42" s="10" t="inlineStr">
        <is>
          <t>技術・AI全般</t>
        </is>
      </c>
      <c r="G42" s="10" t="n"/>
      <c r="H42" s="15" t="inlineStr">
        <is>
          <t>https://peatix.com/event/5142487</t>
        </is>
      </c>
      <c r="I42" s="10" t="inlineStr">
        <is>
          <t>AIリーダーズ会議 2026 Autumn。9月1日9:30-18:10・2日9:30-17:40、無料事前登録（日経BP等の告知で確認）</t>
        </is>
      </c>
    </row>
    <row r="43">
      <c r="A43" s="24" t="n">
        <v>46267</v>
      </c>
      <c r="B43" s="10" t="inlineStr">
        <is>
          <t>【好評につき再放送】NECが実践するSFA×AIによる営業組織変革</t>
        </is>
      </c>
      <c r="C43" s="10" t="inlineStr">
        <is>
          <t>株式会社ナレッジワーク</t>
        </is>
      </c>
      <c r="D43" s="10" t="inlineStr">
        <is>
          <t>ビジネス+IT</t>
        </is>
      </c>
      <c r="E43" s="10" t="inlineStr">
        <is>
          <t>online</t>
        </is>
      </c>
      <c r="F43" s="10" t="inlineStr">
        <is>
          <t>営業・マーケ・CS</t>
        </is>
      </c>
      <c r="G43" s="10" t="n"/>
      <c r="H43" s="15" t="inlineStr">
        <is>
          <t>https://www.sbbit.jp/eventinfo/90088</t>
        </is>
      </c>
      <c r="I43" s="10" t="inlineStr">
        <is>
          <t>大手企業の営業組織では、SFAの入力負荷や商談ナレッジの属人化が長年の課題となっています。特に組織規模が大きいほど、ハイパフォーマーのノウハウが組織全体に広がらず、PoC（概念実証）から全社展開へのロードマップが描けないといった壁に直面しがちです。 NECデジタルワークプレイス統括部では、SFAとAI商談記録を連携させ、1,000名規模での全社展開に向けた取り組みを推進しています。 AI商談記録の導入により、1会議あたり約25分の工数削</t>
        </is>
      </c>
    </row>
    <row r="44">
      <c r="A44" s="24" t="n">
        <v>46268</v>
      </c>
      <c r="B44" s="10" t="inlineStr">
        <is>
          <t>AI時代の設計・製造・全体最適を実現する DX戦略セミナー</t>
        </is>
      </c>
      <c r="C44" s="10" t="inlineStr">
        <is>
          <t>SBクリエイティブ株式会社（ビジネス＋IT）</t>
        </is>
      </c>
      <c r="D44" s="10" t="inlineStr">
        <is>
          <t>ビジネス+IT</t>
        </is>
      </c>
      <c r="E44" s="10" t="inlineStr">
        <is>
          <t>offline</t>
        </is>
      </c>
      <c r="F44" s="10" t="inlineStr">
        <is>
          <t>生産管理・製造・SCM</t>
        </is>
      </c>
      <c r="G44" s="10" t="n"/>
      <c r="H44" s="15" t="inlineStr">
        <is>
          <t>https://www.sbbit.jp/eventinfo/89872</t>
        </is>
      </c>
      <c r="I44" s="10" t="inlineStr">
        <is>
          <t>本セミナーでは、「2026年版ものづくり白書」を手掛かりに、日本の製造業が直面する人手不足や不確実性、生産性向上ニーズにどう向き合うかを整理します。 政策動向と先進企業事例を踏まえ、設計から製造・経営までをつなぐデータ基盤、AI・生成AI活用、経済安全保障対応を含むDX戦略と具体的な実践シナリオを提示し、持続的成長と競争力強化への道筋を示します。</t>
        </is>
      </c>
    </row>
    <row r="45">
      <c r="A45" s="24" t="n">
        <v>46268</v>
      </c>
      <c r="B45" s="10" t="inlineStr">
        <is>
          <t>SAP Transformation Excellence Tour Osaka</t>
        </is>
      </c>
      <c r="C45" s="10" t="inlineStr">
        <is>
          <t>SAPジャパン株式会社</t>
        </is>
      </c>
      <c r="D45" s="10" t="inlineStr">
        <is>
          <t>ビジネス+IT</t>
        </is>
      </c>
      <c r="E45" s="10" t="inlineStr">
        <is>
          <t>offline</t>
        </is>
      </c>
      <c r="F45" s="10" t="inlineStr">
        <is>
          <t>生産性向上・業務効率化</t>
        </is>
      </c>
      <c r="G45" s="10" t="n"/>
      <c r="H45" s="15" t="inlineStr">
        <is>
          <t>https://www.sbbit.jp/eventinfo/89844</t>
        </is>
      </c>
      <c r="I45" s="10" t="inlineStr">
        <is>
          <t>ビジネス変革を成功させるには、実行可能な戦略、ビジネスとITの統一されたビジョン、そして具体的な成果の創出への注力が必要です。SAP Transformation Excellence Tour Osakaでは、ビジネス変革の成功における、新たな視点を提示します。 プロセスエクセレンス、エンタープライズアーキテクチャ、デジタルアドプションを組み合わせ、真に包括的かつ継続的なビジネス変革を実現する革新的な方法についてご提案します。ビジネス</t>
        </is>
      </c>
    </row>
    <row r="46">
      <c r="A46" s="24" t="n">
        <v>46272</v>
      </c>
      <c r="B46" s="10" t="inlineStr">
        <is>
          <t>その生成AI、「効率化」だけに使っていませんか。——組織で「自分たちの答え」を生み出す使い方を、複雑系研究30年・田原真人と考える【企業の人材開発・組織開発・新規事業の方へ｜無料オンライン60分】</t>
        </is>
      </c>
      <c r="C46" s="10" t="inlineStr">
        <is>
          <t>岸本渉(Oxymoron)</t>
        </is>
      </c>
      <c r="D46" s="10" t="inlineStr">
        <is>
          <t>Peatix</t>
        </is>
      </c>
      <c r="E46" s="10" t="inlineStr">
        <is>
          <t>オンライン(Zoom)</t>
        </is>
      </c>
      <c r="F46" s="10" t="inlineStr">
        <is>
          <t>生産性向上・業務効率化</t>
        </is>
      </c>
      <c r="G46" s="10" t="n"/>
      <c r="H46" s="15" t="inlineStr">
        <is>
          <t>https://peatix.com/event/5149893</t>
        </is>
      </c>
      <c r="I46" s="10" t="inlineStr">
        <is>
          <t>2026年9月7日(月)19:00-20:00 Zoom 無料 定員50名</t>
        </is>
      </c>
    </row>
    <row r="47">
      <c r="A47" s="24" t="n">
        <v>46273</v>
      </c>
      <c r="B47" s="10" t="inlineStr">
        <is>
          <t>生成AIサミット Vol.8 〜業務効率化の「その先」へ：生成AIで切り開くビジネスの未来〜</t>
        </is>
      </c>
      <c r="C47" s="10" t="n"/>
      <c r="D47" s="10" t="inlineStr">
        <is>
          <t>Peatix</t>
        </is>
      </c>
      <c r="E47" s="10" t="inlineStr">
        <is>
          <t>不明</t>
        </is>
      </c>
      <c r="F47" s="10" t="inlineStr">
        <is>
          <t>生産性向上・業務効率化</t>
        </is>
      </c>
      <c r="G47" s="10" t="n"/>
      <c r="H47" s="15" t="inlineStr">
        <is>
          <t>https://peatix.com/event/4918327</t>
        </is>
      </c>
      <c r="I47" s="10" t="inlineStr">
        <is>
          <t>2026年9月8-9日 生成AIを社内生産性ツールから事業変革へ</t>
        </is>
      </c>
    </row>
    <row r="48">
      <c r="A48" s="24" t="n">
        <v>46274</v>
      </c>
      <c r="B48" s="10" t="inlineStr">
        <is>
          <t>【9/9(水)開催】AIの深化と科学への応用へ。AI-Science Nexusセンター（AISNeC）設立シンポジウム開催のご案内</t>
        </is>
      </c>
      <c r="C48" s="10" t="inlineStr">
        <is>
          <t>東京科学大学 AISNeC</t>
        </is>
      </c>
      <c r="D48" s="10" t="inlineStr">
        <is>
          <t>Peatix</t>
        </is>
      </c>
      <c r="E48" s="10" t="inlineStr">
        <is>
          <t>会場</t>
        </is>
      </c>
      <c r="F48" s="10" t="inlineStr">
        <is>
          <t>営業・マーケ・CS</t>
        </is>
      </c>
      <c r="G48" s="10" t="n"/>
      <c r="H48" s="15" t="inlineStr">
        <is>
          <t>https://peatix.com/event/5078782</t>
        </is>
      </c>
      <c r="I48" s="10" t="inlineStr">
        <is>
          <t>2026年9月9日(水)13:00-17:10 懇親会17:30-19:30</t>
        </is>
      </c>
    </row>
    <row r="49">
      <c r="A49" s="24" t="n">
        <v>46275</v>
      </c>
      <c r="B49" s="10" t="inlineStr">
        <is>
          <t>WalkMe on Tour Tokyo 2026</t>
        </is>
      </c>
      <c r="C49" s="10" t="inlineStr">
        <is>
          <t>WalkMe株式会社</t>
        </is>
      </c>
      <c r="D49" s="10" t="inlineStr">
        <is>
          <t>ビジネス+IT</t>
        </is>
      </c>
      <c r="E49" s="10" t="inlineStr">
        <is>
          <t>offline</t>
        </is>
      </c>
      <c r="F49" s="10" t="inlineStr">
        <is>
          <t>生産性向上・業務効率化</t>
        </is>
      </c>
      <c r="G49" s="10" t="n"/>
      <c r="H49" s="15" t="inlineStr">
        <is>
          <t>https://www.sbbit.jp/eventinfo/89612</t>
        </is>
      </c>
      <c r="I49" s="10" t="inlineStr">
        <is>
          <t>生成AIに大きな価値を期待するCIOは95%にのぼる一方、AIを使いこなして業務を大きく変革できている従業員はわずか8%にとどまります。 背景には、多くのAIが業務の文脈を読み取れず、アプリケーションを横断できず、実際の業務を実行できず、成果を証明できない課題があります。 WalkMeは、企業のAI活用を成功に導く不可欠なレイヤーとして、リアルタイムの文脈とアプリ横断の実行力を与え、AI投資を確かな成果に変えるAIアダプションを実現しま</t>
        </is>
      </c>
    </row>
    <row r="50">
      <c r="A50" s="24" t="n">
        <v>46276</v>
      </c>
      <c r="B50" s="10" t="inlineStr">
        <is>
          <t>NiCE World Tokyo 2026</t>
        </is>
      </c>
      <c r="C50" s="10" t="inlineStr">
        <is>
          <t>ナイスジャパン株式会社</t>
        </is>
      </c>
      <c r="D50" s="10" t="inlineStr">
        <is>
          <t>ビジネス+IT</t>
        </is>
      </c>
      <c r="E50" s="10" t="inlineStr">
        <is>
          <t>offline</t>
        </is>
      </c>
      <c r="F50" s="10" t="inlineStr">
        <is>
          <t>営業・マーケ・CS</t>
        </is>
      </c>
      <c r="G50" s="10" t="n"/>
      <c r="H50" s="15" t="inlineStr">
        <is>
          <t>https://www.sbbit.jp/eventinfo/90023</t>
        </is>
      </c>
      <c r="I50" s="10" t="inlineStr">
        <is>
          <t>NiCE World Tokyoは、Interactionsで培われた革新性、知見、そしてコミュニティの価値を、さらにスケールアップさせたイベントです。 CXリーダーと共に、最先端テクノロジーを体感し、実際の成果につながるAI戦略を発見してください。 究極のCX体験へ、ぜひご参加ください！ NiCE World Tokyo 2026では、あらゆるセッションや体験が、新たな発想と実践的な成果につながるよう設計されています。日本各地で開催さ</t>
        </is>
      </c>
    </row>
    <row r="51">
      <c r="A51" s="24" t="n">
        <v>46276</v>
      </c>
      <c r="B51" s="10" t="inlineStr">
        <is>
          <t>Salesforceを”使うだけ”から”成果を出す”へ</t>
        </is>
      </c>
      <c r="C51" s="10" t="inlineStr">
        <is>
          <t>日本アイ・ビー・エム株式会社</t>
        </is>
      </c>
      <c r="D51" s="10" t="inlineStr">
        <is>
          <t>ビジネス+IT</t>
        </is>
      </c>
      <c r="E51" s="10" t="inlineStr">
        <is>
          <t>online</t>
        </is>
      </c>
      <c r="F51" s="10" t="inlineStr">
        <is>
          <t>営業・マーケ・CS</t>
        </is>
      </c>
      <c r="G51" s="10" t="n"/>
      <c r="H51" s="15" t="inlineStr">
        <is>
          <t>https://www.sbbit.jp/eventinfo/89838</t>
        </is>
      </c>
      <c r="I51" s="10" t="inlineStr">
        <is>
          <t>AI活用への関心が高まる一方で、「何から着手すべきかわからない」「PoCで止まってしまい業務成果につながらない」「Salesforceを導入していても十分に使いこなせていない」といった課題を抱える企業は少なくありません。特に営業・顧客対応・業務オペレーションの現場では、限られた人員の中で生産性向上とROI最大化の両立が求められており、AIをどう業務に組み込み、実行・定着させるかが重要なテーマになっています。 本セミナーでは、IBMがどの</t>
        </is>
      </c>
    </row>
    <row r="52">
      <c r="A52" s="24" t="n">
        <v>46279</v>
      </c>
      <c r="B52" s="10" t="inlineStr">
        <is>
          <t>Anaplan Connect Tokyo 2026</t>
        </is>
      </c>
      <c r="C52" s="10" t="inlineStr">
        <is>
          <t>Anaplan ジャパン株式会社</t>
        </is>
      </c>
      <c r="D52" s="10" t="inlineStr">
        <is>
          <t>ビジネス+IT</t>
        </is>
      </c>
      <c r="E52" s="10" t="inlineStr">
        <is>
          <t>offline</t>
        </is>
      </c>
      <c r="F52" s="10" t="inlineStr">
        <is>
          <t>営業・マーケ・CS</t>
        </is>
      </c>
      <c r="G52" s="10" t="n"/>
      <c r="H52" s="15" t="inlineStr">
        <is>
          <t>https://www.sbbit.jp/eventinfo/89804</t>
        </is>
      </c>
      <c r="I52" s="10" t="inlineStr">
        <is>
          <t>急速に変化する市場環境やサプライチェーンの不確実性により、従来の計画手法では迅速な意思決定が難しくなっています。部門間の連携不足やデータの分断が、成長機会の損失につながっています。 多くの企業が同じ悩みを抱えています。売上予測や需給計画の精度に限界を感じ、経営資源の最適配分やリスクに備えた柔軟な対応に不安を持つのは決して一社だけではありません。 先進企業の導入事例や専門家の洞察を通じて、AIを活用したシナリオ プランニングが意思決定をど</t>
        </is>
      </c>
    </row>
    <row r="53">
      <c r="A53" s="24" t="n">
        <v>46281</v>
      </c>
      <c r="B53" s="10" t="inlineStr">
        <is>
          <t>PERSOL AI CONFERENCE 2026</t>
        </is>
      </c>
      <c r="C53" s="10" t="inlineStr">
        <is>
          <t>パーソルホールディングス株式会社</t>
        </is>
      </c>
      <c r="D53" s="10" t="inlineStr">
        <is>
          <t>ビジネス+IT</t>
        </is>
      </c>
      <c r="E53" s="10" t="inlineStr">
        <is>
          <t>online</t>
        </is>
      </c>
      <c r="F53" s="10" t="inlineStr">
        <is>
          <t>営業・マーケ・CS</t>
        </is>
      </c>
      <c r="G53" s="10" t="n"/>
      <c r="H53" s="15" t="inlineStr">
        <is>
          <t>https://www.sbbit.jp/eventinfo/89954</t>
        </is>
      </c>
      <c r="I53" s="10" t="inlineStr">
        <is>
          <t>AI活用は、現場での試行から全社戦略へ。 投資判断や業務再設計、人材育成、そして組織づくりまで、あらゆるレイヤーでAIを前提とした意思決定が求められる時代に入りました。 本カンファレンスでは、有識者や企業変革の最前線に立つCXOの視点から、AX時代に求められる意思決定と実践のヒントを探ります。 AIは単なる業務効率化のツールから、経営の意思決定・事業モデル・顧客価値そのものを再定義する力へと進化しました。いま企業に求められるのは「AI人</t>
        </is>
      </c>
    </row>
    <row r="54">
      <c r="A54" s="24" t="n">
        <v>46281</v>
      </c>
      <c r="B54" s="10" t="inlineStr">
        <is>
          <t>企業内エージェンティックAI基盤構築実践講座</t>
        </is>
      </c>
      <c r="C54" s="10" t="inlineStr">
        <is>
          <t>SBクリエイティブ株式会社（ビジネス＋IT）</t>
        </is>
      </c>
      <c r="D54" s="10" t="inlineStr">
        <is>
          <t>ビジネス+IT</t>
        </is>
      </c>
      <c r="E54" s="10" t="inlineStr">
        <is>
          <t>hybrid</t>
        </is>
      </c>
      <c r="F54" s="10" t="inlineStr">
        <is>
          <t>生産性向上・業務効率化</t>
        </is>
      </c>
      <c r="G54" s="10" t="n"/>
      <c r="H54" s="15" t="inlineStr">
        <is>
          <t>https://www.sbbit.jp/eventinfo/89962</t>
        </is>
      </c>
      <c r="I54" s="10" t="inlineStr">
        <is>
          <t>日時： 2026年9月16日(水)15:00～18:00 会場： 住友不動産虎ノ門タワー23F（SBクリエイティブ株式会社） 定員： 会場 30名程度 ／ オンライン受講 無制限 受講料： 会場受講 33,000円（税込） ／ オンライン受講 22,000円（税込） 主催： SBクリエイティブ株式会社（ビジネス＋IT）</t>
        </is>
      </c>
    </row>
    <row r="55">
      <c r="A55" s="24" t="n">
        <v>46282</v>
      </c>
      <c r="B55" s="10" t="inlineStr">
        <is>
          <t>Seizo Trend 製造DX&amp;AI-DAY ＠Industry Forum 2026 秋</t>
        </is>
      </c>
      <c r="C55" s="10" t="inlineStr">
        <is>
          <t>SBクリエイティブ株式会社（ビジネス＋IT）</t>
        </is>
      </c>
      <c r="D55" s="10" t="inlineStr">
        <is>
          <t>ビジネス+IT</t>
        </is>
      </c>
      <c r="E55" s="10" t="inlineStr">
        <is>
          <t>online</t>
        </is>
      </c>
      <c r="F55" s="10" t="inlineStr">
        <is>
          <t>生産管理・製造・SCM</t>
        </is>
      </c>
      <c r="G55" s="10" t="n"/>
      <c r="H55" s="15" t="inlineStr">
        <is>
          <t>https://www.sbbit.jp/eventinfo/89590</t>
        </is>
      </c>
      <c r="I55" s="10" t="inlineStr">
        <is>
          <t>緊迫する世界情勢による資源高、長引くインフレは日本経済を直撃しています。長らく日本経済を牽引してきた製造業は、国際競争の激化、サプライチェーンのリスク、デジタル化の遅れ、カーボンニュートラル対応など新たな課題などに成長を阻まれ、競争力を失いつつあります。日本のものづくりは現場熟練工や独自製造技術による個別最適の強みを持ちながら、データの活用やデジタル標準化の部分で遅れをとっており、製造DXによるサプライチェーンの強靭化やデジタルによる新</t>
        </is>
      </c>
    </row>
    <row r="56">
      <c r="A56" s="24" t="n">
        <v>46282</v>
      </c>
      <c r="B56" s="10" t="inlineStr">
        <is>
          <t>Zendesk Showcase Tokyo 2026</t>
        </is>
      </c>
      <c r="C56" s="10" t="inlineStr">
        <is>
          <t>合同会社Zendesk</t>
        </is>
      </c>
      <c r="D56" s="10" t="inlineStr">
        <is>
          <t>ビジネス+IT</t>
        </is>
      </c>
      <c r="E56" s="10" t="inlineStr">
        <is>
          <t>offline</t>
        </is>
      </c>
      <c r="F56" s="10" t="inlineStr">
        <is>
          <t>営業・マーケ・CS</t>
        </is>
      </c>
      <c r="G56" s="10" t="n"/>
      <c r="H56" s="15" t="inlineStr">
        <is>
          <t>https://www.sbbit.jp/eventinfo/89878</t>
        </is>
      </c>
      <c r="I56" s="10" t="inlineStr">
        <is>
          <t>今年のShowcase Tokyoは、ユースケースのショーケース（発表会）と言うべきプログラムを満載してお届けいたします。過去最大数のお客様事例を目玉としながら、最新機能のご紹介、使い方をご自分のものにしていただくワークショップといった具体的な内容を通して、貴社のCX/EX戦略や、現場の利用シーンに直接お役立ていただける、濃厚な持ち帰りのある場を目指しています。 顧客体験（CX）・従業員体験（EX）に特化したZendeskのAIとは何物</t>
        </is>
      </c>
    </row>
    <row r="57">
      <c r="A57" s="24" t="n">
        <v>46283</v>
      </c>
      <c r="B57" s="10" t="inlineStr">
        <is>
          <t>ついに始まったChatGPT広告 有効な運用、AIO・コンテンツ対策から検証（開始は18:30です！）</t>
        </is>
      </c>
      <c r="C57" s="10" t="n"/>
      <c r="D57" s="10" t="inlineStr">
        <is>
          <t>Peatix</t>
        </is>
      </c>
      <c r="E57" s="10" t="inlineStr">
        <is>
          <t>会場+オンライン</t>
        </is>
      </c>
      <c r="F57" s="10" t="inlineStr">
        <is>
          <t>営業・マーケ・CS</t>
        </is>
      </c>
      <c r="G57" s="10" t="n"/>
      <c r="H57" s="15" t="inlineStr">
        <is>
          <t>https://peatix.com/event/5137202</t>
        </is>
      </c>
      <c r="I57" s="10" t="inlineStr">
        <is>
          <t>2026年9月18日(金)18:30 会場・オンライン参加</t>
        </is>
      </c>
    </row>
    <row r="58">
      <c r="A58" s="24" t="n">
        <v>46286</v>
      </c>
      <c r="B58" s="10" t="inlineStr">
        <is>
          <t>動画生成AIの今とこれから 〜STUDIO異次元が語る活用動向と、海外で感じたAI事情〜</t>
        </is>
      </c>
      <c r="C58" s="10" t="n"/>
      <c r="D58" s="10" t="inlineStr">
        <is>
          <t>Peatix</t>
        </is>
      </c>
      <c r="E58" s="10" t="inlineStr">
        <is>
          <t>オンライン(Zoom)</t>
        </is>
      </c>
      <c r="F58" s="10" t="inlineStr">
        <is>
          <t>技術・AI全般</t>
        </is>
      </c>
      <c r="G58" s="10" t="n"/>
      <c r="H58" s="15" t="inlineStr">
        <is>
          <t>https://peatix.com/event/5174714</t>
        </is>
      </c>
      <c r="I58" s="10" t="inlineStr">
        <is>
          <t>2026年9月21日(月)21:00-22:00 Zoom</t>
        </is>
      </c>
    </row>
    <row r="59">
      <c r="A59" s="24" t="n">
        <v>46289</v>
      </c>
      <c r="B59" s="10" t="inlineStr">
        <is>
          <t>なぜ、AI活用だけでは製造業の開発期間を短縮できないのか？</t>
        </is>
      </c>
      <c r="C59" s="10" t="inlineStr">
        <is>
          <t>SCSK株式会社（協力：マジセミ株式会社）</t>
        </is>
      </c>
      <c r="D59" s="10" t="inlineStr">
        <is>
          <t>マジセミ</t>
        </is>
      </c>
      <c r="E59" s="10" t="inlineStr">
        <is>
          <t>online</t>
        </is>
      </c>
      <c r="F59" s="10" t="inlineStr">
        <is>
          <t>生産管理・製造・SCM</t>
        </is>
      </c>
      <c r="G59" s="10" t="n">
        <v>0</v>
      </c>
      <c r="H59" s="15" t="inlineStr">
        <is>
          <t>https://prtimes.jp/main/html/rd/p/000005647.000054842.html</t>
        </is>
      </c>
      <c r="I59" s="10" t="inlineStr">
        <is>
          <t>■ 製造業で求められる開発期間の短縮 市場ニーズの多様化や製品ライフサイクルの短期化を背景に、製造業では設計・開発期間のさらなる短縮が求められています。こうした中、後工程での手戻りを抑えるため、CAEをはじめとするデジタル技術を活用し、設計・開発の早い段階から性能や品質、製造性を検討・検証する「フロントローディング」の重要性が高まっています。 一方で、上流工程で高度な検討・検証を行うには、専門的な知識やスキルが求められる場面も少なくあり</t>
        </is>
      </c>
    </row>
    <row r="60">
      <c r="A60" s="24" t="n">
        <v>46291</v>
      </c>
      <c r="B60" s="10" t="inlineStr">
        <is>
          <t>9月26日(土)ITコーディネータ京都 経営セミナー：AIで伸びる会社、止まる会社 ― その差は社長の関与にある</t>
        </is>
      </c>
      <c r="C60" s="10" t="inlineStr">
        <is>
          <t>ITコーディネータ京都</t>
        </is>
      </c>
      <c r="D60" s="10" t="inlineStr">
        <is>
          <t>Peatix</t>
        </is>
      </c>
      <c r="E60" s="10" t="inlineStr">
        <is>
          <t>ハイブリッド</t>
        </is>
      </c>
      <c r="F60" s="10" t="inlineStr">
        <is>
          <t>生産性向上・業務効率化</t>
        </is>
      </c>
      <c r="G60" s="10" t="n"/>
      <c r="H60" s="15" t="inlineStr">
        <is>
          <t>https://peatix.com/event/5114140</t>
        </is>
      </c>
      <c r="I60" s="10" t="inlineStr">
        <is>
          <t>2026年9月26日(土)14:00-16:00 無料</t>
        </is>
      </c>
    </row>
    <row r="61">
      <c r="A61" s="24" t="n">
        <v>46291</v>
      </c>
      <c r="B61" s="10" t="inlineStr">
        <is>
          <t>【京都橘大学】公開講座「生成AI✕著作権 ─アニメの現場を参考に「声の著作権」を考える－【申込みチケット】</t>
        </is>
      </c>
      <c r="C61" s="10" t="inlineStr">
        <is>
          <t>京都橘大学</t>
        </is>
      </c>
      <c r="D61" s="10" t="inlineStr">
        <is>
          <t>Peatix</t>
        </is>
      </c>
      <c r="E61" s="10" t="inlineStr">
        <is>
          <t>会場</t>
        </is>
      </c>
      <c r="F61" s="10" t="inlineStr">
        <is>
          <t>技術・AI全般</t>
        </is>
      </c>
      <c r="G61" s="10" t="n"/>
      <c r="H61" s="15" t="inlineStr">
        <is>
          <t>https://peatix.com/event/5116346</t>
        </is>
      </c>
      <c r="I61" s="10" t="inlineStr">
        <is>
          <t>2026年9月26日(土)13:20-15:00</t>
        </is>
      </c>
    </row>
    <row r="62">
      <c r="A62" s="24" t="n">
        <v>46293</v>
      </c>
      <c r="B62" s="10" t="inlineStr">
        <is>
          <t>【Manufacturing Innovation】 世界のロボット技術を地域産業へ―自動化・省人化から考える海外企業との共創―</t>
        </is>
      </c>
      <c r="C62" s="10" t="inlineStr">
        <is>
          <t>Invest in Aichi-Nagoya Acceleration Initiative</t>
        </is>
      </c>
      <c r="D62" s="10" t="inlineStr">
        <is>
          <t>Peatix</t>
        </is>
      </c>
      <c r="E62" s="10" t="inlineStr">
        <is>
          <t>会場</t>
        </is>
      </c>
      <c r="F62" s="10" t="inlineStr">
        <is>
          <t>生産管理・製造・SCM</t>
        </is>
      </c>
      <c r="G62" s="10" t="n"/>
      <c r="H62" s="15" t="inlineStr">
        <is>
          <t>https://peatix.com/event/5114821</t>
        </is>
      </c>
      <c r="I62" s="10" t="inlineStr">
        <is>
          <t>2026年9月28日(月)15:00-16:15</t>
        </is>
      </c>
    </row>
    <row r="63">
      <c r="A63" s="24" t="n">
        <v>46295</v>
      </c>
      <c r="B63" s="10" t="inlineStr">
        <is>
          <t>AI活用で年間200万円節約！人材系SaaS内製化の進め方【無料オンラインセミナー】</t>
        </is>
      </c>
      <c r="C63" s="10" t="n"/>
      <c r="D63" s="10" t="inlineStr">
        <is>
          <t>Peatix</t>
        </is>
      </c>
      <c r="E63" s="10" t="inlineStr">
        <is>
          <t>オンライン</t>
        </is>
      </c>
      <c r="F63" s="10" t="inlineStr">
        <is>
          <t>生産性向上・業務効率化</t>
        </is>
      </c>
      <c r="G63" s="10" t="n"/>
      <c r="H63" s="15" t="inlineStr">
        <is>
          <t>https://peatix.com/event/5190409</t>
        </is>
      </c>
      <c r="I63" s="10" t="inlineStr">
        <is>
          <t>2026年9月30日12:00-12:45 オンライン無料 中小・中堅企業の経営者・管理部門向け</t>
        </is>
      </c>
    </row>
  </sheetData>
  <hyperlinks>
    <hyperlink xmlns:r="http://schemas.openxmlformats.org/officeDocument/2006/relationships" ref="H2" r:id="rId1"/>
    <hyperlink xmlns:r="http://schemas.openxmlformats.org/officeDocument/2006/relationships" ref="H3" r:id="rId2"/>
    <hyperlink xmlns:r="http://schemas.openxmlformats.org/officeDocument/2006/relationships" ref="H4" r:id="rId3"/>
    <hyperlink xmlns:r="http://schemas.openxmlformats.org/officeDocument/2006/relationships" ref="H5" r:id="rId4"/>
    <hyperlink xmlns:r="http://schemas.openxmlformats.org/officeDocument/2006/relationships" ref="H6" r:id="rId5"/>
    <hyperlink xmlns:r="http://schemas.openxmlformats.org/officeDocument/2006/relationships" ref="H7" r:id="rId6"/>
    <hyperlink xmlns:r="http://schemas.openxmlformats.org/officeDocument/2006/relationships" ref="H8" r:id="rId7"/>
    <hyperlink xmlns:r="http://schemas.openxmlformats.org/officeDocument/2006/relationships" ref="H9" r:id="rId8"/>
    <hyperlink xmlns:r="http://schemas.openxmlformats.org/officeDocument/2006/relationships" ref="H10" r:id="rId9"/>
    <hyperlink xmlns:r="http://schemas.openxmlformats.org/officeDocument/2006/relationships" ref="H11" r:id="rId10"/>
    <hyperlink xmlns:r="http://schemas.openxmlformats.org/officeDocument/2006/relationships" ref="H12" r:id="rId11"/>
    <hyperlink xmlns:r="http://schemas.openxmlformats.org/officeDocument/2006/relationships" ref="H13" r:id="rId12"/>
    <hyperlink xmlns:r="http://schemas.openxmlformats.org/officeDocument/2006/relationships" ref="H14" r:id="rId13"/>
    <hyperlink xmlns:r="http://schemas.openxmlformats.org/officeDocument/2006/relationships" ref="H15" r:id="rId14"/>
    <hyperlink xmlns:r="http://schemas.openxmlformats.org/officeDocument/2006/relationships" ref="H16" r:id="rId15"/>
    <hyperlink xmlns:r="http://schemas.openxmlformats.org/officeDocument/2006/relationships" ref="H17" r:id="rId16"/>
    <hyperlink xmlns:r="http://schemas.openxmlformats.org/officeDocument/2006/relationships" ref="H18" r:id="rId17"/>
    <hyperlink xmlns:r="http://schemas.openxmlformats.org/officeDocument/2006/relationships" ref="H19" r:id="rId18"/>
    <hyperlink xmlns:r="http://schemas.openxmlformats.org/officeDocument/2006/relationships" ref="H20" r:id="rId19"/>
    <hyperlink xmlns:r="http://schemas.openxmlformats.org/officeDocument/2006/relationships" ref="H21" r:id="rId20"/>
    <hyperlink xmlns:r="http://schemas.openxmlformats.org/officeDocument/2006/relationships" ref="H22" r:id="rId21"/>
    <hyperlink xmlns:r="http://schemas.openxmlformats.org/officeDocument/2006/relationships" ref="H23" r:id="rId22"/>
    <hyperlink xmlns:r="http://schemas.openxmlformats.org/officeDocument/2006/relationships" ref="H24" r:id="rId23"/>
    <hyperlink xmlns:r="http://schemas.openxmlformats.org/officeDocument/2006/relationships" ref="H25" r:id="rId24"/>
    <hyperlink xmlns:r="http://schemas.openxmlformats.org/officeDocument/2006/relationships" ref="H26" r:id="rId25"/>
    <hyperlink xmlns:r="http://schemas.openxmlformats.org/officeDocument/2006/relationships" ref="H27" r:id="rId26"/>
    <hyperlink xmlns:r="http://schemas.openxmlformats.org/officeDocument/2006/relationships" ref="H28" r:id="rId27"/>
    <hyperlink xmlns:r="http://schemas.openxmlformats.org/officeDocument/2006/relationships" ref="H29" r:id="rId28"/>
    <hyperlink xmlns:r="http://schemas.openxmlformats.org/officeDocument/2006/relationships" ref="H30" r:id="rId29"/>
    <hyperlink xmlns:r="http://schemas.openxmlformats.org/officeDocument/2006/relationships" ref="H31" r:id="rId30"/>
    <hyperlink xmlns:r="http://schemas.openxmlformats.org/officeDocument/2006/relationships" ref="H32" r:id="rId31"/>
    <hyperlink xmlns:r="http://schemas.openxmlformats.org/officeDocument/2006/relationships" ref="H33" r:id="rId32"/>
    <hyperlink xmlns:r="http://schemas.openxmlformats.org/officeDocument/2006/relationships" ref="H34" r:id="rId33"/>
    <hyperlink xmlns:r="http://schemas.openxmlformats.org/officeDocument/2006/relationships" ref="H35" r:id="rId34"/>
    <hyperlink xmlns:r="http://schemas.openxmlformats.org/officeDocument/2006/relationships" ref="H36" r:id="rId35"/>
    <hyperlink xmlns:r="http://schemas.openxmlformats.org/officeDocument/2006/relationships" ref="H37" r:id="rId36"/>
    <hyperlink xmlns:r="http://schemas.openxmlformats.org/officeDocument/2006/relationships" ref="H38" r:id="rId37"/>
    <hyperlink xmlns:r="http://schemas.openxmlformats.org/officeDocument/2006/relationships" ref="H39" r:id="rId38"/>
    <hyperlink xmlns:r="http://schemas.openxmlformats.org/officeDocument/2006/relationships" ref="H40" r:id="rId39"/>
    <hyperlink xmlns:r="http://schemas.openxmlformats.org/officeDocument/2006/relationships" ref="H41" r:id="rId40"/>
    <hyperlink xmlns:r="http://schemas.openxmlformats.org/officeDocument/2006/relationships" ref="H42" r:id="rId41"/>
    <hyperlink xmlns:r="http://schemas.openxmlformats.org/officeDocument/2006/relationships" ref="H43" r:id="rId42"/>
    <hyperlink xmlns:r="http://schemas.openxmlformats.org/officeDocument/2006/relationships" ref="H44" r:id="rId43"/>
    <hyperlink xmlns:r="http://schemas.openxmlformats.org/officeDocument/2006/relationships" ref="H45" r:id="rId44"/>
    <hyperlink xmlns:r="http://schemas.openxmlformats.org/officeDocument/2006/relationships" ref="H46" r:id="rId45"/>
    <hyperlink xmlns:r="http://schemas.openxmlformats.org/officeDocument/2006/relationships" ref="H47" r:id="rId46"/>
    <hyperlink xmlns:r="http://schemas.openxmlformats.org/officeDocument/2006/relationships" ref="H48" r:id="rId47"/>
    <hyperlink xmlns:r="http://schemas.openxmlformats.org/officeDocument/2006/relationships" ref="H49" r:id="rId48"/>
    <hyperlink xmlns:r="http://schemas.openxmlformats.org/officeDocument/2006/relationships" ref="H50" r:id="rId49"/>
    <hyperlink xmlns:r="http://schemas.openxmlformats.org/officeDocument/2006/relationships" ref="H51" r:id="rId50"/>
    <hyperlink xmlns:r="http://schemas.openxmlformats.org/officeDocument/2006/relationships" ref="H52" r:id="rId51"/>
    <hyperlink xmlns:r="http://schemas.openxmlformats.org/officeDocument/2006/relationships" ref="H53" r:id="rId52"/>
    <hyperlink xmlns:r="http://schemas.openxmlformats.org/officeDocument/2006/relationships" ref="H54" r:id="rId53"/>
    <hyperlink xmlns:r="http://schemas.openxmlformats.org/officeDocument/2006/relationships" ref="H55" r:id="rId54"/>
    <hyperlink xmlns:r="http://schemas.openxmlformats.org/officeDocument/2006/relationships" ref="H56" r:id="rId55"/>
    <hyperlink xmlns:r="http://schemas.openxmlformats.org/officeDocument/2006/relationships" ref="H57" r:id="rId56"/>
    <hyperlink xmlns:r="http://schemas.openxmlformats.org/officeDocument/2006/relationships" ref="H58" r:id="rId57"/>
    <hyperlink xmlns:r="http://schemas.openxmlformats.org/officeDocument/2006/relationships" ref="H59" r:id="rId58"/>
    <hyperlink xmlns:r="http://schemas.openxmlformats.org/officeDocument/2006/relationships" ref="H60" r:id="rId59"/>
    <hyperlink xmlns:r="http://schemas.openxmlformats.org/officeDocument/2006/relationships" ref="H61" r:id="rId60"/>
    <hyperlink xmlns:r="http://schemas.openxmlformats.org/officeDocument/2006/relationships" ref="H62" r:id="rId61"/>
    <hyperlink xmlns:r="http://schemas.openxmlformats.org/officeDocument/2006/relationships" ref="H63" r:id="rId62"/>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2026-09-30T03:20:55Z</dcterms:created>
  <dcterms:modified xsi:type="dcterms:W3CDTF">2026-09-30T04:43:19Z</dcterms:modified>
</cp:coreProperties>
</file>